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현재_통합_문서"/>
  <mc:AlternateContent xmlns:mc="http://schemas.openxmlformats.org/markup-compatibility/2006">
    <mc:Choice Requires="x15">
      <x15ac:absPath xmlns:x15ac="http://schemas.microsoft.com/office/spreadsheetml/2010/11/ac" url="D:\2026년 홍천\0 계약서\"/>
    </mc:Choice>
  </mc:AlternateContent>
  <xr:revisionPtr revIDLastSave="0" documentId="13_ncr:1_{E7AF43AC-D3C5-423B-AAE2-BF8F7108AC09}" xr6:coauthVersionLast="47" xr6:coauthVersionMax="47" xr10:uidLastSave="{00000000-0000-0000-0000-000000000000}"/>
  <bookViews>
    <workbookView minimized="1" xWindow="10275" yWindow="345" windowWidth="28800" windowHeight="12165" tabRatio="722" xr2:uid="{00000000-000D-0000-FFFF-FFFF00000000}"/>
  </bookViews>
  <sheets>
    <sheet name="예산카운트" sheetId="1" r:id="rId1"/>
    <sheet name="공사현장대장" sheetId="2" r:id="rId2"/>
    <sheet name="Sheet4" sheetId="3" state="hidden" r:id="rId3"/>
    <sheet name="준공검사조서" sheetId="4" state="hidden" r:id="rId4"/>
    <sheet name="설계정산동의서" sheetId="5" state="hidden" r:id="rId5"/>
    <sheet name="Sheet1" sheetId="6" state="hidden" r:id="rId6"/>
    <sheet name="Sheet2" sheetId="7" state="hidden" r:id="rId7"/>
    <sheet name="감리용역검수조서" sheetId="8" state="hidden" r:id="rId8"/>
    <sheet name="기성검사조서" sheetId="9" state="hidden" r:id="rId9"/>
    <sheet name="설계변경 동의서" sheetId="10" state="hidden" r:id="rId10"/>
    <sheet name="물품검수조서" sheetId="11" r:id="rId11"/>
    <sheet name="설계용역 검수조서" sheetId="12" state="hidden" r:id="rId12"/>
    <sheet name="준공정산동의서" sheetId="13" r:id="rId13"/>
    <sheet name="Sheet3" sheetId="14" state="hidden" r:id="rId14"/>
    <sheet name="설정탭" sheetId="15" r:id="rId15"/>
  </sheets>
  <definedNames>
    <definedName name="__">#REF!</definedName>
    <definedName name="__2_">"$"</definedName>
    <definedName name="__4_">"$"</definedName>
    <definedName name="__4____0">"'file:///windows/temporary internet files/content.ie5/q5cfe165/업무보고9월(타사가격동향).xls'#$__.$"</definedName>
    <definedName name="_1">#N/A</definedName>
    <definedName name="_1_0_F" hidden="1">#REF!</definedName>
    <definedName name="_1_0_S" hidden="1">#REF!</definedName>
    <definedName name="_10">#N/A</definedName>
    <definedName name="_11">#N/A</definedName>
    <definedName name="_11¤§¤_¤¡" hidden="1">{#N/A,#N/A,FALSE,"Sheet1"}</definedName>
    <definedName name="_12">#N/A</definedName>
    <definedName name="_13">#N/A</definedName>
    <definedName name="_14">#N/A</definedName>
    <definedName name="_15">#N/A</definedName>
    <definedName name="_16">#N/A</definedName>
    <definedName name="_16wrn.Ã¶°ñÁý°èÇ_._.5Ä­." hidden="1">{#N/A,#N/A,FALSE,"Sheet1"}</definedName>
    <definedName name="_17">#N/A</definedName>
    <definedName name="_18">#N/A</definedName>
    <definedName name="_19">#N/A</definedName>
    <definedName name="_1공장">#REF!</definedName>
    <definedName name="_2">#N/A</definedName>
    <definedName name="_2_________¤§¤_¤¡" hidden="1">{#N/A,#N/A,FALSE,"Sheet1"}</definedName>
    <definedName name="_2_2_0_Parse" hidden="1">#REF!</definedName>
    <definedName name="_20">#N/A</definedName>
    <definedName name="_21">#N/A</definedName>
    <definedName name="_22">#N/A</definedName>
    <definedName name="_23">#N/A</definedName>
    <definedName name="_24">#N/A</definedName>
    <definedName name="_25">#N/A</definedName>
    <definedName name="_26">#N/A</definedName>
    <definedName name="_27">#N/A</definedName>
    <definedName name="_28">#N/A</definedName>
    <definedName name="_29">#N/A</definedName>
    <definedName name="_2공장">#REF!</definedName>
    <definedName name="_3">#N/A</definedName>
    <definedName name="_3¤§¤_¤¡" hidden="1">{#N/A,#N/A,FALSE,"Sheet1"}</definedName>
    <definedName name="_30">#N/A</definedName>
    <definedName name="_31">#N/A</definedName>
    <definedName name="_32">#N/A</definedName>
    <definedName name="_33">#N/A</definedName>
    <definedName name="_34">#N/A</definedName>
    <definedName name="_35">#N/A</definedName>
    <definedName name="_36">#N/A</definedName>
    <definedName name="_37">#N/A</definedName>
    <definedName name="_38">#N/A</definedName>
    <definedName name="_39">#N/A</definedName>
    <definedName name="_3공장">#REF!</definedName>
    <definedName name="_4">#N/A</definedName>
    <definedName name="_4_________wrn.Ã¶°ñÁý°èÇ_._.5Ä­." hidden="1">{#N/A,#N/A,FALSE,"Sheet1"}</definedName>
    <definedName name="_40">#N/A</definedName>
    <definedName name="_41">#N/A</definedName>
    <definedName name="_42">#N/A</definedName>
    <definedName name="_43">#N/A</definedName>
    <definedName name="_44">#N/A</definedName>
    <definedName name="_45">#N/A</definedName>
    <definedName name="_46">#N/A</definedName>
    <definedName name="_47">#N/A</definedName>
    <definedName name="_48">#N/A</definedName>
    <definedName name="_49">#N/A</definedName>
    <definedName name="_5">#N/A</definedName>
    <definedName name="_50">#N/A</definedName>
    <definedName name="_51">#N/A</definedName>
    <definedName name="_52">#N/A</definedName>
    <definedName name="_53">#N/A</definedName>
    <definedName name="_54">#N/A</definedName>
    <definedName name="_55">#N/A</definedName>
    <definedName name="_56">#N/A</definedName>
    <definedName name="_57">#N/A</definedName>
    <definedName name="_58">#N/A</definedName>
    <definedName name="_59">#N/A</definedName>
    <definedName name="_6">#N/A</definedName>
    <definedName name="_60">#N/A</definedName>
    <definedName name="_61">#N/A</definedName>
    <definedName name="_62">#N/A</definedName>
    <definedName name="_63">#N/A</definedName>
    <definedName name="_64">#N/A</definedName>
    <definedName name="_65">#N/A</definedName>
    <definedName name="_66">#N/A</definedName>
    <definedName name="_67">#N/A</definedName>
    <definedName name="_68">#N/A</definedName>
    <definedName name="_69">#N/A</definedName>
    <definedName name="_6wrn.Ã¶°ñÁý°èÇ_._.5Ä­." hidden="1">{#N/A,#N/A,FALSE,"Sheet1"}</definedName>
    <definedName name="_7">#N/A</definedName>
    <definedName name="_70">#N/A</definedName>
    <definedName name="_71">#N/A</definedName>
    <definedName name="_72">#N/A</definedName>
    <definedName name="_73">#N/A</definedName>
    <definedName name="_74">#N/A</definedName>
    <definedName name="_75">#N/A</definedName>
    <definedName name="_76">#N/A</definedName>
    <definedName name="_77">#N/A</definedName>
    <definedName name="_78">#N/A</definedName>
    <definedName name="_79">#N/A</definedName>
    <definedName name="_8">#N/A</definedName>
    <definedName name="_80">#N/A</definedName>
    <definedName name="_81">#N/A</definedName>
    <definedName name="_82">#N/A</definedName>
    <definedName name="_83">#N/A</definedName>
    <definedName name="_84">#N/A</definedName>
    <definedName name="_85">#N/A</definedName>
    <definedName name="_86">#N/A</definedName>
    <definedName name="_87">#N/A</definedName>
    <definedName name="_88">#N/A</definedName>
    <definedName name="_89">#N/A</definedName>
    <definedName name="_9">#N/A</definedName>
    <definedName name="_90">#N/A</definedName>
    <definedName name="_91">#N/A</definedName>
    <definedName name="_92">#N/A</definedName>
    <definedName name="_93">#N/A</definedName>
    <definedName name="_94">#N/A</definedName>
    <definedName name="_95">#N/A</definedName>
    <definedName name="_96">#N/A</definedName>
    <definedName name="_97">#N/A</definedName>
    <definedName name="_98">#N/A</definedName>
    <definedName name="_99">#N/A</definedName>
    <definedName name="_A183154">#REF!</definedName>
    <definedName name="_Dist_Bin" hidden="1">#REF!</definedName>
    <definedName name="_Dist_Values" hidden="1">#REF!</definedName>
    <definedName name="_DOG1">#REF!</definedName>
    <definedName name="_DOG2">#REF!</definedName>
    <definedName name="_DOG22">#REF!</definedName>
    <definedName name="_DOG3">#REF!</definedName>
    <definedName name="_DOG33">#REF!</definedName>
    <definedName name="_DOG4">#REF!</definedName>
    <definedName name="_Fill" hidden="1">#REF!</definedName>
    <definedName name="_xlnm._FilterDatabase" localSheetId="0" hidden="1">예산카운트!$A$6:$T$1081</definedName>
    <definedName name="_IL1">#REF!</definedName>
    <definedName name="_INK4072">#REF!</definedName>
    <definedName name="_Key1" hidden="1">#REF!</definedName>
    <definedName name="_Key2" hidden="1">#REF!</definedName>
    <definedName name="_kfkf" hidden="1">#REF!</definedName>
    <definedName name="_LP403910">#REF!</definedName>
    <definedName name="_LP403912">#REF!</definedName>
    <definedName name="_LP403916">#REF!</definedName>
    <definedName name="_MatInverse_In" hidden="1">#REF!</definedName>
    <definedName name="_MatMult_A" hidden="1">#REF!</definedName>
    <definedName name="_MatMult_AxB" hidden="1">#REF!</definedName>
    <definedName name="_MatMult_B" hidden="1">#REF!</definedName>
    <definedName name="_Order1" hidden="1">255</definedName>
    <definedName name="_Order2" hidden="1">255</definedName>
    <definedName name="_Parse_In" hidden="1">#REF!</definedName>
    <definedName name="_Parse_Out" hidden="1">#REF!</definedName>
    <definedName name="_PI48">#REF!</definedName>
    <definedName name="_PI60">#REF!</definedName>
    <definedName name="_PS4079">#REF!</definedName>
    <definedName name="_Regression_Int" hidden="1">1</definedName>
    <definedName name="_Regression_Out" hidden="1">#REF!</definedName>
    <definedName name="_Regression_X" hidden="1">#REF!</definedName>
    <definedName name="_Regression_Y" hidden="1">#REF!</definedName>
    <definedName name="_RO110">#REF!</definedName>
    <definedName name="_RO22">#REF!</definedName>
    <definedName name="_RO35">#REF!</definedName>
    <definedName name="_RO45">#REF!</definedName>
    <definedName name="_RO60">#REF!</definedName>
    <definedName name="_RO80">#REF!</definedName>
    <definedName name="_SEL1">#N/A</definedName>
    <definedName name="_Sort" hidden="1">#REF!</definedName>
    <definedName name="_SUB1">#REF!</definedName>
    <definedName name="_SUB2">#REF!</definedName>
    <definedName name="_SUB3">#REF!</definedName>
    <definedName name="_sub4">#REF!</definedName>
    <definedName name="_sub5">#REF!</definedName>
    <definedName name="_TON1">#REF!</definedName>
    <definedName name="_TON2">#REF!</definedName>
    <definedName name="_UH1">#REF!</definedName>
    <definedName name="_woogi" hidden="1">#REF!</definedName>
    <definedName name="_woogi2" hidden="1">#REF!</definedName>
    <definedName name="_woogi24" hidden="1">#REF!</definedName>
    <definedName name="_woogi3" hidden="1">#REF!</definedName>
    <definedName name="_WW2">#REF!</definedName>
    <definedName name="_WW3">#REF!</definedName>
    <definedName name="_WW6">#REF!</definedName>
    <definedName name="_WW7">#REF!</definedName>
    <definedName name="_WW8">#REF!</definedName>
    <definedName name="_재ㅐ햐" hidden="1">#REF!</definedName>
    <definedName name="\0">#N/A</definedName>
    <definedName name="\a">#REF!</definedName>
    <definedName name="\c">#N/A</definedName>
    <definedName name="\d">#REF!</definedName>
    <definedName name="\f">#REF!</definedName>
    <definedName name="\j">#N/A</definedName>
    <definedName name="\l">#REF!</definedName>
    <definedName name="\p">#N/A</definedName>
    <definedName name="\q">#N/A</definedName>
    <definedName name="\r">#N/A</definedName>
    <definedName name="\s">#N/A</definedName>
    <definedName name="\x">#N/A</definedName>
    <definedName name="\z">#N/A</definedName>
    <definedName name="A">#REF!</definedName>
    <definedName name="A___0">"$"</definedName>
    <definedName name="aaa">#REF!</definedName>
    <definedName name="aaaa">BlankMacro1</definedName>
    <definedName name="AccessDatabase" hidden="1">"E:\WORK\VISUAL\MIRAE\LOADSYS\LoadDB.mdb"</definedName>
    <definedName name="ACX" hidden="1">#REF!</definedName>
    <definedName name="adfadf">#REF!</definedName>
    <definedName name="ADF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dfde">#REF!</definedName>
    <definedName name="afaf" localSheetId="0">{"'통.폐합'!$A$4:$H$11"}</definedName>
    <definedName name="afaf">{"'통.폐합'!$A$4:$H$11"}</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lslsdkjfjs" hidden="1">#REF!</definedName>
    <definedName name="ANFRK2">#REF!</definedName>
    <definedName name="ANFRK3">#REF!</definedName>
    <definedName name="anfrkk">#REF!</definedName>
    <definedName name="AREA0002" hidden="1">#REF!</definedName>
    <definedName name="ASASS">#REF!</definedName>
    <definedName name="ASC" hidden="1">#REF!</definedName>
    <definedName name="asdfasdfasdfasfcasx" hidden="1">#REF!</definedName>
    <definedName name="AV1노무">#REF!</definedName>
    <definedName name="AV1자재">#REF!</definedName>
    <definedName name="AV노무">#REF!</definedName>
    <definedName name="AV자재">#REF!</definedName>
    <definedName name="B">#REF!</definedName>
    <definedName name="bbb">#REF!</definedName>
    <definedName name="BH">#REF!</definedName>
    <definedName name="BuiltIn_AutoFilter___10">#REF!</definedName>
    <definedName name="BuiltIn_AutoFilter___7">#REF!</definedName>
    <definedName name="BuiltIn_Recorder___0">"$"</definedName>
    <definedName name="calendar" localSheetId="7">daygrid+[0]!firstdate-WEEKDAY([0]!firstdate)-[0]!weekday_option</definedName>
    <definedName name="calendar">daygrid+[0]!firstdate-WEEKDAY([0]!firstdate)-[0]!weekday_option</definedName>
    <definedName name="cc" localSheetId="0" hidden="1">{#N/A,#N/A,FALSE,"품의1";#N/A,#N/A,FALSE,"품의2";#N/A,#N/A,FALSE,"최종재료비"}</definedName>
    <definedName name="cc" hidden="1">{#N/A,#N/A,FALSE,"품의1";#N/A,#N/A,FALSE,"품의2";#N/A,#N/A,FALSE,"최종재료비"}</definedName>
    <definedName name="ccc" localSheetId="0">{"'통.폐합'!$A$4:$H$11"}</definedName>
    <definedName name="ccc">{"'통.폐합'!$A$4:$H$11"}</definedName>
    <definedName name="cdd">BlankMacro1</definedName>
    <definedName name="chk" localSheetId="0" hidden="1">{"SJ - 기본 보기",#N/A,FALSE,"공사별 외주견적"}</definedName>
    <definedName name="chk" hidden="1">{"SJ - 기본 보기",#N/A,FALSE,"공사별 외주견적"}</definedName>
    <definedName name="co">#REF!</definedName>
    <definedName name="CONDUIT">#REF!</definedName>
    <definedName name="_xlnm.Criteria">#REF!</definedName>
    <definedName name="d">#REF!</definedName>
    <definedName name="data">#REF!</definedName>
    <definedName name="_xlnm.Database">#REF!</definedName>
    <definedName name="dataww" hidden="1">#REF!</definedName>
    <definedName name="DayToStart" localSheetId="7">#REF!</definedName>
    <definedName name="DayToStart">#REF!</definedName>
    <definedName name="DD">#REF!</definedName>
    <definedName name="ddd">#REF!</definedName>
    <definedName name="ddddd" hidden="1">#REF!</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#REF!</definedName>
    <definedName name="dfadfadfa">#REF!</definedName>
    <definedName name="DFASDF" hidden="1">#REF!</definedName>
    <definedName name="DFEE" hidden="1">#REF!</definedName>
    <definedName name="dfsdf">BlankMacro1</definedName>
    <definedName name="DFSSA" localSheetId="0" hidden="1">{#N/A,#N/A,FALSE,"운반시간"}</definedName>
    <definedName name="DFSSA" hidden="1">{#N/A,#N/A,FALSE,"운반시간"}</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IA">#REF!</definedName>
    <definedName name="DKSG" hidden="1">#REF!</definedName>
    <definedName name="DKSGMLWJD" hidden="1">#REF!</definedName>
    <definedName name="dnjs">#REF!</definedName>
    <definedName name="Dp" hidden="1">#REF!</definedName>
    <definedName name="dPtks">#REF!</definedName>
    <definedName name="DROW">#N/A</definedName>
    <definedName name="dsgfggg" hidden="1">#REF!</definedName>
    <definedName name="dusrmq">#REF!</definedName>
    <definedName name="E">#REF!</definedName>
    <definedName name="ED" hidden="1">#REF!</definedName>
    <definedName name="ee" localSheetId="0" hidden="1">{#N/A,#N/A,FALSE,"단가표지"}</definedName>
    <definedName name="ee" hidden="1">{#N/A,#N/A,FALSE,"단가표지"}</definedName>
    <definedName name="ehdgo" localSheetId="0">{"'통.폐합'!$A$4:$H$11"}</definedName>
    <definedName name="ehdgo">{"'통.폐합'!$A$4:$H$11"}</definedName>
    <definedName name="elec1">#REF!</definedName>
    <definedName name="elec2">#REF!</definedName>
    <definedName name="elec3">#REF!</definedName>
    <definedName name="elec4">#REF!</definedName>
    <definedName name="elec5">#REF!</definedName>
    <definedName name="elec6">#REF!</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_xlnm.Extract">#REF!</definedName>
    <definedName name="f">#REF!</definedName>
    <definedName name="F1층">#REF!</definedName>
    <definedName name="faldfk">#REF!</definedName>
    <definedName name="FAX">#REF!,#REF!,#REF!,#REF!,#REF!,#REF!,#REF!,#REF!,#REF!,#REF!,#REF!,#REF!,#REF!,#REF!,#REF!,#REF!</definedName>
    <definedName name="FEEL">#REF!</definedName>
    <definedName name="ff">#REF!</definedName>
    <definedName name="FFF" localSheetId="0" hidden="1">{#N/A,#N/A,FALSE,"단가표지"}</definedName>
    <definedName name="FFF" hidden="1">{#N/A,#N/A,FALSE,"단가표지"}</definedName>
    <definedName name="FG">#REF!</definedName>
    <definedName name="FGGG">#REF!</definedName>
    <definedName name="FH">#REF!</definedName>
    <definedName name="FHFH" hidden="1">#REF!</definedName>
    <definedName name="FHFK" hidden="1">#REF!</definedName>
    <definedName name="firstdate" localSheetId="7">DATE([0]!YearToDisplay,[0]!month,1)</definedName>
    <definedName name="firstdate">DATE([0]!YearToDisplay,[0]!month,1)</definedName>
    <definedName name="foo">ErrorHandler_1</definedName>
    <definedName name="FRAR">#REF!</definedName>
    <definedName name="FSDF" localSheetId="0" hidden="1">{#N/A,#N/A,FALSE,"운반시간"}</definedName>
    <definedName name="FSDF" hidden="1">{#N/A,#N/A,FALSE,"운반시간"}</definedName>
    <definedName name="GEMCO" hidden="1">#REF!</definedName>
    <definedName name="gg" localSheetId="0" hidden="1">{#N/A,#N/A,FALSE,"운반시간"}</definedName>
    <definedName name="gg" hidden="1">{#N/A,#N/A,FALSE,"운반시간"}</definedName>
    <definedName name="gggh">BlankMacro1</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#REF!</definedName>
    <definedName name="ghkrwjd" localSheetId="0">{"'통.폐합'!$A$4:$H$11"}</definedName>
    <definedName name="ghkrwjd">{"'통.폐합'!$A$4:$H$11"}</definedName>
    <definedName name="GMLWD" hidden="1">#REF!</definedName>
    <definedName name="GRT" hidden="1">#REF!</definedName>
    <definedName name="H">#REF!</definedName>
    <definedName name="hardwar" hidden="1">#REF!</definedName>
    <definedName name="HI_전선관">#REF!</definedName>
    <definedName name="HTML_CodePage" hidden="1">949</definedName>
    <definedName name="HTML_Control" localSheetId="0" hidden="1">{"'확정학급'!$A$6:$Z$20"}</definedName>
    <definedName name="HTML_Control" hidden="1">{"'확정학급'!$A$6:$Z$20"}</definedName>
    <definedName name="HTML_Description" hidden="1">""</definedName>
    <definedName name="HTML_Email" hidden="1">""</definedName>
    <definedName name="HTML_Header" hidden="1">""</definedName>
    <definedName name="HTML_LastUpdate" hidden="1">"2001-03-05"</definedName>
    <definedName name="HTML_LineAfter" hidden="1">FALSE</definedName>
    <definedName name="HTML_LineBefore" hidden="1">FALSE</definedName>
    <definedName name="HTML_Name" hidden="1">"행정담당3"</definedName>
    <definedName name="HTML_OBDlg2" hidden="1">TRUE</definedName>
    <definedName name="HTML_OBDlg4" hidden="1">TRUE</definedName>
    <definedName name="HTML_OS" hidden="1">0</definedName>
    <definedName name="HTML_PathFile" hidden="1">"C:\Windows\바탕 화면\MyHTML.htm"</definedName>
    <definedName name="HTML_Title" hidden="1">""</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L">#REF!</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UBILEE_대외협조문">ErrorHandler_1</definedName>
    <definedName name="KFJG">#REF!</definedName>
    <definedName name="KIM">#REF!</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 hidden="1">#REF!</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tf" hidden="1">#REF!</definedName>
    <definedName name="kty" hidden="1">#REF!</definedName>
    <definedName name="l">#REF!</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IBERTY">#REF!</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P___4">#REF!</definedName>
    <definedName name="LP1220S">#REF!</definedName>
    <definedName name="LP1230S">#REF!</definedName>
    <definedName name="MMM"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month" localSheetId="7">MATCH([0]!MonthToDisplay,months,0)</definedName>
    <definedName name="month">MATCH([0]!MonthToDisplay,months,0)</definedName>
    <definedName name="MonthToDisplay" localSheetId="7">#REF!</definedName>
    <definedName name="MonthToDisplay">#REF!</definedName>
    <definedName name="MonthToDisplayNumber" localSheetId="7">MATCH(감리용역검수조서!MonthToDisplay,months,0)</definedName>
    <definedName name="MonthToDisplayNumber">MATCH([0]!MonthToDisplay,months,0)</definedName>
    <definedName name="MOTOR__농형_전폐">#REF!</definedName>
    <definedName name="NDP자료">ErrorHandler_1</definedName>
    <definedName name="NEWNAME" hidden="1">{#N/A,#N/A,FALSE,"CCTV"}</definedName>
    <definedName name="NNN">ErrorHandler_1</definedName>
    <definedName name="nonono">#REF!</definedName>
    <definedName name="OPOP" hidden="1">#REF!</definedName>
    <definedName name="OPP" hidden="1">#REF!</definedName>
    <definedName name="OPPP" hidden="1">#REF!</definedName>
    <definedName name="PP">#REF!</definedName>
    <definedName name="PPC">#REF!,#REF!,#REF!,#REF!,#REF!,#REF!,#REF!,#REF!,#REF!,#REF!,#REF!,#REF!,#REF!</definedName>
    <definedName name="PPP">#REF!</definedName>
    <definedName name="_xlnm.Print_Area" localSheetId="7">감리용역검수조서!$A$2:$J$26</definedName>
    <definedName name="_xlnm.Print_Area" localSheetId="1">공사현장대장!$A$3:$T$330</definedName>
    <definedName name="_xlnm.Print_Area" localSheetId="8">기성검사조서!$A$2:$J$25</definedName>
    <definedName name="_xlnm.Print_Area" localSheetId="10">물품검수조서!$A$3:$M$45</definedName>
    <definedName name="_xlnm.Print_Area" localSheetId="9">'설계변경 동의서'!$A$2:$L$22</definedName>
    <definedName name="_xlnm.Print_Area" localSheetId="11">'설계용역 검수조서'!$A$2:$L$25</definedName>
    <definedName name="_xlnm.Print_Area" localSheetId="4">설계정산동의서!$A$2:$K$30</definedName>
    <definedName name="_xlnm.Print_Area" localSheetId="0">예산카운트!$A$1:$T$1081</definedName>
    <definedName name="_xlnm.Print_Area" localSheetId="3">준공검사조서!$A$2:$J$26</definedName>
    <definedName name="_xlnm.Print_Area" localSheetId="12">준공정산동의서!$A$2:$L$22</definedName>
    <definedName name="PRINT_AREA_MI">#REF!</definedName>
    <definedName name="PRINT_TILTES">#REF!</definedName>
    <definedName name="_xlnm.Print_Titles" localSheetId="0">예산카운트!$4:$6</definedName>
    <definedName name="PRINT_TITLES_MI">#N/A</definedName>
    <definedName name="QA" hidden="1">#REF!</definedName>
    <definedName name="QFQF" hidden="1">#REF!</definedName>
    <definedName name="qnsry" localSheetId="0">{"'통.폐합'!$A$4:$H$11"}</definedName>
    <definedName name="qnsry">{"'통.폐합'!$A$4:$H$11"}</definedName>
    <definedName name="qq" localSheetId="0" hidden="1">{#N/A,#N/A,FALSE,"단가표지"}</definedName>
    <definedName name="qq" hidden="1">{#N/A,#N/A,FALSE,"단가표지"}</definedName>
    <definedName name="QQQ">#REF!</definedName>
    <definedName name="qw" localSheetId="0" hidden="1">{#N/A,#N/A,FALSE,"단가표지"}</definedName>
    <definedName name="qw" hidden="1">{#N/A,#N/A,FALSE,"단가표지"}</definedName>
    <definedName name="qwe">#REF!</definedName>
    <definedName name="_xlnm.Recorder">#REF!</definedName>
    <definedName name="RFYIFIOYGOPIO" hidden="1">#REF!</definedName>
    <definedName name="rh" localSheetId="0" hidden="1">{"'중기작업1'!$A$1:$V$18"}</definedName>
    <definedName name="rh" hidden="1">{"'중기작업1'!$A$1:$V$18"}</definedName>
    <definedName name="RK" hidden="1">#REF!</definedName>
    <definedName name="rkdmf">#REF!</definedName>
    <definedName name="Royalty" hidden="1">{#N/A,#N/A,FALSE,"Sheet1"}</definedName>
    <definedName name="RRR">#REF!</definedName>
    <definedName name="rudnf">#REF!</definedName>
    <definedName name="S.C">#REF!</definedName>
    <definedName name="SAPBEXdnldView" hidden="1">"41JLQUL0YNPVK3OX98UIGJGNP"</definedName>
    <definedName name="SAPBEXsysID" hidden="1">"BWP"</definedName>
    <definedName name="SdAS" hidden="1">#REF!</definedName>
    <definedName name="sdf">#REF!</definedName>
    <definedName name="SDFSF" hidden="1">#REF!</definedName>
    <definedName name="sfasf" localSheetId="0" hidden="1">{"평가지표",#N/A,FALSE,"Sheet2"}</definedName>
    <definedName name="sfasf" hidden="1">{"평가지표",#N/A,FALSE,"Sheet2"}</definedName>
    <definedName name="sheet" localSheetId="0" hidden="1">{#N/A,#N/A,FALSE,"골재소요량";#N/A,#N/A,FALSE,"골재소요량"}</definedName>
    <definedName name="sheet" hidden="1">{#N/A,#N/A,FALSE,"골재소요량";#N/A,#N/A,FALSE,"골재소요량"}</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0</definedName>
    <definedName name="solver_nwt" hidden="1">1</definedName>
    <definedName name="solver_opt" hidden="1">#REF!</definedName>
    <definedName name="solver_pre" hidden="1">0.000001</definedName>
    <definedName name="solver_rel1" hidden="1">1</definedName>
    <definedName name="solver_rhs1" hidden="1">500000000</definedName>
    <definedName name="solver_scl" hidden="1">2</definedName>
    <definedName name="solver_sho" hidden="1">2</definedName>
    <definedName name="solver_tim" hidden="1">100</definedName>
    <definedName name="solver_tmp" hidden="1">500000000</definedName>
    <definedName name="solver_tol" hidden="1">0.05</definedName>
    <definedName name="solver_typ" hidden="1">1</definedName>
    <definedName name="solver_val" hidden="1">0</definedName>
    <definedName name="SPC용">ErrorHandler_1</definedName>
    <definedName name="SPSS">#REF!</definedName>
    <definedName name="ss" localSheetId="0" hidden="1">{#N/A,#N/A,FALSE,"운반시간"}</definedName>
    <definedName name="ss" hidden="1">{#N/A,#N/A,FALSE,"운반시간"}</definedName>
    <definedName name="SSS">#REF!</definedName>
    <definedName name="SWS" hidden="1">#REF!</definedName>
    <definedName name="tjdnf">#REF!</definedName>
    <definedName name="tt" localSheetId="0" hidden="1">{#N/A,#N/A,FALSE,"단가표지"}</definedName>
    <definedName name="tt" hidden="1">{#N/A,#N/A,FALSE,"단가표지"}</definedName>
    <definedName name="TTT">#REF!</definedName>
    <definedName name="TTTT" hidden="1">#REF!</definedName>
    <definedName name="UH">#REF!</definedName>
    <definedName name="V">#N/A</definedName>
    <definedName name="vbbb">BlankMacro1</definedName>
    <definedName name="VVV">#REF!</definedName>
    <definedName name="weekday_option" localSheetId="7">MATCH(감리용역검수조서!DayToStart,weekdays_reversed,0)-2</definedName>
    <definedName name="weekday_option">MATCH([0]!DayToStart,weekdays_reversed,0)-2</definedName>
    <definedName name="wm.조골재1" localSheetId="0" hidden="1">{#N/A,#N/A,FALSE,"조골재"}</definedName>
    <definedName name="wm.조골재1" hidden="1">{#N/A,#N/A,FALSE,"조골재"}</definedName>
    <definedName name="WRITE" hidden="1">{#N/A,#N/A,FALSE,"CCTV"}</definedName>
    <definedName name="wrn.2번." localSheetId="0" hidden="1">{#N/A,#N/A,FALSE,"2~8번"}</definedName>
    <definedName name="wrn.2번." hidden="1">{#N/A,#N/A,FALSE,"2~8번"}</definedName>
    <definedName name="wrn.BM." hidden="1">{#N/A,#N/A,FALSE,"CCTV"}</definedName>
    <definedName name="wrn.RUSSIANTRAY2." localSheetId="0" hidden="1">{#N/A,#N/A,FALSE,"품의1";#N/A,#N/A,FALSE,"품의2";#N/A,#N/A,FALSE,"최종재료비"}</definedName>
    <definedName name="wrn.RUSSIANTRAY2." hidden="1">{#N/A,#N/A,FALSE,"품의1";#N/A,#N/A,FALSE,"품의2";#N/A,#N/A,FALSE,"최종재료비"}</definedName>
    <definedName name="wrn.골재소요량." localSheetId="0" hidden="1">{#N/A,#N/A,FALSE,"골재소요량";#N/A,#N/A,FALSE,"골재소요량"}</definedName>
    <definedName name="wrn.골재소요량." hidden="1">{#N/A,#N/A,FALSE,"골재소요량";#N/A,#N/A,FALSE,"골재소요량"}</definedName>
    <definedName name="wrn.단가표지." localSheetId="0" hidden="1">{#N/A,#N/A,FALSE,"단가표지"}</definedName>
    <definedName name="wrn.단가표지." hidden="1">{#N/A,#N/A,FALSE,"단가표지"}</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신용찬." hidden="1">{#N/A,#N/A,TRUE,"토적및재료집계";#N/A,#N/A,TRUE,"토적및재료집계";#N/A,#N/A,TRUE,"단위량"}</definedName>
    <definedName name="wrn.업체별._.견적공사명." localSheetId="0" hidden="1">{"SJ - 기본 보기",#N/A,FALSE,"공사별 외주견적"}</definedName>
    <definedName name="wrn.업체별._.견적공사명." hidden="1">{"SJ - 기본 보기",#N/A,FALSE,"공사별 외주견적"}</definedName>
    <definedName name="wrn.운반시간." localSheetId="0" hidden="1">{#N/A,#N/A,FALSE,"운반시간"}</definedName>
    <definedName name="wrn.운반시간." hidden="1">{#N/A,#N/A,FALSE,"운반시간"}</definedName>
    <definedName name="wrn.조골재." localSheetId="0" hidden="1">{#N/A,#N/A,FALSE,"조골재"}</definedName>
    <definedName name="wrn.조골재." hidden="1">{#N/A,#N/A,FALSE,"조골재"}</definedName>
    <definedName name="wrn.평가지표." localSheetId="0" hidden="1">{"평가지표",#N/A,FALSE,"Sheet2"}</definedName>
    <definedName name="wrn.평가지표." hidden="1">{"평가지표",#N/A,FALSE,"Sheet2"}</definedName>
    <definedName name="wrn.표지목차." localSheetId="0" hidden="1">{#N/A,#N/A,FALSE,"표지목차"}</definedName>
    <definedName name="wrn.표지목차." hidden="1">{#N/A,#N/A,FALSE,"표지목차"}</definedName>
    <definedName name="wrn.혼합골재." localSheetId="0" hidden="1">{#N/A,#N/A,FALSE,"혼합골재"}</definedName>
    <definedName name="wrn.혼합골재." hidden="1">{#N/A,#N/A,FALSE,"혼합골재"}</definedName>
    <definedName name="ww" localSheetId="0" hidden="1">{#N/A,#N/A,FALSE,"골재소요량";#N/A,#N/A,FALSE,"골재소요량"}</definedName>
    <definedName name="ww" hidden="1">{#N/A,#N/A,FALSE,"골재소요량";#N/A,#N/A,FALSE,"골재소요량"}</definedName>
    <definedName name="WWW">#REF!</definedName>
    <definedName name="XCVBGSDFGSER" hidden="1">#REF!</definedName>
    <definedName name="xx" localSheetId="0" hidden="1">{"평가지표",#N/A,FALSE,"Sheet2"}</definedName>
    <definedName name="xx" hidden="1">{"평가지표",#N/A,FALSE,"Sheet2"}</definedName>
    <definedName name="xxx">#REF!</definedName>
    <definedName name="YearToDisplay" localSheetId="7">#REF!</definedName>
    <definedName name="YearToDisplay">#REF!</definedName>
    <definedName name="YYY">#REF!</definedName>
    <definedName name="Z____">"$"</definedName>
    <definedName name="zx" hidden="1">#REF!</definedName>
    <definedName name="zzz">ErrorHandler_1</definedName>
    <definedName name="Z기타기계">#REF!,#REF!,#REF!,#REF!,#REF!,#REF!,#REF!,#REF!,#REF!,#REF!,#REF!,#REF!,#REF!</definedName>
    <definedName name="ああ">ErrorHandler_1</definedName>
    <definedName name="うぇ">ErrorHandler_1</definedName>
    <definedName name="っＤ">ErrorHandler_1</definedName>
    <definedName name="っＦ">ErrorHandler_1</definedName>
    <definedName name="っＳ">ErrorHandler_1</definedName>
    <definedName name="ㄱ" hidden="1">#REF!</definedName>
    <definedName name="가구공사" hidden="1">#REF!</definedName>
    <definedName name="가구류" localSheetId="0" hidden="1">{"'용역비'!$A$4:$C$8"}</definedName>
    <definedName name="가구류" hidden="1">{"'용역비'!$A$4:$C$8"}</definedName>
    <definedName name="가나다라마">#REF!</definedName>
    <definedName name="가다">#REF!</definedName>
    <definedName name="가산초">#REF!</definedName>
    <definedName name="가설공사노무비합계">#REF!</definedName>
    <definedName name="가설공사재료비합계">#REF!</definedName>
    <definedName name="가아" hidden="1">#REF!</definedName>
    <definedName name="가을">#REF!</definedName>
    <definedName name="간다">#REF!</definedName>
    <definedName name="간다..">#REF!</definedName>
    <definedName name="간선물량산출REV.3">#REF!</definedName>
    <definedName name="갑03">#REF!</definedName>
    <definedName name="갑니까">#REF!</definedName>
    <definedName name="갑지" hidden="1">#REF!</definedName>
    <definedName name="갑지3" hidden="1">{#N/A,#N/A,FALSE,"CCTV"}</definedName>
    <definedName name="강2">#REF!</definedName>
    <definedName name="강릉0">#REF!</definedName>
    <definedName name="강릉1">#REF!</definedName>
    <definedName name="강릉2">#REF!</definedName>
    <definedName name="강아지" hidden="1">#REF!</definedName>
    <definedName name="강임시">#REF!</definedName>
    <definedName name="개거" hidden="1">#REF!</definedName>
    <definedName name="거">#REF!</definedName>
    <definedName name="거ㅏ" hidden="1">#REF!</definedName>
    <definedName name="건축" hidden="1">{#N/A,#N/A,TRUE,"토적및재료집계";#N/A,#N/A,TRUE,"토적및재료집계";#N/A,#N/A,TRUE,"단위량"}</definedName>
    <definedName name="견적대비" hidden="1">#REF!</definedName>
    <definedName name="결산">#REF!</definedName>
    <definedName name="결산19">#REF!</definedName>
    <definedName name="결산액">#REF!,#REF!,#REF!,#REF!,#REF!,#REF!,#REF!,#REF!,#REF!,#REF!,#REF!,#REF!,#REF!,#REF!,#REF!,#REF!,#REF!,#REF!,#REF!,#REF!,#REF!,#REF!,#REF!,#REF!,#REF!,#REF!,#REF!,#REF!,#REF!,#REF!,#REF!,#REF!,#REF!,#REF!,#REF!,#REF!</definedName>
    <definedName name="결정치">#REF!</definedName>
    <definedName name="경">#REF!</definedName>
    <definedName name="경비">#REF!</definedName>
    <definedName name="經費">#REF!</definedName>
    <definedName name="경비1" hidden="1">#REF!</definedName>
    <definedName name="계약의뢰" hidden="1">#REF!</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획금액">#REF!</definedName>
    <definedName name="계획면적">#REF!</definedName>
    <definedName name="계획수립">#REF!</definedName>
    <definedName name="계획연도">#REF!</definedName>
    <definedName name="고">#REF!</definedName>
    <definedName name="고고" localSheetId="0">{"'확정학급'!$A$6:$Z$20"}</definedName>
    <definedName name="고고">{"'확정학급'!$A$6:$Z$20"}</definedName>
    <definedName name="고등">#REF!</definedName>
    <definedName name="고등고">#REF!</definedName>
    <definedName name="고산출" localSheetId="0">{"'확정학급'!$A$6:$Z$20"}</definedName>
    <definedName name="고산출">{"'확정학급'!$A$6:$Z$20"}</definedName>
    <definedName name="고성1">#REF!</definedName>
    <definedName name="고성2">#REF!</definedName>
    <definedName name="곡" localSheetId="0">{"'확정학급'!$A$6:$Z$20"}</definedName>
    <definedName name="곡">{"'확정학급'!$A$6:$Z$20"}</definedName>
    <definedName name="공">#REF!</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사명">#REF!</definedName>
    <definedName name="공사연계">#REF!</definedName>
    <definedName name="공사원가계산서" hidden="1">{#N/A,#N/A,TRUE,"토적및재료집계";#N/A,#N/A,TRUE,"토적및재료집계";#N/A,#N/A,TRUE,"단위량"}</definedName>
    <definedName name="공사책임자">#REF!</definedName>
    <definedName name="공용차량" hidden="1">#REF!</definedName>
    <definedName name="공정">#REF!</definedName>
    <definedName name="공종">OFFSET(#REF!,0,0,COUNTA(#REF!),1)</definedName>
    <definedName name="공종간지" hidden="1">#REF!</definedName>
    <definedName name="공종분류">OFFSET(#REF!,0,0,COUNTA(#REF!),1)</definedName>
    <definedName name="공통일위">#REF!</definedName>
    <definedName name="관급조달" hidden="1">{#N/A,#N/A,FALSE,"Sheet1"}</definedName>
    <definedName name="광원기">#REF!</definedName>
    <definedName name="교육과학정보원">#REF!</definedName>
    <definedName name="교직원수련원">#REF!</definedName>
    <definedName name="구분">BlankMacro1</definedName>
    <definedName name="구분1">BlankMacro1</definedName>
    <definedName name="구분12">BlankMacro1</definedName>
    <definedName name="구분2">BlankMacro1</definedName>
    <definedName name="국구구국구구구">#REF!</definedName>
    <definedName name="국내발주분">ErrorHandler_1</definedName>
    <definedName name="권" localSheetId="0">{"'확정학급'!$A$6:$Z$20"}</definedName>
    <definedName name="권">{"'확정학급'!$A$6:$Z$20"}</definedName>
    <definedName name="규격">OFFSET(#REF!,0,0,COUNTA(#REF!),1)</definedName>
    <definedName name="금대초">#REF!</definedName>
    <definedName name="금액2014">#REF!</definedName>
    <definedName name="금액2015">#REF!</definedName>
    <definedName name="급" localSheetId="0">{"'확정학급'!$A$6:$Z$20"}</definedName>
    <definedName name="급">{"'확정학급'!$A$6:$Z$20"}</definedName>
    <definedName name="급당" localSheetId="0">{"'확정학급'!$A$6:$Z$20"}</definedName>
    <definedName name="급당">{"'확정학급'!$A$6:$Z$20"}</definedName>
    <definedName name="급별">#REF!</definedName>
    <definedName name="급식">#REF!</definedName>
    <definedName name="급식이당" localSheetId="0">{"'확정학급'!$A$6:$Z$20"}</definedName>
    <definedName name="급식이당">{"'확정학급'!$A$6:$Z$20"}</definedName>
    <definedName name="기계3">BlankMacro1</definedName>
    <definedName name="기계4">BlankMacro1</definedName>
    <definedName name="기계내역관급자재" hidden="1">#REF!</definedName>
    <definedName name="기관명">#REF!</definedName>
    <definedName name="기성차수">#REF!</definedName>
    <definedName name="기타경비" hidden="1">{#N/A,#N/A,TRUE,"토적및재료집계";#N/A,#N/A,TRUE,"토적및재료집계";#N/A,#N/A,TRUE,"단위량"}</definedName>
    <definedName name="김유정">#REF!</definedName>
    <definedName name="김은우">#REF!</definedName>
    <definedName name="김조영" localSheetId="0">{"'확정학급'!$A$6:$Z$20"}</definedName>
    <definedName name="김조영">{"'확정학급'!$A$6:$Z$20"}</definedName>
    <definedName name="ㄳㄳㄳㄳ" localSheetId="0" hidden="1">{"'용역비'!$A$4:$C$8"}</definedName>
    <definedName name="ㄳㄳㄳㄳ" hidden="1">{"'용역비'!$A$4:$C$8"}</definedName>
    <definedName name="ㄴㄴㄴ" hidden="1">#REF!</definedName>
    <definedName name="ㄴㄴㄴㄴ" hidden="1">#REF!</definedName>
    <definedName name="ㄴㄴㄴㄴㄴ" hidden="1">#REF!</definedName>
    <definedName name="ㄴㄴㄴㄴㄴㄴ">BlankMacro1</definedName>
    <definedName name="ㄴㄴㄴㄴㄴㄴㄴㄴㄴㄴㄴㄴㄴㄴㄴㄴㄴ" hidden="1">#REF!</definedName>
    <definedName name="ㄴㄹ" hidden="1">#REF!</definedName>
    <definedName name="ㄴㄹㅇ">#REF!</definedName>
    <definedName name="ㄴㅀ" hidden="1">#REF!</definedName>
    <definedName name="ㄴㅁㄴㅇㄹ" hidden="1">#REF!</definedName>
    <definedName name="ㄴㅇㄹ" localSheetId="0">{"'확정학급'!$A$6:$Z$20"}</definedName>
    <definedName name="ㄴㅇㄹ">{"'확정학급'!$A$6:$Z$20"}</definedName>
    <definedName name="ㄴㅇㄹㄴㅁㅇㄹㄴㅇ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ㄴㅇㄹㄷ" hidden="1">#REF!</definedName>
    <definedName name="ㄴㅇㄻ" hidden="1">#REF!</definedName>
    <definedName name="ㄴㅇㄼㅈㄷㄹ" hidden="1">#REF!</definedName>
    <definedName name="ㄴㅇㅇ" hidden="1">#REF!</definedName>
    <definedName name="ㄴㅇㅍㅁㄴㅇㄹ" hidden="1">#REF!</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역" hidden="1">#REF!</definedName>
    <definedName name="내역_">#REF!</definedName>
    <definedName name="내역서2" hidden="1">{#N/A,#N/A,FALSE,"CCTV"}</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냉방전용" hidden="1">{#N/A,#N/A,FALSE,"Sheet1"}</definedName>
    <definedName name="냉전" hidden="1">{#N/A,#N/A,FALSE,"Sheet1"}</definedName>
    <definedName name="너란색">#REF!,#REF!,#REF!,#REF!,#REF!,#REF!,#REF!,#REF!,#REF!,#REF!,#REF!,#REF!,#REF!,#REF!,#REF!,#REF!,#REF!,#REF!,#REF!,#REF!,#REF!,#REF!,#REF!,#REF!,#REF!,#REF!,#REF!,#REF!,#REF!,#REF!,#REF!,#REF!,#REF!,#REF!,#REF!,#REF!</definedName>
    <definedName name="노무비">#REF!</definedName>
    <definedName name="勞務費">#REF!</definedName>
    <definedName name="노부비">#REF!</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임1">BlankMacro1</definedName>
    <definedName name="노임2">BlankMacro1</definedName>
    <definedName name="노임3">BlankMacro1</definedName>
    <definedName name="노임단가">#REF!</definedName>
    <definedName name="노임품명">#REF!</definedName>
    <definedName name="ㄷ">#REF!</definedName>
    <definedName name="ㄷㄷ">BlankMacro1</definedName>
    <definedName name="ㄷㄷㄷ">BlankMacro1</definedName>
    <definedName name="ㄷㅎㄹㅇ" hidden="1">#REF!</definedName>
    <definedName name="단_가">#REF!</definedName>
    <definedName name="단_가2">#REF!</definedName>
    <definedName name="단_가3">#REF!</definedName>
    <definedName name="단_가4">#REF!</definedName>
    <definedName name="단_가5">#REF!</definedName>
    <definedName name="단_가6">#REF!</definedName>
    <definedName name="단가2">#REF!</definedName>
    <definedName name="단가대상표">#REF!</definedName>
    <definedName name="단가대상표1">#REF!</definedName>
    <definedName name="단가조건영역">#REF!</definedName>
    <definedName name="단가조건표">#REF!</definedName>
    <definedName name="단가조사자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단감">#REF!</definedName>
    <definedName name="단같">#N/A</definedName>
    <definedName name="단같1">#N/A</definedName>
    <definedName name="단같2">#N/A</definedName>
    <definedName name="단같3">#N/A</definedName>
    <definedName name="단같4">#N/A</definedName>
    <definedName name="단기입력">#REF!</definedName>
    <definedName name="단위">OFFSET(#REF!,0,0,COUNTA(#REF!),1)</definedName>
    <definedName name="단위공량10">#REF!</definedName>
    <definedName name="단위공량11">#REF!</definedName>
    <definedName name="단위공량12">#REF!</definedName>
    <definedName name="단위공량13">#REF!</definedName>
    <definedName name="단위공량14">#REF!</definedName>
    <definedName name="단위공량15">#REF!</definedName>
    <definedName name="단위공량16">#REF!</definedName>
    <definedName name="단위공량17">#REF!</definedName>
    <definedName name="단위공량2">#REF!</definedName>
    <definedName name="단위공량3">#REF!</definedName>
    <definedName name="단위공량4">#REF!</definedName>
    <definedName name="단위공량5">#REF!</definedName>
    <definedName name="단위공량6">#REF!</definedName>
    <definedName name="단위공량7">#REF!</definedName>
    <definedName name="단위공량8">#REF!</definedName>
    <definedName name="단위공량9">#REF!</definedName>
    <definedName name="당초">#REF!</definedName>
    <definedName name="대강당배관" hidden="1">#REF!</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금" localSheetId="0" hidden="1">{#N/A,#N/A,FALSE,"품의1";#N/A,#N/A,FALSE,"품의2";#N/A,#N/A,FALSE,"최종재료비"}</definedName>
    <definedName name="대금" hidden="1">{#N/A,#N/A,FALSE,"품의1";#N/A,#N/A,FALSE,"품의2";#N/A,#N/A,FALSE,"최종재료비"}</definedName>
    <definedName name="대상표">#REF!</definedName>
    <definedName name="대장">#REF!</definedName>
    <definedName name="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경비">#REF!</definedName>
    <definedName name="도급공사비">#REF!</definedName>
    <definedName name="도급분류">OFFSET(#REF!,0,0,COUNTA(#REF!),1)</definedName>
    <definedName name="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서관제외" localSheetId="0">{"'확정학급'!$A$6:$Z$20"}</definedName>
    <definedName name="도서관제외">{"'확정학급'!$A$6:$Z$20"}</definedName>
    <definedName name="도서관포함" localSheetId="0">{"'확정학급'!$A$6:$Z$20"}</definedName>
    <definedName name="도서관포함">{"'확정학급'!$A$6:$Z$20"}</definedName>
    <definedName name="독립형E">#REF!</definedName>
    <definedName name="동2">#REF!</definedName>
    <definedName name="동아기업" localSheetId="0" hidden="1">{"'용역비'!$A$4:$C$8"}</definedName>
    <definedName name="동아기업" hidden="1">{"'용역비'!$A$4:$C$8"}</definedName>
    <definedName name="동양" hidden="1">{#N/A,#N/A,FALSE,"CCTV"}</definedName>
    <definedName name="동해0">#REF!</definedName>
    <definedName name="동해1">#REF!</definedName>
    <definedName name="동해2">#REF!</definedName>
    <definedName name="등록금">#REF!</definedName>
    <definedName name="딜러" localSheetId="0" hidden="1">{#N/A,#N/A,FALSE,"품의1";#N/A,#N/A,FALSE,"품의2";#N/A,#N/A,FALSE,"최종재료비"}</definedName>
    <definedName name="딜러" hidden="1">{#N/A,#N/A,FALSE,"품의1";#N/A,#N/A,FALSE,"품의2";#N/A,#N/A,FALSE,"최종재료비"}</definedName>
    <definedName name="ㄹ">#REF!</definedName>
    <definedName name="ㄹㄴ" hidden="1">#REF!</definedName>
    <definedName name="ㄹㄹ" hidden="1">#REF!</definedName>
    <definedName name="ㄹㄹㄹ" hidden="1">#REF!</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ㄹㄹㄹ" localSheetId="0" hidden="1">{#N/A,#N/A,FALSE,"운반시간"}</definedName>
    <definedName name="ㄹㄹㅇㄹㄹㄹ" hidden="1">{#N/A,#N/A,FALSE,"운반시간"}</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ㄹㅇ" hidden="1">#REF!</definedName>
    <definedName name="ㄹㅇㄹㅈㄷㅊ" hidden="1">#REF!</definedName>
    <definedName name="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렌즈">#REF!</definedName>
    <definedName name="ㅀ" hidden="1">{#N/A,#N/A,TRUE,"토적및재료집계";#N/A,#N/A,TRUE,"토적및재료집계";#N/A,#N/A,TRUE,"단위량"}</definedName>
    <definedName name="ㅁ">#REF!</definedName>
    <definedName name="ㅁ1">#REF!</definedName>
    <definedName name="ㅁㄴㅇㄹ" hidden="1">#REF!</definedName>
    <definedName name="ㅁㄴㅇ류" hidden="1">#REF!</definedName>
    <definedName name="ㅁㄴㅇㄻㄴㅇㄹㄴ" hidden="1">#REF!</definedName>
    <definedName name="ㅁㄴㅇㅍㄴㅇㄴ" hidden="1">#REF!</definedName>
    <definedName name="ㅁㄴㅊㅍㅁㅌㅊ펌ㄴㅇㄹ" hidden="1">#REF!</definedName>
    <definedName name="ㅁㄻㄴㅇㄹㄴㅇㄹㄴ" hidden="1">#REF!</definedName>
    <definedName name="ㅁㅁ">#REF!</definedName>
    <definedName name="ㅁㅁㅁ">#REF!</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인ㅍㅁ닟ㅍㅁㄴㅇㄹ" hidden="1">#REF!</definedName>
    <definedName name="ㅁ읾ㄴㅇㄻ" hidden="1">#REF!</definedName>
    <definedName name="ㅁㅈㄷㅅㅂㄱ흎ㅊ퓨" hidden="1">#REF!</definedName>
    <definedName name="ㅁㅊㅇㅍㅁㄴㅇㄻㄴㅇㄹ" hidden="1">#REF!</definedName>
    <definedName name="마">#REF!</definedName>
    <definedName name="만득이" localSheetId="0" hidden="1">{#N/A,#N/A,FALSE,"2~8번"}</definedName>
    <definedName name="만득이" hidden="1">{#N/A,#N/A,FALSE,"2~8번"}</definedName>
    <definedName name="매입형C1">#REF!</definedName>
    <definedName name="매입형C2">#REF!</definedName>
    <definedName name="매입형C3">#REF!</definedName>
    <definedName name="명칭">#REF!</definedName>
    <definedName name="모래">#REF!</definedName>
    <definedName name="모형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모형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모형제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목돈입력">#REF!</definedName>
    <definedName name="목동" hidden="1">{#N/A,#N/A,FALSE,"CCTV"}</definedName>
    <definedName name="목동현대백화점" hidden="1">{#N/A,#N/A,FALSE,"CCTV"}</definedName>
    <definedName name="목록대상표">#REF!</definedName>
    <definedName name="몰라2">BlankMacro1</definedName>
    <definedName name="몰러" hidden="1">#REF!</definedName>
    <definedName name="물가">#REF!</definedName>
    <definedName name="물가2">#REF!</definedName>
    <definedName name="물가변동내역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뭐야이건">#REF!</definedName>
    <definedName name="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ㅂ">#REF!</definedName>
    <definedName name="ㅂㅂㅂ" localSheetId="0" hidden="1">{"'용역비'!$A$4:$C$8"}</definedName>
    <definedName name="ㅂㅂㅂ" hidden="1">{"'용역비'!$A$4:$C$8"}</definedName>
    <definedName name="발주원본">ErrorHandler_1</definedName>
    <definedName name="법정" localSheetId="0">{"'확정학급'!$A$6:$Z$20"}</definedName>
    <definedName name="법정">{"'확정학급'!$A$6:$Z$20"}</definedName>
    <definedName name="벽돌면적">#REF!</definedName>
    <definedName name="벽체" localSheetId="0" hidden="1">{#N/A,#N/A,FALSE,"혼합골재"}</definedName>
    <definedName name="벽체" hidden="1">{#N/A,#N/A,FALSE,"혼합골재"}</definedName>
    <definedName name="벽체1" localSheetId="0" hidden="1">{#N/A,#N/A,FALSE,"혼합골재"}</definedName>
    <definedName name="벽체1" hidden="1">{#N/A,#N/A,FALSE,"혼합골재"}</definedName>
    <definedName name="병설고" localSheetId="0">{"'확정학급'!$A$6:$Z$20"}</definedName>
    <definedName name="병설고">{"'확정학급'!$A$6:$Z$20"}</definedName>
    <definedName name="병설산출" localSheetId="0">{"'확정학급'!$A$6:$Z$20"}</definedName>
    <definedName name="병설산출">{"'확정학급'!$A$6:$Z$20"}</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본" localSheetId="0">{"'통.폐합'!$A$4:$H$11"}</definedName>
    <definedName name="본">{"'통.폐합'!$A$4:$H$11"}</definedName>
    <definedName name="본교" localSheetId="0">{"'통.폐합'!$A$4:$H$11"}</definedName>
    <definedName name="본교">{"'통.폐합'!$A$4:$H$11"}</definedName>
    <definedName name="본예산20">#REF!</definedName>
    <definedName name="봉ㅅ">#REF!</definedName>
    <definedName name="附加價値稅">#REF!</definedName>
    <definedName name="부대일위대가">#REF!</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서">#REF!</definedName>
    <definedName name="부자총액">#REF!</definedName>
    <definedName name="분" localSheetId="0">{"'통.폐합'!$A$4:$H$11"}</definedName>
    <definedName name="분">{"'통.폐합'!$A$4:$H$11"}</definedName>
    <definedName name="분류">#REF!</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불가">#REF!</definedName>
    <definedName name="불가항목사진대장2">#REF!</definedName>
    <definedName name="비" localSheetId="0">{"'확정학급'!$A$6:$Z$20"}</definedName>
    <definedName name="비">{"'확정학급'!$A$6:$Z$20"}</definedName>
    <definedName name="비두초">#REF!</definedName>
    <definedName name="ㅅ" hidden="1">{#N/A,#N/A,TRUE,"토적및재료집계";#N/A,#N/A,TRUE,"토적및재료집계";#N/A,#N/A,TRUE,"단위량"}</definedName>
    <definedName name="ㅅㅅ" hidden="1">#REF!</definedName>
    <definedName name="ㅅㅅㅅㅅ">BlankMacro1</definedName>
    <definedName name="사급자재">OFFSET(#REF!,0,0,COUNTA(#REF!),1)</definedName>
    <definedName name="사랑" hidden="1">#REF!</definedName>
    <definedName name="사업">#REF!</definedName>
    <definedName name="사업번호">#REF!</definedName>
    <definedName name="사유">#REF!</definedName>
    <definedName name="사인일위">#REF!</definedName>
    <definedName name="사진">#REF!</definedName>
    <definedName name="산출근거">BlankMacro1</definedName>
    <definedName name="산출근거2">BlankMacro1</definedName>
    <definedName name="삼척1">#REF!</definedName>
    <definedName name="삼척101">#REF!</definedName>
    <definedName name="삼척2">#REF!</definedName>
    <definedName name="새이름">#REF!</definedName>
    <definedName name="샘플">ErrorHandler_1</definedName>
    <definedName name="서식4">#REF!</definedName>
    <definedName name="서식6">#REF!</definedName>
    <definedName name="선관">#REF!</definedName>
    <definedName name="설계서">#REF!</definedName>
    <definedName name="설계설명" hidden="1">#REF!</definedName>
    <definedName name="세목">#REF!</definedName>
    <definedName name="세부사업">#REF!</definedName>
    <definedName name="소갑">#REF!</definedName>
    <definedName name="소계">#REF!</definedName>
    <definedName name="소계1">#REF!</definedName>
    <definedName name="소계3">#REF!</definedName>
    <definedName name="소계4">#REF!</definedName>
    <definedName name="소계5">#REF!</definedName>
    <definedName name="소방">#REF!</definedName>
    <definedName name="소분류">#REF!</definedName>
    <definedName name="소화갑지" hidden="1">{#N/A,#N/A,FALSE,"CCTV"}</definedName>
    <definedName name="속초1">#REF!</definedName>
    <definedName name="속초2">#REF!</definedName>
    <definedName name="수량산출">BlankMacro1</definedName>
    <definedName name="수량산출2">BlankMacro1</definedName>
    <definedName name="수량산출3">BlankMacro1</definedName>
    <definedName name="수량산출5">BlankMacro1</definedName>
    <definedName name="수량산출6">BlankMacro1</definedName>
    <definedName name="수량산출서2">#REF!</definedName>
    <definedName name="수량산출서표지">BlankMacro1</definedName>
    <definedName name="수량산출서표지1">BlankMacro1</definedName>
    <definedName name="수리" hidden="1">{"'확정학급'!$A$6:$Z$20"}</definedName>
    <definedName name="수리과학정보체험센터">#REF!</definedName>
    <definedName name="수리체험" hidden="1">{"'확정학급'!$A$6:$Z$20"}</definedName>
    <definedName name="수목">#REF!</definedName>
    <definedName name="수업">#REF!</definedName>
    <definedName name="수업료">#REF!</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純工事原價">#REF!</definedName>
    <definedName name="순번">#REF!</definedName>
    <definedName name="승용교" localSheetId="0" hidden="1">{#N/A,#N/A,FALSE,"2~8번"}</definedName>
    <definedName name="승용교" hidden="1">{#N/A,#N/A,FALSE,"2~8번"}</definedName>
    <definedName name="시3">BlankMacro1</definedName>
    <definedName name="시4">BlankMacro1</definedName>
    <definedName name="시방">#REF!</definedName>
    <definedName name="시방1">#REF!</definedName>
    <definedName name="시스템노무비합계">#REF!</definedName>
    <definedName name="시스템재료비">#REF!</definedName>
    <definedName name="시스템재료비합계">#REF!</definedName>
    <definedName name="시중노임1">#N/A</definedName>
    <definedName name="시트">#REF!</definedName>
    <definedName name="신라왕경">#REF!</definedName>
    <definedName name="신창공장분">ErrorHandler_1</definedName>
    <definedName name="신창공장요청분">ErrorHandler_1</definedName>
    <definedName name="신축시">#REF!</definedName>
    <definedName name="실과">#REF!</definedName>
    <definedName name="실적">#REF!</definedName>
    <definedName name="실적금액">#REF!</definedName>
    <definedName name="실적면적">#REF!</definedName>
    <definedName name="실적연도">#REF!</definedName>
    <definedName name="ㅇ">#REF!</definedName>
    <definedName name="ㅇ3423134131ㅍㅊ4ㄱ1ㅇㅂㄱㄴ" hidden="1">{"'확정학급'!$A$6:$Z$20"}</definedName>
    <definedName name="ㅇㄴㄹㄴㅇㄹㄴㅇㄹ" hidden="1">#REF!</definedName>
    <definedName name="ㅇㄹ" hidden="1">#REF!</definedName>
    <definedName name="ㅇㄹㅀ" hidden="1">#REF!</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러ㅣㄴ이ㅏ러ㅣ" hidden="1">{#N/A,#N/A,FALSE,"Sheet1"}</definedName>
    <definedName name="ㅇㄻㄴㅇㄻㄴㅇㄹ" hidden="1">#REF!</definedName>
    <definedName name="ㅇㅁㄻ" hidden="1">{#N/A,#N/A,FALSE,"Sheet1"}</definedName>
    <definedName name="ㅇㅇ">#N/A</definedName>
    <definedName name="ㅇㅇㅇ" localSheetId="0">{"'통.폐합'!$A$4:$H$11"}</definedName>
    <definedName name="ㅇㅇㅇ">{"'통.폐합'!$A$4:$H$11"}</definedName>
    <definedName name="ㅇㅇㅇㅇ">#REF!</definedName>
    <definedName name="ㅇㅇㅇㅇㅇ">#REF!</definedName>
    <definedName name="ㅇㅇㅇㅇㅇㅇ" hidden="1">#REF!</definedName>
    <definedName name="ㅇㅈㄷㅄㅂㅈㄷㄱ" hidden="1">#REF!</definedName>
    <definedName name="아아">#REF!</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안산" hidden="1">{#N/A,#N/A,FALSE,"CCTV"}</definedName>
    <definedName name="안억모">#REF!</definedName>
    <definedName name="암파쇄" localSheetId="0" hidden="1">{#N/A,#N/A,FALSE,"혼합골재"}</definedName>
    <definedName name="암파쇄" hidden="1">{#N/A,#N/A,FALSE,"혼합골재"}</definedName>
    <definedName name="양구1">#REF!</definedName>
    <definedName name="양구2">#REF!</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언" hidden="1">#REF!</definedName>
    <definedName name="업무7월" localSheetId="0" hidden="1">{#N/A,#N/A,FALSE,"품의1";#N/A,#N/A,FALSE,"품의2";#N/A,#N/A,FALSE,"최종재료비"}</definedName>
    <definedName name="업무7월" hidden="1">{#N/A,#N/A,FALSE,"품의1";#N/A,#N/A,FALSE,"품의2";#N/A,#N/A,FALSE,"최종재료비"}</definedName>
    <definedName name="업체">#REF!</definedName>
    <definedName name="연급ㅂ">#REF!</definedName>
    <definedName name="연번">#REF!</definedName>
    <definedName name="영시스템" hidden="1">#REF!</definedName>
    <definedName name="영월1">#REF!</definedName>
    <definedName name="영월2">#REF!</definedName>
    <definedName name="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옹" localSheetId="0" hidden="1">{#N/A,#N/A,FALSE,"골재소요량";#N/A,#N/A,FALSE,"골재소요량"}</definedName>
    <definedName name="옹" hidden="1">{#N/A,#N/A,FALSE,"골재소요량";#N/A,#N/A,FALSE,"골재소요량"}</definedName>
    <definedName name="옹벽" localSheetId="0" hidden="1">{#N/A,#N/A,FALSE,"혼합골재"}</definedName>
    <definedName name="옹벽" hidden="1">{#N/A,#N/A,FALSE,"혼합골재"}</definedName>
    <definedName name="옹벽수량집계표" localSheetId="0" hidden="1">{#N/A,#N/A,FALSE,"2~8번"}</definedName>
    <definedName name="옹벽수량집계표" hidden="1">{#N/A,#N/A,FALSE,"2~8번"}</definedName>
    <definedName name="옹벽수량집계표총괄" localSheetId="0" hidden="1">{#N/A,#N/A,FALSE,"혼합골재"}</definedName>
    <definedName name="옹벽수량집계표총괄" hidden="1">{#N/A,#N/A,FALSE,"혼합골재"}</definedName>
    <definedName name="완공3" hidden="1">#REF!</definedName>
    <definedName name="요구">#REF!</definedName>
    <definedName name="요구2">#REF!</definedName>
    <definedName name="요구21">#REF!</definedName>
    <definedName name="요구액">#REF!,#REF!,#REF!,#REF!,#REF!,#REF!,#REF!,#REF!,#REF!,#REF!,#REF!,#REF!,#REF!,#REF!,#REF!,#REF!,#REF!,#REF!,#REF!,#REF!,#REF!,#REF!,#REF!,#REF!,#REF!,#REF!,#REF!,#REF!,#REF!,#REF!,#REF!,#REF!</definedName>
    <definedName name="요율표1">#REF!</definedName>
    <definedName name="요율표2">#REF!</definedName>
    <definedName name="용량">#REF!</definedName>
    <definedName name="용마">BlankMacro1</definedName>
    <definedName name="용마1">BlankMacro1</definedName>
    <definedName name="용지비">#REF!</definedName>
    <definedName name="용지비비">#REF!</definedName>
    <definedName name="우선순위">#REF!</definedName>
    <definedName name="원가">#REF!</definedName>
    <definedName name="원가1">#REF!</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계ㅅ산">#REF!</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주">#REF!</definedName>
    <definedName name="원주1">#REF!</definedName>
    <definedName name="원주2">#REF!</definedName>
    <definedName name="유영철">#REF!</definedName>
    <definedName name="유지관리비" hidden="1">#REF!</definedName>
    <definedName name="유치원학급신증설">#REF!</definedName>
    <definedName name="이" localSheetId="0">{"'통.폐합'!$A$4:$H$11"}</definedName>
    <definedName name="이">{"'통.폐합'!$A$4:$H$11"}</definedName>
    <definedName name="이공구가설비">#REF!</definedName>
    <definedName name="이공구간접노무비">#REF!</definedName>
    <definedName name="이공구공사원가">#REF!</definedName>
    <definedName name="이공구기타경비">#REF!</definedName>
    <definedName name="이공구산재보험료">#REF!</definedName>
    <definedName name="이공구안전관리비">#REF!</definedName>
    <definedName name="이공구이윤">#REF!</definedName>
    <definedName name="이공구일반관리비">#REF!</definedName>
    <definedName name="이런">BlankMacro1</definedName>
    <definedName name="이런1">BlankMacro1</definedName>
    <definedName name="이름">#REF!</definedName>
    <definedName name="이름1">#REF!</definedName>
    <definedName name="이름충돌">#REF!</definedName>
    <definedName name="이식">#REF!</definedName>
    <definedName name="이윤">#REF!</definedName>
    <definedName name="利潤">#REF!</definedName>
    <definedName name="이은주">#REF!</definedName>
    <definedName name="이철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건비">#REF!</definedName>
    <definedName name="인구" hidden="1">#REF!</definedName>
    <definedName name="인쇄영역">#REF!</definedName>
    <definedName name="인쇄영역2">#REF!</definedName>
    <definedName name="인원2014">#REF!</definedName>
    <definedName name="인원2015">#REF!</definedName>
    <definedName name="인제1">#REF!</definedName>
    <definedName name="인제2">#REF!</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일공구직영비">#REF!</definedName>
    <definedName name="일련번호">#REF!</definedName>
    <definedName name="일반관리비">#REF!</definedName>
    <definedName name="一般管理費">#REF!</definedName>
    <definedName name="일위">#REF!</definedName>
    <definedName name="일위1">#REF!</definedName>
    <definedName name="일위대가">#REF!</definedName>
    <definedName name="입학금">#REF!</definedName>
    <definedName name="ㅈㄷㄱㄷㄱㄷ" localSheetId="0" hidden="1">{"'용역비'!$A$4:$C$8"}</definedName>
    <definedName name="ㅈㄷㄱㄷㄱㄷ" hidden="1">{"'용역비'!$A$4:$C$8"}</definedName>
    <definedName name="ㅈㄷㄻㅇㄹ" hidden="1">#REF!</definedName>
    <definedName name="ㅈㄷㄻㅈ" hidden="1">#REF!</definedName>
    <definedName name="ㅈㄹㅈㄹ">#REF!</definedName>
    <definedName name="ㅈㅇ">#REF!</definedName>
    <definedName name="자3">BlankMacro1</definedName>
    <definedName name="자4">BlankMacro1</definedName>
    <definedName name="자갈">#REF!</definedName>
    <definedName name="자료1">#REF!</definedName>
    <definedName name="자료2">#REF!</definedName>
    <definedName name="자료표">#REF!</definedName>
    <definedName name="자산총액">#REF!+#REF!+#REF!</definedName>
    <definedName name="자산총액1">#REF!+#REF!+#REF!</definedName>
    <definedName name="자산취득비1">#REF!</definedName>
    <definedName name="자재규격">OFFSET(#REF!,0,0,COUNTA(#REF!),1)</definedName>
    <definedName name="자재단가근거" hidden="1">#REF!</definedName>
    <definedName name="자재승인일정표">#REF!</definedName>
    <definedName name="작동일위대가">#REF!</definedName>
    <definedName name="작은학교" hidden="1">{"'확정학급'!$A$6:$Z$20"}</definedName>
    <definedName name="잔액발생원인">#REF!</definedName>
    <definedName name="장비인건비">#REF!</definedName>
    <definedName name="재료단가">#REF!</definedName>
    <definedName name="재료비">#REF!</definedName>
    <definedName name="材料費">#REF!</definedName>
    <definedName name="재료표">#REF!</definedName>
    <definedName name="재료품명">#REF!</definedName>
    <definedName name="적금입력">#REF!</definedName>
    <definedName name="전시장비노임단가" localSheetId="0" hidden="1">{"SJ - 기본 보기",#N/A,FALSE,"공사별 외주견적"}</definedName>
    <definedName name="전시장비노임단가" hidden="1">{"SJ - 기본 보기",#N/A,FALSE,"공사별 외주견적"}</definedName>
    <definedName name="정도급비">#REF!</definedName>
    <definedName name="정선1">#REF!</definedName>
    <definedName name="정선2">#REF!</definedName>
    <definedName name="제경비율">#REF!</definedName>
    <definedName name="제수문" hidden="1">#REF!</definedName>
    <definedName name="제조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조">#REF!</definedName>
    <definedName name="조건영역">#REF!</definedName>
    <definedName name="조건표">#REF!</definedName>
    <definedName name="조사9909">#REF!</definedName>
    <definedName name="조우">BlankMacro1</definedName>
    <definedName name="조은">BlankMacro1</definedName>
    <definedName name="조정액">#REF!,#REF!,#REF!,#REF!,#REF!,#REF!,#REF!,#REF!,#REF!,#REF!,#REF!,#REF!,#REF!,#REF!,#REF!,#REF!,#REF!,#REF!,#REF!,#REF!,#REF!,#REF!,#REF!,#REF!,#REF!,#REF!,#REF!,#REF!,#REF!,#REF!,#REF!,#REF!</definedName>
    <definedName name="종류별">#REF!</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순옥장학사" hidden="1">{"'확정학급'!$A$6:$Z$20"}</definedName>
    <definedName name="중" localSheetId="0">{"'확정학급'!$A$6:$Z$20"}</definedName>
    <definedName name="중">{"'확정학급'!$A$6:$Z$20"}</definedName>
    <definedName name="중등">#REF!</definedName>
    <definedName name="중등등">#REF!</definedName>
    <definedName name="중량" hidden="1">#REF!</definedName>
    <definedName name="중학교무상급식">#REF!</definedName>
    <definedName name="증설">#REF!</definedName>
    <definedName name="지역구분">#REF!</definedName>
    <definedName name="지입재료비">#REF!</definedName>
    <definedName name="직매54P" hidden="1">{#N/A,#N/A,TRUE,"토적및재료집계";#N/A,#N/A,TRUE,"토적및재료집계";#N/A,#N/A,TRUE,"단위량"}</definedName>
    <definedName name="直接人件費">#REF!</definedName>
    <definedName name="직종합계">#REF!</definedName>
    <definedName name="진수" localSheetId="0">{"'통.폐합'!$A$4:$H$11"}</definedName>
    <definedName name="진수">{"'통.폐합'!$A$4:$H$11"}</definedName>
    <definedName name="진짜원가">#REF!</definedName>
    <definedName name="집계">#REF!</definedName>
    <definedName name="ㅊ214">#REF!</definedName>
    <definedName name="ㅊㅌㅊㅊㅊ">BlankMacro1</definedName>
    <definedName name="ㅊㅍ" hidden="1">#REF!</definedName>
    <definedName name="차인증감">#REF!</definedName>
    <definedName name="철원1">#REF!</definedName>
    <definedName name="철원2">#REF!</definedName>
    <definedName name="초2" localSheetId="0">{"'확정학급'!$A$6:$Z$20"}</definedName>
    <definedName name="초2">{"'확정학급'!$A$6:$Z$20"}</definedName>
    <definedName name="초등">#REF!</definedName>
    <definedName name="초등등">#REF!</definedName>
    <definedName name="총계">#REF!</definedName>
    <definedName name="총괄" localSheetId="0">{"'확정학급'!$A$6:$Z$20"}</definedName>
    <definedName name="총괄">{"'확정학급'!$A$6:$Z$20"}</definedName>
    <definedName name="총괄1" localSheetId="0">{"'확정학급'!$A$6:$Z$20"}</definedName>
    <definedName name="총괄1">{"'확정학급'!$A$6:$Z$20"}</definedName>
    <definedName name="총괄2" localSheetId="0">{"'확정학급'!$A$6:$Z$20"}</definedName>
    <definedName name="총괄2">{"'확정학급'!$A$6:$Z$20"}</definedName>
    <definedName name="총노무">#REF!</definedName>
    <definedName name="총액" localSheetId="0">{"'확정학급'!$A$6:$Z$20"}</definedName>
    <definedName name="총액">{"'확정학급'!$A$6:$Z$20"}</definedName>
    <definedName name="總原價">#REF!</definedName>
    <definedName name="총자재">#REF!</definedName>
    <definedName name="촤" localSheetId="0" hidden="1">{"SJ - 기본 보기",#N/A,FALSE,"공사별 외주견적"}</definedName>
    <definedName name="촤" hidden="1">{"SJ - 기본 보기",#N/A,FALSE,"공사별 외주견적"}</definedName>
    <definedName name="최종">#REF!</definedName>
    <definedName name="최종예산20">#REF!</definedName>
    <definedName name="최초">#REF!</definedName>
    <definedName name="춘천" hidden="1">{"'확정학급'!$A$6:$Z$20"}</definedName>
    <definedName name="춘천1">#REF!</definedName>
    <definedName name="춘천2">#REF!</definedName>
    <definedName name="춘천초">#REF!</definedName>
    <definedName name="출고현황1">ErrorHandler_1</definedName>
    <definedName name="층1노무비합계">#REF!</definedName>
    <definedName name="층1재료비합계">#REF!</definedName>
    <definedName name="층2노무비합계">#REF!</definedName>
    <definedName name="층2재료비합계">#REF!</definedName>
    <definedName name="ㅋ">#REF!</definedName>
    <definedName name="케이블간지" hidden="1">{#N/A,#N/A,TRUE,"토적및재료집계";#N/A,#N/A,TRUE,"토적및재료집계";#N/A,#N/A,TRUE,"단위량"}</definedName>
    <definedName name="코드">#REF!</definedName>
    <definedName name="콘크리트2" hidden="1">#REF!</definedName>
    <definedName name="ㅌ">#REF!</definedName>
    <definedName name="타견적" hidden="1">#REF!</definedName>
    <definedName name="태백1">#REF!</definedName>
    <definedName name="태백2">#REF!</definedName>
    <definedName name="테스트" hidden="1">#REF!</definedName>
    <definedName name="템11">BlankMacro1</definedName>
    <definedName name="템111">BlankMacro1</definedName>
    <definedName name="템13">BlankMacro1</definedName>
    <definedName name="템14">BlankMacro1</definedName>
    <definedName name="템15">BlankMacro1</definedName>
    <definedName name="템16">BlankMacro1</definedName>
    <definedName name="템2">BlankMacro1</definedName>
    <definedName name="템222">BlankMacro1</definedName>
    <definedName name="템3">BlankMacro1</definedName>
    <definedName name="템333">BlankMacro1</definedName>
    <definedName name="템4">BlankMacro1</definedName>
    <definedName name="템4444">BlankMacro1</definedName>
    <definedName name="템5">BlankMacro1</definedName>
    <definedName name="템5555">BlankMacro1</definedName>
    <definedName name="템6">BlankMacro1</definedName>
    <definedName name="템66666">BlankMacro1</definedName>
    <definedName name="템이1">BlankMacro1</definedName>
    <definedName name="템플리트모듈1">BlankMacro1</definedName>
    <definedName name="템플리트모듈10">BlankMacro1</definedName>
    <definedName name="템플리트모듈2">BlankMacro1</definedName>
    <definedName name="템플리트모듈3">BlankMacro1</definedName>
    <definedName name="템플리트모듈4">BlankMacro1</definedName>
    <definedName name="템플리트모듈5">BlankMacro1</definedName>
    <definedName name="템플리트모듈6">BlankMacro1</definedName>
    <definedName name="토3">BlankMacro1</definedName>
    <definedName name="토3333">BlankMacro1</definedName>
    <definedName name="토목설계" localSheetId="0" hidden="1">{#N/A,#N/A,FALSE,"골재소요량";#N/A,#N/A,FALSE,"골재소요량"}</definedName>
    <definedName name="토목설계" hidden="1">{#N/A,#N/A,FALSE,"골재소요량";#N/A,#N/A,FALSE,"골재소요량"}</definedName>
    <definedName name="통1">#REF!</definedName>
    <definedName name="특수학급수">#REF!</definedName>
    <definedName name="ㅍ" hidden="1">#REF!</definedName>
    <definedName name="ㅍㄴㅇㄹ" hidden="1">#REF!</definedName>
    <definedName name="ㅍㅇㄴ" hidden="1">#REF!</definedName>
    <definedName name="ㅍㅋㅌㅊㅍㅇㄷ" hidden="1">#REF!</definedName>
    <definedName name="ㅍㅍ" hidden="1">{#N/A,#N/A,TRUE,"토적및재료집계";#N/A,#N/A,TRUE,"토적및재료집계";#N/A,#N/A,TRUE,"단위량"}</definedName>
    <definedName name="팩스">#REF!</definedName>
    <definedName name="페기갑지" hidden="1">#REF!</definedName>
    <definedName name="편성안" localSheetId="0">{"'확정학급'!$A$6:$Z$20"}</definedName>
    <definedName name="편성안">{"'확정학급'!$A$6:$Z$20"}</definedName>
    <definedName name="평창1">#REF!</definedName>
    <definedName name="평창2">#REF!</definedName>
    <definedName name="폐기" hidden="1">#REF!</definedName>
    <definedName name="표준">#REF!</definedName>
    <definedName name="표지" hidden="1">#REF!</definedName>
    <definedName name="표지2">#REF!</definedName>
    <definedName name="품명">#REF!</definedName>
    <definedName name="ㅎ" hidden="1">#REF!</definedName>
    <definedName name="ㅎㄴㅇㅁㄹ" hidden="1">#REF!</definedName>
    <definedName name="ㅎㅎㅎ" hidden="1">{"'확정학급'!$A$6:$Z$20"}</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hidden="1">{"'확정학급'!$A$6:$Z$20"}</definedName>
    <definedName name="ㅎㅎㅎㅎㅎㅎㅎ">BlankMacro1</definedName>
    <definedName name="ㅎ휴">BlankMacro1</definedName>
    <definedName name="하도관리">#REF!</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하">#REF!</definedName>
    <definedName name="학교">#REF!</definedName>
    <definedName name="학교2">#REF!</definedName>
    <definedName name="학교급">#REF!</definedName>
    <definedName name="학교별본교현황">#REF!</definedName>
    <definedName name="학교비정규직">#REF!</definedName>
    <definedName name="학생" localSheetId="0">{"'확정학급'!$A$6:$Z$20"}</definedName>
    <definedName name="학생">{"'확정학급'!$A$6:$Z$20"}</definedName>
    <definedName name="학생당" localSheetId="0">{"'확정학급'!$A$6:$Z$20"}</definedName>
    <definedName name="학생당">{"'확정학급'!$A$6:$Z$20"}</definedName>
    <definedName name="학운2" localSheetId="0">{"'확정학급'!$A$6:$Z$20"}</definedName>
    <definedName name="학운2">{"'확정학급'!$A$6:$Z$20"}</definedName>
    <definedName name="학운비산출" localSheetId="0">{"'확정학급'!$A$6:$Z$20"}</definedName>
    <definedName name="학운비산출">{"'확정학급'!$A$6:$Z$20"}</definedName>
    <definedName name="한" localSheetId="0" hidden="1">{#N/A,#N/A,FALSE,"조골재"}</definedName>
    <definedName name="한" hidden="1">{#N/A,#N/A,FALSE,"조골재"}</definedName>
    <definedName name="한동" localSheetId="0" hidden="1">{#N/A,#N/A,FALSE,"단가표지"}</definedName>
    <definedName name="한동" hidden="1">{#N/A,#N/A,FALSE,"단가표지"}</definedName>
    <definedName name="합계">#REF!</definedName>
    <definedName name="허용전류">#REF!</definedName>
    <definedName name="현대백화점" hidden="1">{#N/A,#N/A,FALSE,"CCTV"}</definedName>
    <definedName name="현조" hidden="1">#REF!</definedName>
    <definedName name="호">{"'확정학급'!$A$6:$Z$20"}</definedName>
    <definedName name="홍천">#REF!</definedName>
    <definedName name="홍천1">#REF!</definedName>
    <definedName name="홍천2">#REF!</definedName>
    <definedName name="화천1">#REF!</definedName>
    <definedName name="화천2">#REF!</definedName>
    <definedName name="화천211">#REF!</definedName>
    <definedName name="화천2222">#REF!</definedName>
    <definedName name="횡성1">#REF!</definedName>
    <definedName name="횡성2">#REF!</definedName>
    <definedName name="희선">#REF!,#REF!,#REF!,#REF!,#REF!,#REF!,#REF!,#REF!,#REF!,#REF!,#REF!,#REF!,#REF!,#REF!,#REF!,#REF!,#REF!,#REF!,#REF!</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ㅐㅐ">BlankMacro1</definedName>
    <definedName name="ㅑㅏ">#REF!</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ㅔㅐ" hidden="1">#REF!</definedName>
    <definedName name="ㅕㅑ" hidden="1">#REF!</definedName>
    <definedName name="ㅕㅑㅐㅔ" hidden="1">#REF!</definedName>
    <definedName name="ㅗ461">#REF!</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 hidden="1">#REF!</definedName>
    <definedName name="ㅠ238">#REF!</definedName>
    <definedName name="ㅠ뮤ㅐ" hidden="1">#REF!</definedName>
    <definedName name="ㅠㅠㅠ" hidden="1">{"'확정학급'!$A$6:$Z$20"}</definedName>
    <definedName name="ㅣ714">#REF!</definedName>
    <definedName name="ㅣㅏ" hidden="1">#REF!</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ㅑㅑ" localSheetId="0" hidden="1">{#N/A,#N/A,FALSE,"단가표지"}</definedName>
    <definedName name="ㅣㅑㅑ" hidden="1">{#N/A,#N/A,FALSE,"단가표지"}</definedName>
    <definedName name="ㅣㅣ" localSheetId="0" hidden="1">{#N/A,#N/A,FALSE,"골재소요량";#N/A,#N/A,FALSE,"골재소요량"}</definedName>
    <definedName name="ㅣㅣ" hidden="1">{#N/A,#N/A,FALSE,"골재소요량";#N/A,#N/A,FALSE,"골재소요량"}</definedName>
    <definedName name="ㅣㅣ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28" i="13" l="1"/>
  <c r="R27" i="13"/>
  <c r="R26" i="13"/>
  <c r="R23" i="13"/>
  <c r="R22" i="13"/>
  <c r="A22" i="13"/>
  <c r="R21" i="13"/>
  <c r="J20" i="13"/>
  <c r="R19" i="13"/>
  <c r="K19" i="13"/>
  <c r="A16" i="13"/>
  <c r="R15" i="13"/>
  <c r="R14" i="13"/>
  <c r="X16" i="4" s="1"/>
  <c r="R13" i="13"/>
  <c r="R12" i="13"/>
  <c r="X14" i="4" s="1"/>
  <c r="R11" i="13"/>
  <c r="X13" i="4" s="1"/>
  <c r="R10" i="13"/>
  <c r="X12" i="4" s="1"/>
  <c r="R9" i="13"/>
  <c r="P9" i="13"/>
  <c r="O9" i="13"/>
  <c r="C10" i="13" s="1"/>
  <c r="C9" i="13"/>
  <c r="R8" i="13"/>
  <c r="C8" i="13"/>
  <c r="R6" i="13"/>
  <c r="X8" i="4" s="1"/>
  <c r="I6" i="13"/>
  <c r="C6" i="13"/>
  <c r="R7" i="13" s="1"/>
  <c r="X9" i="4" s="1"/>
  <c r="I5" i="13"/>
  <c r="C5" i="13"/>
  <c r="R5" i="13" s="1"/>
  <c r="X7" i="4" s="1"/>
  <c r="C4" i="13"/>
  <c r="C3" i="13"/>
  <c r="R3" i="13" s="1"/>
  <c r="X5" i="4" s="1"/>
  <c r="K21" i="12"/>
  <c r="H21" i="12"/>
  <c r="K20" i="12"/>
  <c r="H20" i="12"/>
  <c r="C20" i="12"/>
  <c r="A15" i="12"/>
  <c r="C11" i="12"/>
  <c r="I10" i="12"/>
  <c r="C10" i="12"/>
  <c r="I9" i="12"/>
  <c r="C9" i="12"/>
  <c r="I8" i="12"/>
  <c r="C8" i="12"/>
  <c r="I7" i="12"/>
  <c r="C7" i="12"/>
  <c r="C5" i="12"/>
  <c r="C4" i="12"/>
  <c r="L44" i="11"/>
  <c r="K44" i="11"/>
  <c r="I44" i="11"/>
  <c r="G44" i="11"/>
  <c r="M43" i="11"/>
  <c r="M42" i="11"/>
  <c r="M41" i="11"/>
  <c r="M40" i="11"/>
  <c r="M39" i="11"/>
  <c r="M38" i="11"/>
  <c r="M37" i="11"/>
  <c r="M44" i="11" s="1"/>
  <c r="M36" i="11"/>
  <c r="M35" i="11"/>
  <c r="M34" i="11"/>
  <c r="C22" i="11"/>
  <c r="H19" i="11"/>
  <c r="E19" i="11"/>
  <c r="H18" i="11"/>
  <c r="E18" i="11"/>
  <c r="C18" i="11"/>
  <c r="C14" i="11"/>
  <c r="C13" i="11"/>
  <c r="A17" i="11" s="1"/>
  <c r="C12" i="11"/>
  <c r="C11" i="11"/>
  <c r="C10" i="11"/>
  <c r="C9" i="11"/>
  <c r="C8" i="11"/>
  <c r="C6" i="11"/>
  <c r="J5" i="11"/>
  <c r="D5" i="11"/>
  <c r="C4" i="11"/>
  <c r="A22" i="10"/>
  <c r="K20" i="10"/>
  <c r="K19" i="10"/>
  <c r="A16" i="10"/>
  <c r="P14" i="10"/>
  <c r="N14" i="10"/>
  <c r="P13" i="10"/>
  <c r="P12" i="10"/>
  <c r="P11" i="10"/>
  <c r="P10" i="10"/>
  <c r="C10" i="10"/>
  <c r="P9" i="10"/>
  <c r="C9" i="10"/>
  <c r="C8" i="10"/>
  <c r="P8" i="10" s="1"/>
  <c r="P7" i="10"/>
  <c r="C7" i="10"/>
  <c r="C6" i="10"/>
  <c r="P6" i="10" s="1"/>
  <c r="P5" i="10"/>
  <c r="C5" i="10"/>
  <c r="P4" i="10" s="1"/>
  <c r="C4" i="10"/>
  <c r="P3" i="10"/>
  <c r="C3" i="10"/>
  <c r="I21" i="9"/>
  <c r="F21" i="9"/>
  <c r="I20" i="9"/>
  <c r="F20" i="9"/>
  <c r="B20" i="9"/>
  <c r="A15" i="9"/>
  <c r="G9" i="9"/>
  <c r="B9" i="9"/>
  <c r="G8" i="9"/>
  <c r="B8" i="9"/>
  <c r="G7" i="9"/>
  <c r="B7" i="9"/>
  <c r="G6" i="9"/>
  <c r="B6" i="9"/>
  <c r="B4" i="9"/>
  <c r="B3" i="9"/>
  <c r="B23" i="8"/>
  <c r="I21" i="8"/>
  <c r="F21" i="8"/>
  <c r="I20" i="8"/>
  <c r="F20" i="8"/>
  <c r="B20" i="8"/>
  <c r="A15" i="8"/>
  <c r="B11" i="8"/>
  <c r="G10" i="8"/>
  <c r="B10" i="8"/>
  <c r="G9" i="8"/>
  <c r="B9" i="8"/>
  <c r="B8" i="8"/>
  <c r="G8" i="8" s="1"/>
  <c r="B7" i="8"/>
  <c r="G7" i="8" s="1"/>
  <c r="B6" i="8"/>
  <c r="B5" i="8"/>
  <c r="B4" i="8"/>
  <c r="A30" i="5"/>
  <c r="H27" i="5"/>
  <c r="G26" i="5"/>
  <c r="G25" i="5"/>
  <c r="F23" i="5"/>
  <c r="M16" i="5"/>
  <c r="Q16" i="5" s="1"/>
  <c r="E16" i="5"/>
  <c r="T13" i="5"/>
  <c r="T12" i="5"/>
  <c r="T11" i="5"/>
  <c r="C11" i="5"/>
  <c r="C10" i="5"/>
  <c r="T9" i="5"/>
  <c r="C9" i="5"/>
  <c r="T8" i="5"/>
  <c r="C8" i="5"/>
  <c r="T7" i="5"/>
  <c r="C7" i="5"/>
  <c r="T6" i="5"/>
  <c r="C6" i="5"/>
  <c r="T5" i="5"/>
  <c r="C5" i="5"/>
  <c r="C4" i="5"/>
  <c r="A19" i="5" s="1"/>
  <c r="T3" i="5"/>
  <c r="B23" i="4"/>
  <c r="I21" i="4"/>
  <c r="F21" i="4"/>
  <c r="I20" i="4"/>
  <c r="F20" i="4"/>
  <c r="B20" i="4"/>
  <c r="X15" i="4"/>
  <c r="A15" i="4"/>
  <c r="X11" i="4"/>
  <c r="G11" i="4"/>
  <c r="X10" i="4"/>
  <c r="B10" i="4"/>
  <c r="G10" i="4" s="1"/>
  <c r="G9" i="4"/>
  <c r="B9" i="4"/>
  <c r="G8" i="4"/>
  <c r="B8" i="4"/>
  <c r="G7" i="4"/>
  <c r="B7" i="4"/>
  <c r="X6" i="4"/>
  <c r="B6" i="4"/>
  <c r="B5" i="4"/>
  <c r="X4" i="4"/>
  <c r="B4" i="4"/>
  <c r="X330" i="2"/>
  <c r="W330" i="2"/>
  <c r="V330" i="2"/>
  <c r="I330" i="2"/>
  <c r="X329" i="2"/>
  <c r="W329" i="2"/>
  <c r="V329" i="2"/>
  <c r="I329" i="2"/>
  <c r="X328" i="2"/>
  <c r="W328" i="2"/>
  <c r="V328" i="2"/>
  <c r="I328" i="2"/>
  <c r="X327" i="2"/>
  <c r="W327" i="2"/>
  <c r="V327" i="2"/>
  <c r="I327" i="2"/>
  <c r="X326" i="2"/>
  <c r="W326" i="2"/>
  <c r="V326" i="2"/>
  <c r="I326" i="2"/>
  <c r="X325" i="2"/>
  <c r="W325" i="2"/>
  <c r="V325" i="2"/>
  <c r="I325" i="2"/>
  <c r="X324" i="2"/>
  <c r="W324" i="2"/>
  <c r="V324" i="2"/>
  <c r="I324" i="2"/>
  <c r="X323" i="2"/>
  <c r="W323" i="2"/>
  <c r="V323" i="2"/>
  <c r="I323" i="2"/>
  <c r="X322" i="2"/>
  <c r="W322" i="2"/>
  <c r="V322" i="2"/>
  <c r="I322" i="2"/>
  <c r="X321" i="2"/>
  <c r="W321" i="2"/>
  <c r="V321" i="2"/>
  <c r="I321" i="2"/>
  <c r="X320" i="2"/>
  <c r="W320" i="2"/>
  <c r="V320" i="2"/>
  <c r="I320" i="2"/>
  <c r="X319" i="2"/>
  <c r="W319" i="2"/>
  <c r="V319" i="2"/>
  <c r="I319" i="2"/>
  <c r="X318" i="2"/>
  <c r="W318" i="2"/>
  <c r="V318" i="2"/>
  <c r="I318" i="2"/>
  <c r="X317" i="2"/>
  <c r="W317" i="2"/>
  <c r="V317" i="2"/>
  <c r="I317" i="2"/>
  <c r="X316" i="2"/>
  <c r="W316" i="2"/>
  <c r="V316" i="2"/>
  <c r="I316" i="2"/>
  <c r="X315" i="2"/>
  <c r="W315" i="2"/>
  <c r="V315" i="2"/>
  <c r="I315" i="2"/>
  <c r="X314" i="2"/>
  <c r="W314" i="2"/>
  <c r="V314" i="2"/>
  <c r="I314" i="2"/>
  <c r="X313" i="2"/>
  <c r="W313" i="2"/>
  <c r="V313" i="2"/>
  <c r="I313" i="2"/>
  <c r="X312" i="2"/>
  <c r="W312" i="2"/>
  <c r="V312" i="2"/>
  <c r="I312" i="2"/>
  <c r="X311" i="2"/>
  <c r="W311" i="2"/>
  <c r="V311" i="2"/>
  <c r="I311" i="2"/>
  <c r="X310" i="2"/>
  <c r="W310" i="2"/>
  <c r="V310" i="2"/>
  <c r="I310" i="2"/>
  <c r="X309" i="2"/>
  <c r="W309" i="2"/>
  <c r="V309" i="2"/>
  <c r="I309" i="2"/>
  <c r="X308" i="2"/>
  <c r="W308" i="2"/>
  <c r="V308" i="2"/>
  <c r="I308" i="2"/>
  <c r="X307" i="2"/>
  <c r="W307" i="2"/>
  <c r="V307" i="2"/>
  <c r="I307" i="2"/>
  <c r="X306" i="2"/>
  <c r="W306" i="2"/>
  <c r="V306" i="2"/>
  <c r="I306" i="2"/>
  <c r="X305" i="2"/>
  <c r="W305" i="2"/>
  <c r="V305" i="2"/>
  <c r="I305" i="2"/>
  <c r="X304" i="2"/>
  <c r="W304" i="2"/>
  <c r="V304" i="2"/>
  <c r="I304" i="2"/>
  <c r="X303" i="2"/>
  <c r="W303" i="2"/>
  <c r="V303" i="2"/>
  <c r="I303" i="2"/>
  <c r="X302" i="2"/>
  <c r="W302" i="2"/>
  <c r="V302" i="2"/>
  <c r="I302" i="2"/>
  <c r="X301" i="2"/>
  <c r="W301" i="2"/>
  <c r="V301" i="2"/>
  <c r="I301" i="2"/>
  <c r="X300" i="2"/>
  <c r="W300" i="2"/>
  <c r="V300" i="2"/>
  <c r="I300" i="2"/>
  <c r="X299" i="2"/>
  <c r="W299" i="2"/>
  <c r="V299" i="2"/>
  <c r="I299" i="2"/>
  <c r="X298" i="2"/>
  <c r="W298" i="2"/>
  <c r="V298" i="2"/>
  <c r="I298" i="2"/>
  <c r="X297" i="2"/>
  <c r="W297" i="2"/>
  <c r="V297" i="2"/>
  <c r="I297" i="2"/>
  <c r="X296" i="2"/>
  <c r="W296" i="2"/>
  <c r="V296" i="2"/>
  <c r="I296" i="2"/>
  <c r="X295" i="2"/>
  <c r="W295" i="2"/>
  <c r="V295" i="2"/>
  <c r="I295" i="2"/>
  <c r="X294" i="2"/>
  <c r="W294" i="2"/>
  <c r="V294" i="2"/>
  <c r="I294" i="2"/>
  <c r="X293" i="2"/>
  <c r="W293" i="2"/>
  <c r="V293" i="2"/>
  <c r="I293" i="2"/>
  <c r="X292" i="2"/>
  <c r="W292" i="2"/>
  <c r="V292" i="2"/>
  <c r="I292" i="2"/>
  <c r="X291" i="2"/>
  <c r="W291" i="2"/>
  <c r="V291" i="2"/>
  <c r="I291" i="2"/>
  <c r="X290" i="2"/>
  <c r="W290" i="2"/>
  <c r="V290" i="2"/>
  <c r="I290" i="2"/>
  <c r="X289" i="2"/>
  <c r="W289" i="2"/>
  <c r="V289" i="2"/>
  <c r="I289" i="2"/>
  <c r="X288" i="2"/>
  <c r="W288" i="2"/>
  <c r="V288" i="2"/>
  <c r="I288" i="2"/>
  <c r="X287" i="2"/>
  <c r="W287" i="2"/>
  <c r="V287" i="2"/>
  <c r="I287" i="2"/>
  <c r="X286" i="2"/>
  <c r="W286" i="2"/>
  <c r="V286" i="2"/>
  <c r="I286" i="2"/>
  <c r="X285" i="2"/>
  <c r="W285" i="2"/>
  <c r="V285" i="2"/>
  <c r="I285" i="2"/>
  <c r="X284" i="2"/>
  <c r="W284" i="2"/>
  <c r="V284" i="2"/>
  <c r="I284" i="2"/>
  <c r="X283" i="2"/>
  <c r="W283" i="2"/>
  <c r="V283" i="2"/>
  <c r="I283" i="2"/>
  <c r="X282" i="2"/>
  <c r="W282" i="2"/>
  <c r="V282" i="2"/>
  <c r="I282" i="2"/>
  <c r="X281" i="2"/>
  <c r="W281" i="2"/>
  <c r="V281" i="2"/>
  <c r="I281" i="2"/>
  <c r="X280" i="2"/>
  <c r="W280" i="2"/>
  <c r="V280" i="2"/>
  <c r="I280" i="2"/>
  <c r="X279" i="2"/>
  <c r="W279" i="2"/>
  <c r="V279" i="2"/>
  <c r="I279" i="2"/>
  <c r="X278" i="2"/>
  <c r="W278" i="2"/>
  <c r="V278" i="2"/>
  <c r="I278" i="2"/>
  <c r="X277" i="2"/>
  <c r="W277" i="2"/>
  <c r="V277" i="2"/>
  <c r="I277" i="2"/>
  <c r="X276" i="2"/>
  <c r="W276" i="2"/>
  <c r="V276" i="2"/>
  <c r="I276" i="2"/>
  <c r="X275" i="2"/>
  <c r="W275" i="2"/>
  <c r="V275" i="2"/>
  <c r="I275" i="2"/>
  <c r="X274" i="2"/>
  <c r="W274" i="2"/>
  <c r="V274" i="2"/>
  <c r="I274" i="2"/>
  <c r="X273" i="2"/>
  <c r="W273" i="2"/>
  <c r="V273" i="2"/>
  <c r="I273" i="2"/>
  <c r="X272" i="2"/>
  <c r="W272" i="2"/>
  <c r="V272" i="2"/>
  <c r="I272" i="2"/>
  <c r="X271" i="2"/>
  <c r="W271" i="2"/>
  <c r="V271" i="2"/>
  <c r="I271" i="2"/>
  <c r="X270" i="2"/>
  <c r="W270" i="2"/>
  <c r="V270" i="2"/>
  <c r="I270" i="2"/>
  <c r="X269" i="2"/>
  <c r="W269" i="2"/>
  <c r="V269" i="2"/>
  <c r="I269" i="2"/>
  <c r="X268" i="2"/>
  <c r="W268" i="2"/>
  <c r="V268" i="2"/>
  <c r="I268" i="2"/>
  <c r="X267" i="2"/>
  <c r="W267" i="2"/>
  <c r="V267" i="2"/>
  <c r="I267" i="2"/>
  <c r="X266" i="2"/>
  <c r="W266" i="2"/>
  <c r="V266" i="2"/>
  <c r="I266" i="2"/>
  <c r="X265" i="2"/>
  <c r="W265" i="2"/>
  <c r="V265" i="2"/>
  <c r="I265" i="2"/>
  <c r="X264" i="2"/>
  <c r="W264" i="2"/>
  <c r="V264" i="2"/>
  <c r="I264" i="2"/>
  <c r="X263" i="2"/>
  <c r="W263" i="2"/>
  <c r="V263" i="2"/>
  <c r="I263" i="2"/>
  <c r="X262" i="2"/>
  <c r="W262" i="2"/>
  <c r="V262" i="2"/>
  <c r="I262" i="2"/>
  <c r="X261" i="2"/>
  <c r="W261" i="2"/>
  <c r="V261" i="2"/>
  <c r="I261" i="2"/>
  <c r="X260" i="2"/>
  <c r="W260" i="2"/>
  <c r="V260" i="2"/>
  <c r="I260" i="2"/>
  <c r="X259" i="2"/>
  <c r="W259" i="2"/>
  <c r="V259" i="2"/>
  <c r="I259" i="2"/>
  <c r="X258" i="2"/>
  <c r="W258" i="2"/>
  <c r="V258" i="2"/>
  <c r="I258" i="2"/>
  <c r="X257" i="2"/>
  <c r="W257" i="2"/>
  <c r="V257" i="2"/>
  <c r="I257" i="2"/>
  <c r="X256" i="2"/>
  <c r="W256" i="2"/>
  <c r="V256" i="2"/>
  <c r="I256" i="2"/>
  <c r="X255" i="2"/>
  <c r="W255" i="2"/>
  <c r="V255" i="2"/>
  <c r="I255" i="2"/>
  <c r="X254" i="2"/>
  <c r="W254" i="2"/>
  <c r="V254" i="2"/>
  <c r="I254" i="2"/>
  <c r="X253" i="2"/>
  <c r="W253" i="2"/>
  <c r="V253" i="2"/>
  <c r="I253" i="2"/>
  <c r="X252" i="2"/>
  <c r="W252" i="2"/>
  <c r="V252" i="2"/>
  <c r="I252" i="2"/>
  <c r="X251" i="2"/>
  <c r="W251" i="2"/>
  <c r="V251" i="2"/>
  <c r="I251" i="2"/>
  <c r="X250" i="2"/>
  <c r="W250" i="2"/>
  <c r="V250" i="2"/>
  <c r="I250" i="2"/>
  <c r="X249" i="2"/>
  <c r="W249" i="2"/>
  <c r="V249" i="2"/>
  <c r="I249" i="2"/>
  <c r="X248" i="2"/>
  <c r="W248" i="2"/>
  <c r="V248" i="2"/>
  <c r="I248" i="2"/>
  <c r="X247" i="2"/>
  <c r="W247" i="2"/>
  <c r="V247" i="2"/>
  <c r="I247" i="2"/>
  <c r="X246" i="2"/>
  <c r="W246" i="2"/>
  <c r="V246" i="2"/>
  <c r="I246" i="2"/>
  <c r="X245" i="2"/>
  <c r="W245" i="2"/>
  <c r="V245" i="2"/>
  <c r="I245" i="2"/>
  <c r="X244" i="2"/>
  <c r="W244" i="2"/>
  <c r="V244" i="2"/>
  <c r="I244" i="2"/>
  <c r="X243" i="2"/>
  <c r="W243" i="2"/>
  <c r="V243" i="2"/>
  <c r="I243" i="2"/>
  <c r="X242" i="2"/>
  <c r="W242" i="2"/>
  <c r="V242" i="2"/>
  <c r="I242" i="2"/>
  <c r="X241" i="2"/>
  <c r="W241" i="2"/>
  <c r="V241" i="2"/>
  <c r="I241" i="2"/>
  <c r="X240" i="2"/>
  <c r="W240" i="2"/>
  <c r="V240" i="2"/>
  <c r="I240" i="2"/>
  <c r="X239" i="2"/>
  <c r="W239" i="2"/>
  <c r="V239" i="2"/>
  <c r="I239" i="2"/>
  <c r="X238" i="2"/>
  <c r="W238" i="2"/>
  <c r="V238" i="2"/>
  <c r="I238" i="2"/>
  <c r="X237" i="2"/>
  <c r="W237" i="2"/>
  <c r="V237" i="2"/>
  <c r="I237" i="2"/>
  <c r="X236" i="2"/>
  <c r="W236" i="2"/>
  <c r="V236" i="2"/>
  <c r="I236" i="2"/>
  <c r="X235" i="2"/>
  <c r="W235" i="2"/>
  <c r="V235" i="2"/>
  <c r="I235" i="2"/>
  <c r="X234" i="2"/>
  <c r="W234" i="2"/>
  <c r="V234" i="2"/>
  <c r="I234" i="2"/>
  <c r="X233" i="2"/>
  <c r="W233" i="2"/>
  <c r="V233" i="2"/>
  <c r="I233" i="2"/>
  <c r="X232" i="2"/>
  <c r="W232" i="2"/>
  <c r="V232" i="2"/>
  <c r="I232" i="2"/>
  <c r="X231" i="2"/>
  <c r="W231" i="2"/>
  <c r="V231" i="2"/>
  <c r="I231" i="2"/>
  <c r="X230" i="2"/>
  <c r="W230" i="2"/>
  <c r="V230" i="2"/>
  <c r="I230" i="2"/>
  <c r="X229" i="2"/>
  <c r="W229" i="2"/>
  <c r="V229" i="2"/>
  <c r="I229" i="2"/>
  <c r="X228" i="2"/>
  <c r="W228" i="2"/>
  <c r="V228" i="2"/>
  <c r="I228" i="2"/>
  <c r="X227" i="2"/>
  <c r="W227" i="2"/>
  <c r="V227" i="2"/>
  <c r="I227" i="2"/>
  <c r="X226" i="2"/>
  <c r="W226" i="2"/>
  <c r="V226" i="2"/>
  <c r="I226" i="2"/>
  <c r="X225" i="2"/>
  <c r="W225" i="2"/>
  <c r="V225" i="2"/>
  <c r="I225" i="2"/>
  <c r="X224" i="2"/>
  <c r="W224" i="2"/>
  <c r="V224" i="2"/>
  <c r="I224" i="2"/>
  <c r="X223" i="2"/>
  <c r="W223" i="2"/>
  <c r="V223" i="2"/>
  <c r="I223" i="2"/>
  <c r="X222" i="2"/>
  <c r="W222" i="2"/>
  <c r="V222" i="2"/>
  <c r="I222" i="2"/>
  <c r="X221" i="2"/>
  <c r="W221" i="2"/>
  <c r="V221" i="2"/>
  <c r="I221" i="2"/>
  <c r="X220" i="2"/>
  <c r="W220" i="2"/>
  <c r="V220" i="2"/>
  <c r="I220" i="2"/>
  <c r="X219" i="2"/>
  <c r="W219" i="2"/>
  <c r="V219" i="2"/>
  <c r="I219" i="2"/>
  <c r="X218" i="2"/>
  <c r="W218" i="2"/>
  <c r="V218" i="2"/>
  <c r="I218" i="2"/>
  <c r="X217" i="2"/>
  <c r="W217" i="2"/>
  <c r="V217" i="2"/>
  <c r="I217" i="2"/>
  <c r="X216" i="2"/>
  <c r="W216" i="2"/>
  <c r="V216" i="2"/>
  <c r="I216" i="2"/>
  <c r="X215" i="2"/>
  <c r="W215" i="2"/>
  <c r="V215" i="2"/>
  <c r="I215" i="2"/>
  <c r="X214" i="2"/>
  <c r="W214" i="2"/>
  <c r="V214" i="2"/>
  <c r="I214" i="2"/>
  <c r="X213" i="2"/>
  <c r="W213" i="2"/>
  <c r="V213" i="2"/>
  <c r="I213" i="2"/>
  <c r="X212" i="2"/>
  <c r="W212" i="2"/>
  <c r="V212" i="2"/>
  <c r="I212" i="2"/>
  <c r="X211" i="2"/>
  <c r="W211" i="2"/>
  <c r="V211" i="2"/>
  <c r="I211" i="2"/>
  <c r="X210" i="2"/>
  <c r="W210" i="2"/>
  <c r="V210" i="2"/>
  <c r="I210" i="2"/>
  <c r="X209" i="2"/>
  <c r="W209" i="2"/>
  <c r="V209" i="2"/>
  <c r="I209" i="2"/>
  <c r="X208" i="2"/>
  <c r="W208" i="2"/>
  <c r="V208" i="2"/>
  <c r="I208" i="2"/>
  <c r="X207" i="2"/>
  <c r="W207" i="2"/>
  <c r="V207" i="2"/>
  <c r="I207" i="2"/>
  <c r="X206" i="2"/>
  <c r="W206" i="2"/>
  <c r="V206" i="2"/>
  <c r="I206" i="2"/>
  <c r="X205" i="2"/>
  <c r="W205" i="2"/>
  <c r="V205" i="2"/>
  <c r="I205" i="2"/>
  <c r="X204" i="2"/>
  <c r="W204" i="2"/>
  <c r="V204" i="2"/>
  <c r="I204" i="2"/>
  <c r="X203" i="2"/>
  <c r="W203" i="2"/>
  <c r="V203" i="2"/>
  <c r="I203" i="2"/>
  <c r="X202" i="2"/>
  <c r="W202" i="2"/>
  <c r="V202" i="2"/>
  <c r="I202" i="2"/>
  <c r="X201" i="2"/>
  <c r="W201" i="2"/>
  <c r="V201" i="2"/>
  <c r="I201" i="2"/>
  <c r="X200" i="2"/>
  <c r="W200" i="2"/>
  <c r="V200" i="2"/>
  <c r="I200" i="2"/>
  <c r="X199" i="2"/>
  <c r="W199" i="2"/>
  <c r="V199" i="2"/>
  <c r="I199" i="2"/>
  <c r="X198" i="2"/>
  <c r="W198" i="2"/>
  <c r="V198" i="2"/>
  <c r="I198" i="2"/>
  <c r="X197" i="2"/>
  <c r="W197" i="2"/>
  <c r="V197" i="2"/>
  <c r="I197" i="2"/>
  <c r="X196" i="2"/>
  <c r="W196" i="2"/>
  <c r="V196" i="2"/>
  <c r="I196" i="2"/>
  <c r="X195" i="2"/>
  <c r="W195" i="2"/>
  <c r="V195" i="2"/>
  <c r="I195" i="2"/>
  <c r="X194" i="2"/>
  <c r="W194" i="2"/>
  <c r="V194" i="2"/>
  <c r="I194" i="2"/>
  <c r="X193" i="2"/>
  <c r="W193" i="2"/>
  <c r="V193" i="2"/>
  <c r="I193" i="2"/>
  <c r="X192" i="2"/>
  <c r="W192" i="2"/>
  <c r="V192" i="2"/>
  <c r="I192" i="2"/>
  <c r="X191" i="2"/>
  <c r="W191" i="2"/>
  <c r="V191" i="2"/>
  <c r="I191" i="2"/>
  <c r="X190" i="2"/>
  <c r="W190" i="2"/>
  <c r="V190" i="2"/>
  <c r="I190" i="2"/>
  <c r="X189" i="2"/>
  <c r="W189" i="2"/>
  <c r="V189" i="2"/>
  <c r="I189" i="2"/>
  <c r="X188" i="2"/>
  <c r="W188" i="2"/>
  <c r="V188" i="2"/>
  <c r="I188" i="2"/>
  <c r="X187" i="2"/>
  <c r="W187" i="2"/>
  <c r="V187" i="2"/>
  <c r="I187" i="2"/>
  <c r="X186" i="2"/>
  <c r="W186" i="2"/>
  <c r="V186" i="2"/>
  <c r="I186" i="2"/>
  <c r="X185" i="2"/>
  <c r="W185" i="2"/>
  <c r="V185" i="2"/>
  <c r="I185" i="2"/>
  <c r="X184" i="2"/>
  <c r="W184" i="2"/>
  <c r="V184" i="2"/>
  <c r="I184" i="2"/>
  <c r="X183" i="2"/>
  <c r="W183" i="2"/>
  <c r="V183" i="2"/>
  <c r="I183" i="2"/>
  <c r="X182" i="2"/>
  <c r="W182" i="2"/>
  <c r="V182" i="2"/>
  <c r="I182" i="2"/>
  <c r="X181" i="2"/>
  <c r="W181" i="2"/>
  <c r="V181" i="2"/>
  <c r="I181" i="2"/>
  <c r="X180" i="2"/>
  <c r="W180" i="2"/>
  <c r="V180" i="2"/>
  <c r="I180" i="2"/>
  <c r="X179" i="2"/>
  <c r="W179" i="2"/>
  <c r="V179" i="2"/>
  <c r="I179" i="2"/>
  <c r="X178" i="2"/>
  <c r="W178" i="2"/>
  <c r="V178" i="2"/>
  <c r="I178" i="2"/>
  <c r="X177" i="2"/>
  <c r="W177" i="2"/>
  <c r="V177" i="2"/>
  <c r="I177" i="2"/>
  <c r="X176" i="2"/>
  <c r="W176" i="2"/>
  <c r="V176" i="2"/>
  <c r="I176" i="2"/>
  <c r="X175" i="2"/>
  <c r="W175" i="2"/>
  <c r="V175" i="2"/>
  <c r="I175" i="2"/>
  <c r="X174" i="2"/>
  <c r="W174" i="2"/>
  <c r="V174" i="2"/>
  <c r="I174" i="2"/>
  <c r="X173" i="2"/>
  <c r="W173" i="2"/>
  <c r="V173" i="2"/>
  <c r="I173" i="2"/>
  <c r="X172" i="2"/>
  <c r="W172" i="2"/>
  <c r="V172" i="2"/>
  <c r="I172" i="2"/>
  <c r="X171" i="2"/>
  <c r="W171" i="2"/>
  <c r="V171" i="2"/>
  <c r="I171" i="2"/>
  <c r="X170" i="2"/>
  <c r="W170" i="2"/>
  <c r="V170" i="2"/>
  <c r="I170" i="2"/>
  <c r="X169" i="2"/>
  <c r="W169" i="2"/>
  <c r="V169" i="2"/>
  <c r="I169" i="2"/>
  <c r="X168" i="2"/>
  <c r="W168" i="2"/>
  <c r="V168" i="2"/>
  <c r="I168" i="2"/>
  <c r="X167" i="2"/>
  <c r="W167" i="2"/>
  <c r="V167" i="2"/>
  <c r="I167" i="2"/>
  <c r="X166" i="2"/>
  <c r="W166" i="2"/>
  <c r="V166" i="2"/>
  <c r="I166" i="2"/>
  <c r="X165" i="2"/>
  <c r="W165" i="2"/>
  <c r="V165" i="2"/>
  <c r="I165" i="2"/>
  <c r="X164" i="2"/>
  <c r="W164" i="2"/>
  <c r="V164" i="2"/>
  <c r="I164" i="2"/>
  <c r="X163" i="2"/>
  <c r="W163" i="2"/>
  <c r="V163" i="2"/>
  <c r="I163" i="2"/>
  <c r="X162" i="2"/>
  <c r="W162" i="2"/>
  <c r="V162" i="2"/>
  <c r="I162" i="2"/>
  <c r="X161" i="2"/>
  <c r="W161" i="2"/>
  <c r="V161" i="2"/>
  <c r="I161" i="2"/>
  <c r="X160" i="2"/>
  <c r="W160" i="2"/>
  <c r="V160" i="2"/>
  <c r="I160" i="2"/>
  <c r="X159" i="2"/>
  <c r="W159" i="2"/>
  <c r="V159" i="2"/>
  <c r="I159" i="2"/>
  <c r="X158" i="2"/>
  <c r="W158" i="2"/>
  <c r="V158" i="2"/>
  <c r="I158" i="2"/>
  <c r="X157" i="2"/>
  <c r="W157" i="2"/>
  <c r="V157" i="2"/>
  <c r="I157" i="2"/>
  <c r="X156" i="2"/>
  <c r="W156" i="2"/>
  <c r="V156" i="2"/>
  <c r="I156" i="2"/>
  <c r="X155" i="2"/>
  <c r="W155" i="2"/>
  <c r="V155" i="2"/>
  <c r="I155" i="2"/>
  <c r="X154" i="2"/>
  <c r="W154" i="2"/>
  <c r="V154" i="2"/>
  <c r="I154" i="2"/>
  <c r="X153" i="2"/>
  <c r="W153" i="2"/>
  <c r="V153" i="2"/>
  <c r="I153" i="2"/>
  <c r="X152" i="2"/>
  <c r="W152" i="2"/>
  <c r="V152" i="2"/>
  <c r="I152" i="2"/>
  <c r="X151" i="2"/>
  <c r="W151" i="2"/>
  <c r="V151" i="2"/>
  <c r="I151" i="2"/>
  <c r="X150" i="2"/>
  <c r="W150" i="2"/>
  <c r="V150" i="2"/>
  <c r="I150" i="2"/>
  <c r="X149" i="2"/>
  <c r="W149" i="2"/>
  <c r="V149" i="2"/>
  <c r="I149" i="2"/>
  <c r="X148" i="2"/>
  <c r="W148" i="2"/>
  <c r="V148" i="2"/>
  <c r="I148" i="2"/>
  <c r="X147" i="2"/>
  <c r="W147" i="2"/>
  <c r="V147" i="2"/>
  <c r="I147" i="2"/>
  <c r="X146" i="2"/>
  <c r="W146" i="2"/>
  <c r="V146" i="2"/>
  <c r="I146" i="2"/>
  <c r="X145" i="2"/>
  <c r="W145" i="2"/>
  <c r="V145" i="2"/>
  <c r="I145" i="2"/>
  <c r="X144" i="2"/>
  <c r="W144" i="2"/>
  <c r="V144" i="2"/>
  <c r="I144" i="2"/>
  <c r="X143" i="2"/>
  <c r="W143" i="2"/>
  <c r="V143" i="2"/>
  <c r="I143" i="2"/>
  <c r="X142" i="2"/>
  <c r="W142" i="2"/>
  <c r="V142" i="2"/>
  <c r="I142" i="2"/>
  <c r="X141" i="2"/>
  <c r="W141" i="2"/>
  <c r="V141" i="2"/>
  <c r="I141" i="2"/>
  <c r="X140" i="2"/>
  <c r="W140" i="2"/>
  <c r="V140" i="2"/>
  <c r="I140" i="2"/>
  <c r="X139" i="2"/>
  <c r="W139" i="2"/>
  <c r="V139" i="2"/>
  <c r="I139" i="2"/>
  <c r="X138" i="2"/>
  <c r="W138" i="2"/>
  <c r="V138" i="2"/>
  <c r="I138" i="2"/>
  <c r="X137" i="2"/>
  <c r="W137" i="2"/>
  <c r="V137" i="2"/>
  <c r="I137" i="2"/>
  <c r="X136" i="2"/>
  <c r="W136" i="2"/>
  <c r="V136" i="2"/>
  <c r="I136" i="2"/>
  <c r="X135" i="2"/>
  <c r="W135" i="2"/>
  <c r="V135" i="2"/>
  <c r="I135" i="2"/>
  <c r="X134" i="2"/>
  <c r="W134" i="2"/>
  <c r="V134" i="2"/>
  <c r="I134" i="2"/>
  <c r="X133" i="2"/>
  <c r="W133" i="2"/>
  <c r="V133" i="2"/>
  <c r="I133" i="2"/>
  <c r="X132" i="2"/>
  <c r="W132" i="2"/>
  <c r="V132" i="2"/>
  <c r="I132" i="2"/>
  <c r="X131" i="2"/>
  <c r="W131" i="2"/>
  <c r="V131" i="2"/>
  <c r="I131" i="2"/>
  <c r="X130" i="2"/>
  <c r="W130" i="2"/>
  <c r="V130" i="2"/>
  <c r="I130" i="2"/>
  <c r="X129" i="2"/>
  <c r="W129" i="2"/>
  <c r="V129" i="2"/>
  <c r="I129" i="2"/>
  <c r="X128" i="2"/>
  <c r="W128" i="2"/>
  <c r="V128" i="2"/>
  <c r="I128" i="2"/>
  <c r="X127" i="2"/>
  <c r="W127" i="2"/>
  <c r="V127" i="2"/>
  <c r="I127" i="2"/>
  <c r="X126" i="2"/>
  <c r="W126" i="2"/>
  <c r="V126" i="2"/>
  <c r="I126" i="2"/>
  <c r="X125" i="2"/>
  <c r="W125" i="2"/>
  <c r="V125" i="2"/>
  <c r="I125" i="2"/>
  <c r="X124" i="2"/>
  <c r="W124" i="2"/>
  <c r="V124" i="2"/>
  <c r="I124" i="2"/>
  <c r="X123" i="2"/>
  <c r="W123" i="2"/>
  <c r="V123" i="2"/>
  <c r="I123" i="2"/>
  <c r="X122" i="2"/>
  <c r="W122" i="2"/>
  <c r="V122" i="2"/>
  <c r="I122" i="2"/>
  <c r="X121" i="2"/>
  <c r="W121" i="2"/>
  <c r="V121" i="2"/>
  <c r="I121" i="2"/>
  <c r="X120" i="2"/>
  <c r="W120" i="2"/>
  <c r="V120" i="2"/>
  <c r="I120" i="2"/>
  <c r="X119" i="2"/>
  <c r="W119" i="2"/>
  <c r="V119" i="2"/>
  <c r="I119" i="2"/>
  <c r="X118" i="2"/>
  <c r="W118" i="2"/>
  <c r="V118" i="2"/>
  <c r="I118" i="2"/>
  <c r="X117" i="2"/>
  <c r="W117" i="2"/>
  <c r="V117" i="2"/>
  <c r="I117" i="2"/>
  <c r="X116" i="2"/>
  <c r="W116" i="2"/>
  <c r="V116" i="2"/>
  <c r="I116" i="2"/>
  <c r="X115" i="2"/>
  <c r="W115" i="2"/>
  <c r="V115" i="2"/>
  <c r="I115" i="2"/>
  <c r="X114" i="2"/>
  <c r="W114" i="2"/>
  <c r="V114" i="2"/>
  <c r="I114" i="2"/>
  <c r="X113" i="2"/>
  <c r="W113" i="2"/>
  <c r="V113" i="2"/>
  <c r="I113" i="2"/>
  <c r="X112" i="2"/>
  <c r="W112" i="2"/>
  <c r="V112" i="2"/>
  <c r="I112" i="2"/>
  <c r="X111" i="2"/>
  <c r="W111" i="2"/>
  <c r="V111" i="2"/>
  <c r="I111" i="2"/>
  <c r="X110" i="2"/>
  <c r="W110" i="2"/>
  <c r="V110" i="2"/>
  <c r="I110" i="2"/>
  <c r="X109" i="2"/>
  <c r="W109" i="2"/>
  <c r="V109" i="2"/>
  <c r="I109" i="2"/>
  <c r="X108" i="2"/>
  <c r="W108" i="2"/>
  <c r="V108" i="2"/>
  <c r="I108" i="2"/>
  <c r="X107" i="2"/>
  <c r="W107" i="2"/>
  <c r="V107" i="2"/>
  <c r="I107" i="2"/>
  <c r="X106" i="2"/>
  <c r="W106" i="2"/>
  <c r="V106" i="2"/>
  <c r="I106" i="2"/>
  <c r="X105" i="2"/>
  <c r="W105" i="2"/>
  <c r="V105" i="2"/>
  <c r="I105" i="2"/>
  <c r="X104" i="2"/>
  <c r="W104" i="2"/>
  <c r="V104" i="2"/>
  <c r="I104" i="2"/>
  <c r="X103" i="2"/>
  <c r="W103" i="2"/>
  <c r="V103" i="2"/>
  <c r="I103" i="2"/>
  <c r="X102" i="2"/>
  <c r="W102" i="2"/>
  <c r="V102" i="2"/>
  <c r="I102" i="2"/>
  <c r="X101" i="2"/>
  <c r="W101" i="2"/>
  <c r="V101" i="2"/>
  <c r="I101" i="2"/>
  <c r="X100" i="2"/>
  <c r="W100" i="2"/>
  <c r="V100" i="2"/>
  <c r="X99" i="2"/>
  <c r="W99" i="2"/>
  <c r="V99" i="2"/>
  <c r="X98" i="2"/>
  <c r="W98" i="2"/>
  <c r="V98" i="2"/>
  <c r="X97" i="2"/>
  <c r="W97" i="2"/>
  <c r="V97" i="2"/>
  <c r="X96" i="2"/>
  <c r="W96" i="2"/>
  <c r="V96" i="2"/>
  <c r="X95" i="2"/>
  <c r="W95" i="2"/>
  <c r="V95" i="2"/>
  <c r="X94" i="2"/>
  <c r="W94" i="2"/>
  <c r="V94" i="2"/>
  <c r="X93" i="2"/>
  <c r="W93" i="2"/>
  <c r="V93" i="2"/>
  <c r="X92" i="2"/>
  <c r="W92" i="2"/>
  <c r="V92" i="2"/>
  <c r="X91" i="2"/>
  <c r="W91" i="2"/>
  <c r="V91" i="2"/>
  <c r="X90" i="2"/>
  <c r="W90" i="2"/>
  <c r="V90" i="2"/>
  <c r="X89" i="2"/>
  <c r="W89" i="2"/>
  <c r="V89" i="2"/>
  <c r="X88" i="2"/>
  <c r="W88" i="2"/>
  <c r="V88" i="2"/>
  <c r="X87" i="2"/>
  <c r="W87" i="2"/>
  <c r="V87" i="2"/>
  <c r="X86" i="2"/>
  <c r="W86" i="2"/>
  <c r="V86" i="2"/>
  <c r="X85" i="2"/>
  <c r="W85" i="2"/>
  <c r="V85" i="2"/>
  <c r="X84" i="2"/>
  <c r="W84" i="2"/>
  <c r="V84" i="2"/>
  <c r="X83" i="2"/>
  <c r="W83" i="2"/>
  <c r="V83" i="2"/>
  <c r="X82" i="2"/>
  <c r="W82" i="2"/>
  <c r="V82" i="2"/>
  <c r="X81" i="2"/>
  <c r="W81" i="2"/>
  <c r="V81" i="2"/>
  <c r="X80" i="2"/>
  <c r="W80" i="2"/>
  <c r="V80" i="2"/>
  <c r="X79" i="2"/>
  <c r="W79" i="2"/>
  <c r="V79" i="2"/>
  <c r="X78" i="2"/>
  <c r="W78" i="2"/>
  <c r="V78" i="2"/>
  <c r="X77" i="2"/>
  <c r="W77" i="2"/>
  <c r="V77" i="2"/>
  <c r="X76" i="2"/>
  <c r="W76" i="2"/>
  <c r="V76" i="2"/>
  <c r="X75" i="2"/>
  <c r="W75" i="2"/>
  <c r="V75" i="2"/>
  <c r="X74" i="2"/>
  <c r="W74" i="2"/>
  <c r="V74" i="2"/>
  <c r="X73" i="2"/>
  <c r="W73" i="2"/>
  <c r="V73" i="2"/>
  <c r="X72" i="2"/>
  <c r="W72" i="2"/>
  <c r="V72" i="2"/>
  <c r="X71" i="2"/>
  <c r="W71" i="2"/>
  <c r="V71" i="2"/>
  <c r="X70" i="2"/>
  <c r="W70" i="2"/>
  <c r="V70" i="2"/>
  <c r="P1081" i="1"/>
  <c r="O1081" i="1"/>
  <c r="N1081" i="1"/>
  <c r="M1081" i="1"/>
  <c r="L1081" i="1"/>
  <c r="K1081" i="1"/>
  <c r="J1080" i="1"/>
  <c r="E1080" i="1"/>
  <c r="J1079" i="1"/>
  <c r="E1079" i="1"/>
  <c r="J1078" i="1"/>
  <c r="E1078" i="1"/>
  <c r="AB1077" i="1"/>
  <c r="AA1077" i="1"/>
  <c r="Z1077" i="1"/>
  <c r="Y1077" i="1"/>
  <c r="X1077" i="1"/>
  <c r="W1077" i="1"/>
  <c r="V1077" i="1"/>
  <c r="Q1077" i="1"/>
  <c r="Q1081" i="1" s="1"/>
  <c r="J1077" i="1"/>
  <c r="Q1076" i="1"/>
  <c r="P1076" i="1"/>
  <c r="O1076" i="1"/>
  <c r="N1076" i="1"/>
  <c r="M1076" i="1"/>
  <c r="L1076" i="1"/>
  <c r="K1076" i="1"/>
  <c r="J1075" i="1"/>
  <c r="E1075" i="1"/>
  <c r="J1074" i="1"/>
  <c r="E1074" i="1"/>
  <c r="J1073" i="1"/>
  <c r="J1072" i="1" s="1"/>
  <c r="E1073" i="1"/>
  <c r="AB1072" i="1"/>
  <c r="Z1072" i="1"/>
  <c r="Y1072" i="1"/>
  <c r="X1072" i="1"/>
  <c r="W1072" i="1"/>
  <c r="V1072" i="1"/>
  <c r="Q1072" i="1"/>
  <c r="AA1072" i="1" s="1"/>
  <c r="P1071" i="1"/>
  <c r="O1071" i="1"/>
  <c r="N1071" i="1"/>
  <c r="M1071" i="1"/>
  <c r="L1071" i="1"/>
  <c r="K1071" i="1"/>
  <c r="J1070" i="1"/>
  <c r="E1070" i="1"/>
  <c r="J1069" i="1"/>
  <c r="E1069" i="1"/>
  <c r="J1068" i="1"/>
  <c r="E1068" i="1"/>
  <c r="Q1067" i="1"/>
  <c r="Q1071" i="1" s="1"/>
  <c r="J1067" i="1"/>
  <c r="Q1066" i="1"/>
  <c r="P1066" i="1"/>
  <c r="O1066" i="1"/>
  <c r="N1066" i="1"/>
  <c r="M1066" i="1"/>
  <c r="L1066" i="1"/>
  <c r="K1066" i="1"/>
  <c r="J1065" i="1"/>
  <c r="E1065" i="1"/>
  <c r="J1064" i="1"/>
  <c r="E1064" i="1"/>
  <c r="J1063" i="1"/>
  <c r="J1062" i="1" s="1"/>
  <c r="E1063" i="1"/>
  <c r="AB1062" i="1"/>
  <c r="Z1062" i="1"/>
  <c r="Y1062" i="1"/>
  <c r="X1062" i="1"/>
  <c r="W1062" i="1"/>
  <c r="V1062" i="1"/>
  <c r="Q1062" i="1"/>
  <c r="AA1062" i="1" s="1"/>
  <c r="P1061" i="1"/>
  <c r="O1061" i="1"/>
  <c r="N1061" i="1"/>
  <c r="M1061" i="1"/>
  <c r="L1061" i="1"/>
  <c r="K1061" i="1"/>
  <c r="J1060" i="1"/>
  <c r="E1060" i="1"/>
  <c r="J1059" i="1"/>
  <c r="E1059" i="1"/>
  <c r="J1058" i="1"/>
  <c r="J1057" i="1" s="1"/>
  <c r="E1058" i="1"/>
  <c r="N1057" i="1"/>
  <c r="M1057" i="1"/>
  <c r="L1057" i="1"/>
  <c r="Q1057" i="1" s="1"/>
  <c r="Q1061" i="1" s="1"/>
  <c r="K1057" i="1"/>
  <c r="Q1056" i="1"/>
  <c r="P1056" i="1"/>
  <c r="O1056" i="1"/>
  <c r="N1056" i="1"/>
  <c r="M1056" i="1"/>
  <c r="L1056" i="1"/>
  <c r="K1056" i="1"/>
  <c r="J1055" i="1"/>
  <c r="E1055" i="1"/>
  <c r="J1054" i="1"/>
  <c r="E1054" i="1"/>
  <c r="J1053" i="1"/>
  <c r="J1052" i="1" s="1"/>
  <c r="E1053" i="1"/>
  <c r="Q1052" i="1"/>
  <c r="Q1051" i="1"/>
  <c r="P1051" i="1"/>
  <c r="O1051" i="1"/>
  <c r="N1051" i="1"/>
  <c r="M1051" i="1"/>
  <c r="L1051" i="1"/>
  <c r="K1051" i="1"/>
  <c r="J1050" i="1"/>
  <c r="E1050" i="1"/>
  <c r="J1049" i="1"/>
  <c r="J1047" i="1" s="1"/>
  <c r="E1049" i="1"/>
  <c r="J1048" i="1"/>
  <c r="E1048" i="1"/>
  <c r="Q1047" i="1"/>
  <c r="P1046" i="1"/>
  <c r="O1046" i="1"/>
  <c r="N1046" i="1"/>
  <c r="M1046" i="1"/>
  <c r="L1046" i="1"/>
  <c r="K1046" i="1"/>
  <c r="J1045" i="1"/>
  <c r="E1045" i="1"/>
  <c r="J1044" i="1"/>
  <c r="E1044" i="1"/>
  <c r="J1043" i="1"/>
  <c r="J1042" i="1" s="1"/>
  <c r="E1043" i="1"/>
  <c r="Q1042" i="1"/>
  <c r="Q1046" i="1" s="1"/>
  <c r="Q1041" i="1"/>
  <c r="P1041" i="1"/>
  <c r="O1041" i="1"/>
  <c r="N1041" i="1"/>
  <c r="M1041" i="1"/>
  <c r="L1041" i="1"/>
  <c r="K1041" i="1"/>
  <c r="J1040" i="1"/>
  <c r="E1040" i="1"/>
  <c r="J1039" i="1"/>
  <c r="E1039" i="1"/>
  <c r="J1038" i="1"/>
  <c r="J1037" i="1" s="1"/>
  <c r="E1038" i="1"/>
  <c r="Q1037" i="1"/>
  <c r="P1036" i="1"/>
  <c r="O1036" i="1"/>
  <c r="N1036" i="1"/>
  <c r="M1036" i="1"/>
  <c r="L1036" i="1"/>
  <c r="K1036" i="1"/>
  <c r="J1035" i="1"/>
  <c r="E1035" i="1"/>
  <c r="J1034" i="1"/>
  <c r="E1034" i="1"/>
  <c r="J1033" i="1"/>
  <c r="E1033" i="1"/>
  <c r="AB1032" i="1"/>
  <c r="AA1032" i="1"/>
  <c r="Z1032" i="1"/>
  <c r="Y1032" i="1"/>
  <c r="X1032" i="1"/>
  <c r="W1032" i="1"/>
  <c r="V1032" i="1"/>
  <c r="Q1032" i="1"/>
  <c r="Q1036" i="1" s="1"/>
  <c r="J1032" i="1"/>
  <c r="Q1031" i="1"/>
  <c r="P1031" i="1"/>
  <c r="O1031" i="1"/>
  <c r="N1031" i="1"/>
  <c r="M1031" i="1"/>
  <c r="L1031" i="1"/>
  <c r="K1031" i="1"/>
  <c r="J1030" i="1"/>
  <c r="E1030" i="1"/>
  <c r="J1029" i="1"/>
  <c r="E1029" i="1"/>
  <c r="J1028" i="1"/>
  <c r="J1027" i="1" s="1"/>
  <c r="E1028" i="1"/>
  <c r="AB1027" i="1"/>
  <c r="Z1027" i="1"/>
  <c r="Y1027" i="1"/>
  <c r="X1027" i="1"/>
  <c r="W1027" i="1"/>
  <c r="V1027" i="1"/>
  <c r="Q1027" i="1"/>
  <c r="AA1027" i="1" s="1"/>
  <c r="P1026" i="1"/>
  <c r="O1026" i="1"/>
  <c r="N1026" i="1"/>
  <c r="M1026" i="1"/>
  <c r="K1026" i="1"/>
  <c r="J1025" i="1"/>
  <c r="E1025" i="1"/>
  <c r="J1024" i="1"/>
  <c r="E1024" i="1"/>
  <c r="J1023" i="1"/>
  <c r="E1023" i="1"/>
  <c r="L1022" i="1"/>
  <c r="Q1022" i="1" s="1"/>
  <c r="Q1026" i="1" s="1"/>
  <c r="J1022" i="1"/>
  <c r="Q1021" i="1"/>
  <c r="P1021" i="1"/>
  <c r="O1021" i="1"/>
  <c r="N1021" i="1"/>
  <c r="M1021" i="1"/>
  <c r="L1021" i="1"/>
  <c r="K1021" i="1"/>
  <c r="J1020" i="1"/>
  <c r="E1020" i="1"/>
  <c r="J1019" i="1"/>
  <c r="J1017" i="1" s="1"/>
  <c r="E1019" i="1"/>
  <c r="J1018" i="1"/>
  <c r="E1018" i="1"/>
  <c r="W1017" i="1"/>
  <c r="Q1017" i="1"/>
  <c r="Q1016" i="1"/>
  <c r="P1016" i="1"/>
  <c r="O1016" i="1"/>
  <c r="N1016" i="1"/>
  <c r="M1016" i="1"/>
  <c r="L1016" i="1"/>
  <c r="K1016" i="1"/>
  <c r="J1015" i="1"/>
  <c r="E1015" i="1"/>
  <c r="J1014" i="1"/>
  <c r="E1014" i="1"/>
  <c r="J1013" i="1"/>
  <c r="J1012" i="1" s="1"/>
  <c r="E1013" i="1"/>
  <c r="AB1012" i="1"/>
  <c r="AA1012" i="1"/>
  <c r="Z1012" i="1"/>
  <c r="Y1012" i="1"/>
  <c r="X1012" i="1"/>
  <c r="W1012" i="1"/>
  <c r="V1012" i="1"/>
  <c r="Q1012" i="1"/>
  <c r="P1011" i="1"/>
  <c r="O1011" i="1"/>
  <c r="N1011" i="1"/>
  <c r="M1011" i="1"/>
  <c r="L1011" i="1"/>
  <c r="K1011" i="1"/>
  <c r="J1010" i="1"/>
  <c r="E1010" i="1"/>
  <c r="J1009" i="1"/>
  <c r="E1009" i="1"/>
  <c r="J1008" i="1"/>
  <c r="J1007" i="1" s="1"/>
  <c r="E1008" i="1"/>
  <c r="W1007" i="1"/>
  <c r="Q1007" i="1"/>
  <c r="Q1011" i="1" s="1"/>
  <c r="P1006" i="1"/>
  <c r="O1006" i="1"/>
  <c r="N1006" i="1"/>
  <c r="M1006" i="1"/>
  <c r="L1006" i="1"/>
  <c r="K1006" i="1"/>
  <c r="J1005" i="1"/>
  <c r="E1005" i="1"/>
  <c r="J1004" i="1"/>
  <c r="E1004" i="1"/>
  <c r="J1003" i="1"/>
  <c r="J1002" i="1" s="1"/>
  <c r="E1003" i="1"/>
  <c r="AB1002" i="1"/>
  <c r="Z1002" i="1"/>
  <c r="Y1002" i="1"/>
  <c r="X1002" i="1"/>
  <c r="W1002" i="1"/>
  <c r="V1002" i="1"/>
  <c r="Q1002" i="1"/>
  <c r="AA1002" i="1" s="1"/>
  <c r="P1001" i="1"/>
  <c r="O1001" i="1"/>
  <c r="N1001" i="1"/>
  <c r="M1001" i="1"/>
  <c r="L1001" i="1"/>
  <c r="K1001" i="1"/>
  <c r="J1000" i="1"/>
  <c r="J997" i="1" s="1"/>
  <c r="E1000" i="1"/>
  <c r="J999" i="1"/>
  <c r="E999" i="1"/>
  <c r="J998" i="1"/>
  <c r="E998" i="1"/>
  <c r="Q997" i="1"/>
  <c r="Q1001" i="1" s="1"/>
  <c r="Q996" i="1"/>
  <c r="P996" i="1"/>
  <c r="O996" i="1"/>
  <c r="N996" i="1"/>
  <c r="M996" i="1"/>
  <c r="L996" i="1"/>
  <c r="K996" i="1"/>
  <c r="J995" i="1"/>
  <c r="E995" i="1"/>
  <c r="J994" i="1"/>
  <c r="E994" i="1"/>
  <c r="J993" i="1"/>
  <c r="E993" i="1"/>
  <c r="Q992" i="1"/>
  <c r="W992" i="1" s="1"/>
  <c r="J992" i="1"/>
  <c r="P991" i="1"/>
  <c r="O991" i="1"/>
  <c r="N991" i="1"/>
  <c r="M991" i="1"/>
  <c r="L991" i="1"/>
  <c r="K991" i="1"/>
  <c r="J990" i="1"/>
  <c r="J987" i="1" s="1"/>
  <c r="E990" i="1"/>
  <c r="J989" i="1"/>
  <c r="E989" i="1"/>
  <c r="J988" i="1"/>
  <c r="E988" i="1"/>
  <c r="Q987" i="1"/>
  <c r="Q991" i="1" s="1"/>
  <c r="Q986" i="1"/>
  <c r="P986" i="1"/>
  <c r="O986" i="1"/>
  <c r="N986" i="1"/>
  <c r="M986" i="1"/>
  <c r="L986" i="1"/>
  <c r="K986" i="1"/>
  <c r="J985" i="1"/>
  <c r="E985" i="1"/>
  <c r="J984" i="1"/>
  <c r="E984" i="1"/>
  <c r="J983" i="1"/>
  <c r="E983" i="1"/>
  <c r="AB982" i="1"/>
  <c r="AA982" i="1"/>
  <c r="Z982" i="1"/>
  <c r="Y982" i="1"/>
  <c r="X982" i="1"/>
  <c r="W982" i="1"/>
  <c r="V982" i="1"/>
  <c r="Q982" i="1"/>
  <c r="J982" i="1"/>
  <c r="P981" i="1"/>
  <c r="O981" i="1"/>
  <c r="N981" i="1"/>
  <c r="M981" i="1"/>
  <c r="L981" i="1"/>
  <c r="K981" i="1"/>
  <c r="J980" i="1"/>
  <c r="E980" i="1"/>
  <c r="J979" i="1"/>
  <c r="E979" i="1"/>
  <c r="J978" i="1"/>
  <c r="E978" i="1"/>
  <c r="Q977" i="1"/>
  <c r="Q981" i="1" s="1"/>
  <c r="J977" i="1"/>
  <c r="Q976" i="1"/>
  <c r="P976" i="1"/>
  <c r="O976" i="1"/>
  <c r="N976" i="1"/>
  <c r="M976" i="1"/>
  <c r="L976" i="1"/>
  <c r="K976" i="1"/>
  <c r="J975" i="1"/>
  <c r="E975" i="1"/>
  <c r="J974" i="1"/>
  <c r="J972" i="1" s="1"/>
  <c r="E974" i="1"/>
  <c r="J973" i="1"/>
  <c r="E973" i="1"/>
  <c r="Q972" i="1"/>
  <c r="P971" i="1"/>
  <c r="O971" i="1"/>
  <c r="N971" i="1"/>
  <c r="M971" i="1"/>
  <c r="L971" i="1"/>
  <c r="K971" i="1"/>
  <c r="J970" i="1"/>
  <c r="E970" i="1"/>
  <c r="J969" i="1"/>
  <c r="E969" i="1"/>
  <c r="J968" i="1"/>
  <c r="E968" i="1"/>
  <c r="Q967" i="1"/>
  <c r="Q971" i="1" s="1"/>
  <c r="J967" i="1"/>
  <c r="Q966" i="1"/>
  <c r="P966" i="1"/>
  <c r="O966" i="1"/>
  <c r="N966" i="1"/>
  <c r="M966" i="1"/>
  <c r="L966" i="1"/>
  <c r="K966" i="1"/>
  <c r="J965" i="1"/>
  <c r="E965" i="1"/>
  <c r="J964" i="1"/>
  <c r="E964" i="1"/>
  <c r="J963" i="1"/>
  <c r="J962" i="1" s="1"/>
  <c r="E963" i="1"/>
  <c r="Q962" i="1"/>
  <c r="P961" i="1"/>
  <c r="O961" i="1"/>
  <c r="N961" i="1"/>
  <c r="M961" i="1"/>
  <c r="L961" i="1"/>
  <c r="K961" i="1"/>
  <c r="J960" i="1"/>
  <c r="E960" i="1"/>
  <c r="J959" i="1"/>
  <c r="E959" i="1"/>
  <c r="J958" i="1"/>
  <c r="E958" i="1"/>
  <c r="Q957" i="1"/>
  <c r="Q961" i="1" s="1"/>
  <c r="J957" i="1"/>
  <c r="Q956" i="1"/>
  <c r="P956" i="1"/>
  <c r="O956" i="1"/>
  <c r="N956" i="1"/>
  <c r="M956" i="1"/>
  <c r="L956" i="1"/>
  <c r="K956" i="1"/>
  <c r="J955" i="1"/>
  <c r="E955" i="1"/>
  <c r="J954" i="1"/>
  <c r="J952" i="1" s="1"/>
  <c r="E954" i="1"/>
  <c r="J953" i="1"/>
  <c r="E953" i="1"/>
  <c r="Q952" i="1"/>
  <c r="Q951" i="1"/>
  <c r="P951" i="1"/>
  <c r="O951" i="1"/>
  <c r="N951" i="1"/>
  <c r="M951" i="1"/>
  <c r="L951" i="1"/>
  <c r="K951" i="1"/>
  <c r="J950" i="1"/>
  <c r="J947" i="1" s="1"/>
  <c r="E950" i="1"/>
  <c r="J949" i="1"/>
  <c r="E949" i="1"/>
  <c r="J948" i="1"/>
  <c r="E948" i="1"/>
  <c r="Q947" i="1"/>
  <c r="Q946" i="1"/>
  <c r="P946" i="1"/>
  <c r="O946" i="1"/>
  <c r="N946" i="1"/>
  <c r="M946" i="1"/>
  <c r="L946" i="1"/>
  <c r="K946" i="1"/>
  <c r="J945" i="1"/>
  <c r="E945" i="1"/>
  <c r="J944" i="1"/>
  <c r="E944" i="1"/>
  <c r="J943" i="1"/>
  <c r="J942" i="1" s="1"/>
  <c r="E943" i="1"/>
  <c r="Q942" i="1"/>
  <c r="P941" i="1"/>
  <c r="O941" i="1"/>
  <c r="N941" i="1"/>
  <c r="M941" i="1"/>
  <c r="L941" i="1"/>
  <c r="K941" i="1"/>
  <c r="J940" i="1"/>
  <c r="E940" i="1"/>
  <c r="J939" i="1"/>
  <c r="E939" i="1"/>
  <c r="J938" i="1"/>
  <c r="E938" i="1"/>
  <c r="AB937" i="1"/>
  <c r="Z937" i="1"/>
  <c r="Y937" i="1"/>
  <c r="X937" i="1"/>
  <c r="W937" i="1"/>
  <c r="V937" i="1"/>
  <c r="Q937" i="1"/>
  <c r="Q941" i="1" s="1"/>
  <c r="J937" i="1"/>
  <c r="Q936" i="1"/>
  <c r="P936" i="1"/>
  <c r="O936" i="1"/>
  <c r="N936" i="1"/>
  <c r="M936" i="1"/>
  <c r="L936" i="1"/>
  <c r="K936" i="1"/>
  <c r="J935" i="1"/>
  <c r="E935" i="1"/>
  <c r="J934" i="1"/>
  <c r="E934" i="1"/>
  <c r="J933" i="1"/>
  <c r="J932" i="1" s="1"/>
  <c r="E933" i="1"/>
  <c r="Q932" i="1"/>
  <c r="P931" i="1"/>
  <c r="O931" i="1"/>
  <c r="N931" i="1"/>
  <c r="M931" i="1"/>
  <c r="L931" i="1"/>
  <c r="K931" i="1"/>
  <c r="J930" i="1"/>
  <c r="E930" i="1"/>
  <c r="J929" i="1"/>
  <c r="E929" i="1"/>
  <c r="J928" i="1"/>
  <c r="E928" i="1"/>
  <c r="Q927" i="1"/>
  <c r="Q931" i="1" s="1"/>
  <c r="J927" i="1"/>
  <c r="Q926" i="1"/>
  <c r="P926" i="1"/>
  <c r="O926" i="1"/>
  <c r="N926" i="1"/>
  <c r="M926" i="1"/>
  <c r="L926" i="1"/>
  <c r="K926" i="1"/>
  <c r="J925" i="1"/>
  <c r="E925" i="1"/>
  <c r="J924" i="1"/>
  <c r="E924" i="1"/>
  <c r="J923" i="1"/>
  <c r="E923" i="1"/>
  <c r="Q922" i="1"/>
  <c r="J922" i="1"/>
  <c r="P921" i="1"/>
  <c r="O921" i="1"/>
  <c r="N921" i="1"/>
  <c r="M921" i="1"/>
  <c r="L921" i="1"/>
  <c r="K921" i="1"/>
  <c r="J920" i="1"/>
  <c r="J917" i="1" s="1"/>
  <c r="E920" i="1"/>
  <c r="J919" i="1"/>
  <c r="E919" i="1"/>
  <c r="J918" i="1"/>
  <c r="E918" i="1"/>
  <c r="Q917" i="1"/>
  <c r="Q921" i="1" s="1"/>
  <c r="Q916" i="1"/>
  <c r="P916" i="1"/>
  <c r="O916" i="1"/>
  <c r="N916" i="1"/>
  <c r="M916" i="1"/>
  <c r="L916" i="1"/>
  <c r="K916" i="1"/>
  <c r="J915" i="1"/>
  <c r="E915" i="1"/>
  <c r="J914" i="1"/>
  <c r="E914" i="1"/>
  <c r="J913" i="1"/>
  <c r="E913" i="1"/>
  <c r="Q912" i="1"/>
  <c r="J912" i="1"/>
  <c r="Q911" i="1"/>
  <c r="P911" i="1"/>
  <c r="O911" i="1"/>
  <c r="N911" i="1"/>
  <c r="M911" i="1"/>
  <c r="L911" i="1"/>
  <c r="K911" i="1"/>
  <c r="J910" i="1"/>
  <c r="E910" i="1"/>
  <c r="J909" i="1"/>
  <c r="E909" i="1"/>
  <c r="J908" i="1"/>
  <c r="J907" i="1" s="1"/>
  <c r="E908" i="1"/>
  <c r="Q907" i="1"/>
  <c r="Q906" i="1"/>
  <c r="P906" i="1"/>
  <c r="O906" i="1"/>
  <c r="N906" i="1"/>
  <c r="M906" i="1"/>
  <c r="L906" i="1"/>
  <c r="K906" i="1"/>
  <c r="J905" i="1"/>
  <c r="J902" i="1" s="1"/>
  <c r="E905" i="1"/>
  <c r="J904" i="1"/>
  <c r="E904" i="1"/>
  <c r="J903" i="1"/>
  <c r="E903" i="1"/>
  <c r="Q902" i="1"/>
  <c r="Q901" i="1"/>
  <c r="P901" i="1"/>
  <c r="O901" i="1"/>
  <c r="N901" i="1"/>
  <c r="M901" i="1"/>
  <c r="L901" i="1"/>
  <c r="K901" i="1"/>
  <c r="J900" i="1"/>
  <c r="E900" i="1"/>
  <c r="J899" i="1"/>
  <c r="E899" i="1"/>
  <c r="J898" i="1"/>
  <c r="J897" i="1" s="1"/>
  <c r="E898" i="1"/>
  <c r="Q897" i="1"/>
  <c r="Q896" i="1"/>
  <c r="P896" i="1"/>
  <c r="O896" i="1"/>
  <c r="N896" i="1"/>
  <c r="M896" i="1"/>
  <c r="L896" i="1"/>
  <c r="K896" i="1"/>
  <c r="J895" i="1"/>
  <c r="E895" i="1"/>
  <c r="J894" i="1"/>
  <c r="J892" i="1" s="1"/>
  <c r="E894" i="1"/>
  <c r="J893" i="1"/>
  <c r="E893" i="1"/>
  <c r="Q892" i="1"/>
  <c r="P891" i="1"/>
  <c r="O891" i="1"/>
  <c r="N891" i="1"/>
  <c r="M891" i="1"/>
  <c r="L891" i="1"/>
  <c r="K891" i="1"/>
  <c r="J890" i="1"/>
  <c r="E890" i="1"/>
  <c r="J889" i="1"/>
  <c r="E889" i="1"/>
  <c r="J888" i="1"/>
  <c r="J887" i="1" s="1"/>
  <c r="E888" i="1"/>
  <c r="Q887" i="1"/>
  <c r="Q891" i="1" s="1"/>
  <c r="Q886" i="1"/>
  <c r="P886" i="1"/>
  <c r="O886" i="1"/>
  <c r="N886" i="1"/>
  <c r="M886" i="1"/>
  <c r="L886" i="1"/>
  <c r="K886" i="1"/>
  <c r="J885" i="1"/>
  <c r="E885" i="1"/>
  <c r="J884" i="1"/>
  <c r="E884" i="1"/>
  <c r="J883" i="1"/>
  <c r="J882" i="1" s="1"/>
  <c r="E883" i="1"/>
  <c r="Q882" i="1"/>
  <c r="P881" i="1"/>
  <c r="O881" i="1"/>
  <c r="N881" i="1"/>
  <c r="M881" i="1"/>
  <c r="L881" i="1"/>
  <c r="K881" i="1"/>
  <c r="J880" i="1"/>
  <c r="E880" i="1"/>
  <c r="J879" i="1"/>
  <c r="E879" i="1"/>
  <c r="J878" i="1"/>
  <c r="E878" i="1"/>
  <c r="Q877" i="1"/>
  <c r="Q881" i="1" s="1"/>
  <c r="J877" i="1"/>
  <c r="P876" i="1"/>
  <c r="O876" i="1"/>
  <c r="N876" i="1"/>
  <c r="M876" i="1"/>
  <c r="L876" i="1"/>
  <c r="K876" i="1"/>
  <c r="J875" i="1"/>
  <c r="E875" i="1"/>
  <c r="J874" i="1"/>
  <c r="E874" i="1"/>
  <c r="J873" i="1"/>
  <c r="E873" i="1"/>
  <c r="Q872" i="1"/>
  <c r="Q876" i="1" s="1"/>
  <c r="J872" i="1"/>
  <c r="P871" i="1"/>
  <c r="O871" i="1"/>
  <c r="N871" i="1"/>
  <c r="M871" i="1"/>
  <c r="L871" i="1"/>
  <c r="K871" i="1"/>
  <c r="J870" i="1"/>
  <c r="E870" i="1"/>
  <c r="J869" i="1"/>
  <c r="E869" i="1"/>
  <c r="J868" i="1"/>
  <c r="J867" i="1" s="1"/>
  <c r="E868" i="1"/>
  <c r="Q867" i="1"/>
  <c r="Q871" i="1" s="1"/>
  <c r="P866" i="1"/>
  <c r="O866" i="1"/>
  <c r="N866" i="1"/>
  <c r="M866" i="1"/>
  <c r="L866" i="1"/>
  <c r="K866" i="1"/>
  <c r="J865" i="1"/>
  <c r="E865" i="1"/>
  <c r="J864" i="1"/>
  <c r="E864" i="1"/>
  <c r="J863" i="1"/>
  <c r="E863" i="1"/>
  <c r="Q862" i="1"/>
  <c r="Q866" i="1" s="1"/>
  <c r="J862" i="1"/>
  <c r="Q861" i="1"/>
  <c r="P861" i="1"/>
  <c r="O861" i="1"/>
  <c r="N861" i="1"/>
  <c r="M861" i="1"/>
  <c r="L861" i="1"/>
  <c r="K861" i="1"/>
  <c r="J860" i="1"/>
  <c r="E860" i="1"/>
  <c r="J859" i="1"/>
  <c r="E859" i="1"/>
  <c r="J858" i="1"/>
  <c r="J857" i="1" s="1"/>
  <c r="E858" i="1"/>
  <c r="AB857" i="1"/>
  <c r="AA857" i="1"/>
  <c r="Z857" i="1"/>
  <c r="Y857" i="1"/>
  <c r="X857" i="1"/>
  <c r="W857" i="1"/>
  <c r="V857" i="1"/>
  <c r="Q857" i="1"/>
  <c r="Q856" i="1"/>
  <c r="P856" i="1"/>
  <c r="O856" i="1"/>
  <c r="N856" i="1"/>
  <c r="M856" i="1"/>
  <c r="L856" i="1"/>
  <c r="K856" i="1"/>
  <c r="J855" i="1"/>
  <c r="E855" i="1"/>
  <c r="J854" i="1"/>
  <c r="E854" i="1"/>
  <c r="J853" i="1"/>
  <c r="J852" i="1" s="1"/>
  <c r="E853" i="1"/>
  <c r="Q852" i="1"/>
  <c r="P851" i="1"/>
  <c r="O851" i="1"/>
  <c r="N851" i="1"/>
  <c r="M851" i="1"/>
  <c r="L851" i="1"/>
  <c r="K851" i="1"/>
  <c r="J850" i="1"/>
  <c r="E850" i="1"/>
  <c r="J849" i="1"/>
  <c r="E849" i="1"/>
  <c r="J848" i="1"/>
  <c r="E848" i="1"/>
  <c r="Q847" i="1"/>
  <c r="Q851" i="1" s="1"/>
  <c r="J847" i="1"/>
  <c r="P846" i="1"/>
  <c r="O846" i="1"/>
  <c r="N846" i="1"/>
  <c r="M846" i="1"/>
  <c r="L846" i="1"/>
  <c r="K846" i="1"/>
  <c r="J845" i="1"/>
  <c r="E845" i="1"/>
  <c r="J844" i="1"/>
  <c r="E844" i="1"/>
  <c r="J843" i="1"/>
  <c r="J842" i="1" s="1"/>
  <c r="E843" i="1"/>
  <c r="Q842" i="1"/>
  <c r="Q846" i="1" s="1"/>
  <c r="P841" i="1"/>
  <c r="O841" i="1"/>
  <c r="N841" i="1"/>
  <c r="M841" i="1"/>
  <c r="L841" i="1"/>
  <c r="K841" i="1"/>
  <c r="J840" i="1"/>
  <c r="E840" i="1"/>
  <c r="J839" i="1"/>
  <c r="E839" i="1"/>
  <c r="J838" i="1"/>
  <c r="E838" i="1"/>
  <c r="Q837" i="1"/>
  <c r="Q841" i="1" s="1"/>
  <c r="J837" i="1"/>
  <c r="P836" i="1"/>
  <c r="O836" i="1"/>
  <c r="N836" i="1"/>
  <c r="M836" i="1"/>
  <c r="K836" i="1"/>
  <c r="J835" i="1"/>
  <c r="E835" i="1"/>
  <c r="J834" i="1"/>
  <c r="E834" i="1"/>
  <c r="J833" i="1"/>
  <c r="L833" i="1" s="1"/>
  <c r="L836" i="1" s="1"/>
  <c r="E833" i="1"/>
  <c r="Q832" i="1"/>
  <c r="Q836" i="1" s="1"/>
  <c r="J832" i="1"/>
  <c r="P831" i="1"/>
  <c r="O831" i="1"/>
  <c r="N831" i="1"/>
  <c r="M831" i="1"/>
  <c r="L831" i="1"/>
  <c r="K831" i="1"/>
  <c r="J830" i="1"/>
  <c r="E830" i="1"/>
  <c r="J829" i="1"/>
  <c r="E829" i="1"/>
  <c r="J828" i="1"/>
  <c r="J827" i="1" s="1"/>
  <c r="E828" i="1"/>
  <c r="Q827" i="1"/>
  <c r="Q831" i="1" s="1"/>
  <c r="Q826" i="1"/>
  <c r="P826" i="1"/>
  <c r="O826" i="1"/>
  <c r="N826" i="1"/>
  <c r="M826" i="1"/>
  <c r="L826" i="1"/>
  <c r="K826" i="1"/>
  <c r="J825" i="1"/>
  <c r="E825" i="1"/>
  <c r="J824" i="1"/>
  <c r="E824" i="1"/>
  <c r="J823" i="1"/>
  <c r="J822" i="1" s="1"/>
  <c r="E823" i="1"/>
  <c r="AB822" i="1"/>
  <c r="AA822" i="1"/>
  <c r="Z822" i="1"/>
  <c r="Y822" i="1"/>
  <c r="X822" i="1"/>
  <c r="W822" i="1"/>
  <c r="V822" i="1"/>
  <c r="Q822" i="1"/>
  <c r="Q821" i="1"/>
  <c r="P821" i="1"/>
  <c r="O821" i="1"/>
  <c r="N821" i="1"/>
  <c r="M821" i="1"/>
  <c r="L821" i="1"/>
  <c r="K821" i="1"/>
  <c r="J820" i="1"/>
  <c r="E820" i="1"/>
  <c r="J819" i="1"/>
  <c r="E819" i="1"/>
  <c r="J818" i="1"/>
  <c r="J817" i="1" s="1"/>
  <c r="E818" i="1"/>
  <c r="Q817" i="1"/>
  <c r="Q816" i="1"/>
  <c r="P816" i="1"/>
  <c r="O816" i="1"/>
  <c r="N816" i="1"/>
  <c r="M816" i="1"/>
  <c r="L816" i="1"/>
  <c r="K816" i="1"/>
  <c r="J815" i="1"/>
  <c r="E815" i="1"/>
  <c r="J814" i="1"/>
  <c r="E814" i="1"/>
  <c r="J813" i="1"/>
  <c r="J812" i="1" s="1"/>
  <c r="E813" i="1"/>
  <c r="Q812" i="1"/>
  <c r="P811" i="1"/>
  <c r="O811" i="1"/>
  <c r="N811" i="1"/>
  <c r="M811" i="1"/>
  <c r="L811" i="1"/>
  <c r="K811" i="1"/>
  <c r="J810" i="1"/>
  <c r="E810" i="1"/>
  <c r="J809" i="1"/>
  <c r="E809" i="1"/>
  <c r="J808" i="1"/>
  <c r="E808" i="1"/>
  <c r="Q807" i="1"/>
  <c r="Q811" i="1" s="1"/>
  <c r="J807" i="1"/>
  <c r="P806" i="1"/>
  <c r="O806" i="1"/>
  <c r="N806" i="1"/>
  <c r="M806" i="1"/>
  <c r="L806" i="1"/>
  <c r="K806" i="1"/>
  <c r="J805" i="1"/>
  <c r="E805" i="1"/>
  <c r="J804" i="1"/>
  <c r="E804" i="1"/>
  <c r="J803" i="1"/>
  <c r="J802" i="1" s="1"/>
  <c r="E803" i="1"/>
  <c r="Q802" i="1"/>
  <c r="Q806" i="1" s="1"/>
  <c r="P801" i="1"/>
  <c r="O801" i="1"/>
  <c r="N801" i="1"/>
  <c r="M801" i="1"/>
  <c r="L801" i="1"/>
  <c r="K801" i="1"/>
  <c r="J800" i="1"/>
  <c r="E800" i="1"/>
  <c r="J799" i="1"/>
  <c r="E799" i="1"/>
  <c r="J798" i="1"/>
  <c r="E798" i="1"/>
  <c r="Q797" i="1"/>
  <c r="Q801" i="1" s="1"/>
  <c r="J797" i="1"/>
  <c r="P796" i="1"/>
  <c r="O796" i="1"/>
  <c r="N796" i="1"/>
  <c r="M796" i="1"/>
  <c r="L796" i="1"/>
  <c r="K796" i="1"/>
  <c r="J795" i="1"/>
  <c r="E795" i="1"/>
  <c r="J794" i="1"/>
  <c r="E794" i="1"/>
  <c r="J793" i="1"/>
  <c r="E793" i="1"/>
  <c r="Q792" i="1"/>
  <c r="Q796" i="1" s="1"/>
  <c r="J792" i="1"/>
  <c r="Q791" i="1"/>
  <c r="P791" i="1"/>
  <c r="O791" i="1"/>
  <c r="N791" i="1"/>
  <c r="M791" i="1"/>
  <c r="L791" i="1"/>
  <c r="K791" i="1"/>
  <c r="J790" i="1"/>
  <c r="E790" i="1"/>
  <c r="J789" i="1"/>
  <c r="J787" i="1" s="1"/>
  <c r="E789" i="1"/>
  <c r="J788" i="1"/>
  <c r="E788" i="1"/>
  <c r="Q787" i="1"/>
  <c r="P786" i="1"/>
  <c r="O786" i="1"/>
  <c r="N786" i="1"/>
  <c r="M786" i="1"/>
  <c r="L786" i="1"/>
  <c r="K786" i="1"/>
  <c r="J785" i="1"/>
  <c r="E785" i="1"/>
  <c r="J784" i="1"/>
  <c r="E784" i="1"/>
  <c r="J783" i="1"/>
  <c r="E783" i="1"/>
  <c r="Q782" i="1"/>
  <c r="Q786" i="1" s="1"/>
  <c r="J782" i="1"/>
  <c r="Q781" i="1"/>
  <c r="P781" i="1"/>
  <c r="O781" i="1"/>
  <c r="N781" i="1"/>
  <c r="M781" i="1"/>
  <c r="L781" i="1"/>
  <c r="K781" i="1"/>
  <c r="J780" i="1"/>
  <c r="E780" i="1"/>
  <c r="J779" i="1"/>
  <c r="E779" i="1"/>
  <c r="J778" i="1"/>
  <c r="E778" i="1"/>
  <c r="Q777" i="1"/>
  <c r="J777" i="1"/>
  <c r="P776" i="1"/>
  <c r="O776" i="1"/>
  <c r="N776" i="1"/>
  <c r="M776" i="1"/>
  <c r="L776" i="1"/>
  <c r="K776" i="1"/>
  <c r="J775" i="1"/>
  <c r="E775" i="1"/>
  <c r="J774" i="1"/>
  <c r="E774" i="1"/>
  <c r="J773" i="1"/>
  <c r="E773" i="1"/>
  <c r="Q772" i="1"/>
  <c r="Q776" i="1" s="1"/>
  <c r="J772" i="1"/>
  <c r="Q771" i="1"/>
  <c r="P771" i="1"/>
  <c r="O771" i="1"/>
  <c r="N771" i="1"/>
  <c r="M771" i="1"/>
  <c r="L771" i="1"/>
  <c r="K771" i="1"/>
  <c r="J770" i="1"/>
  <c r="E770" i="1"/>
  <c r="J769" i="1"/>
  <c r="E769" i="1"/>
  <c r="J768" i="1"/>
  <c r="E768" i="1"/>
  <c r="Q767" i="1"/>
  <c r="J767" i="1"/>
  <c r="P766" i="1"/>
  <c r="O766" i="1"/>
  <c r="N766" i="1"/>
  <c r="M766" i="1"/>
  <c r="L766" i="1"/>
  <c r="K766" i="1"/>
  <c r="J765" i="1"/>
  <c r="J762" i="1" s="1"/>
  <c r="E765" i="1"/>
  <c r="J764" i="1"/>
  <c r="E764" i="1"/>
  <c r="J763" i="1"/>
  <c r="E763" i="1"/>
  <c r="Q762" i="1"/>
  <c r="Q766" i="1" s="1"/>
  <c r="Q761" i="1"/>
  <c r="P761" i="1"/>
  <c r="O761" i="1"/>
  <c r="N761" i="1"/>
  <c r="M761" i="1"/>
  <c r="L761" i="1"/>
  <c r="K761" i="1"/>
  <c r="J760" i="1"/>
  <c r="E760" i="1"/>
  <c r="J759" i="1"/>
  <c r="E759" i="1"/>
  <c r="J758" i="1"/>
  <c r="E758" i="1"/>
  <c r="Q757" i="1"/>
  <c r="J757" i="1"/>
  <c r="Q756" i="1"/>
  <c r="P756" i="1"/>
  <c r="O756" i="1"/>
  <c r="N756" i="1"/>
  <c r="M756" i="1"/>
  <c r="L756" i="1"/>
  <c r="K756" i="1"/>
  <c r="J755" i="1"/>
  <c r="E755" i="1"/>
  <c r="J754" i="1"/>
  <c r="E754" i="1"/>
  <c r="J753" i="1"/>
  <c r="J752" i="1" s="1"/>
  <c r="E753" i="1"/>
  <c r="Q752" i="1"/>
  <c r="Q751" i="1"/>
  <c r="P751" i="1"/>
  <c r="O751" i="1"/>
  <c r="N751" i="1"/>
  <c r="M751" i="1"/>
  <c r="L751" i="1"/>
  <c r="K751" i="1"/>
  <c r="J750" i="1"/>
  <c r="J747" i="1" s="1"/>
  <c r="E750" i="1"/>
  <c r="J749" i="1"/>
  <c r="E749" i="1"/>
  <c r="J748" i="1"/>
  <c r="E748" i="1"/>
  <c r="Q747" i="1"/>
  <c r="Q746" i="1"/>
  <c r="P746" i="1"/>
  <c r="O746" i="1"/>
  <c r="N746" i="1"/>
  <c r="M746" i="1"/>
  <c r="L746" i="1"/>
  <c r="K746" i="1"/>
  <c r="J745" i="1"/>
  <c r="E745" i="1"/>
  <c r="J744" i="1"/>
  <c r="E744" i="1"/>
  <c r="J743" i="1"/>
  <c r="J742" i="1" s="1"/>
  <c r="E743" i="1"/>
  <c r="Q742" i="1"/>
  <c r="Q741" i="1"/>
  <c r="P741" i="1"/>
  <c r="O741" i="1"/>
  <c r="N741" i="1"/>
  <c r="M741" i="1"/>
  <c r="L741" i="1"/>
  <c r="K741" i="1"/>
  <c r="J740" i="1"/>
  <c r="E740" i="1"/>
  <c r="J739" i="1"/>
  <c r="J737" i="1" s="1"/>
  <c r="E739" i="1"/>
  <c r="J738" i="1"/>
  <c r="E738" i="1"/>
  <c r="Q737" i="1"/>
  <c r="P736" i="1"/>
  <c r="O736" i="1"/>
  <c r="N736" i="1"/>
  <c r="M736" i="1"/>
  <c r="L736" i="1"/>
  <c r="K736" i="1"/>
  <c r="J735" i="1"/>
  <c r="E735" i="1"/>
  <c r="J734" i="1"/>
  <c r="E734" i="1"/>
  <c r="J733" i="1"/>
  <c r="J732" i="1" s="1"/>
  <c r="E733" i="1"/>
  <c r="Q732" i="1"/>
  <c r="Q736" i="1" s="1"/>
  <c r="Q731" i="1"/>
  <c r="P731" i="1"/>
  <c r="O731" i="1"/>
  <c r="N731" i="1"/>
  <c r="M731" i="1"/>
  <c r="L731" i="1"/>
  <c r="K731" i="1"/>
  <c r="J730" i="1"/>
  <c r="E730" i="1"/>
  <c r="J729" i="1"/>
  <c r="E729" i="1"/>
  <c r="J728" i="1"/>
  <c r="J727" i="1" s="1"/>
  <c r="E728" i="1"/>
  <c r="Q727" i="1"/>
  <c r="P726" i="1"/>
  <c r="O726" i="1"/>
  <c r="N726" i="1"/>
  <c r="M726" i="1"/>
  <c r="L726" i="1"/>
  <c r="K726" i="1"/>
  <c r="J725" i="1"/>
  <c r="E725" i="1"/>
  <c r="J724" i="1"/>
  <c r="E724" i="1"/>
  <c r="J723" i="1"/>
  <c r="E723" i="1"/>
  <c r="AB722" i="1"/>
  <c r="AA722" i="1"/>
  <c r="Z722" i="1"/>
  <c r="Y722" i="1"/>
  <c r="X722" i="1"/>
  <c r="W722" i="1"/>
  <c r="V722" i="1"/>
  <c r="Q722" i="1"/>
  <c r="Q726" i="1" s="1"/>
  <c r="J722" i="1"/>
  <c r="Q721" i="1"/>
  <c r="P721" i="1"/>
  <c r="O721" i="1"/>
  <c r="N721" i="1"/>
  <c r="M721" i="1"/>
  <c r="L721" i="1"/>
  <c r="K721" i="1"/>
  <c r="J720" i="1"/>
  <c r="J717" i="1" s="1"/>
  <c r="E720" i="1"/>
  <c r="J719" i="1"/>
  <c r="E719" i="1"/>
  <c r="J718" i="1"/>
  <c r="E718" i="1"/>
  <c r="AB717" i="1"/>
  <c r="Z717" i="1"/>
  <c r="Y717" i="1"/>
  <c r="X717" i="1"/>
  <c r="W717" i="1"/>
  <c r="V717" i="1"/>
  <c r="Q717" i="1"/>
  <c r="AA717" i="1" s="1"/>
  <c r="P716" i="1"/>
  <c r="O716" i="1"/>
  <c r="N716" i="1"/>
  <c r="M716" i="1"/>
  <c r="L716" i="1"/>
  <c r="K716" i="1"/>
  <c r="J715" i="1"/>
  <c r="E715" i="1"/>
  <c r="J714" i="1"/>
  <c r="E714" i="1"/>
  <c r="J713" i="1"/>
  <c r="E713" i="1"/>
  <c r="Q712" i="1"/>
  <c r="Q716" i="1" s="1"/>
  <c r="J712" i="1"/>
  <c r="Q711" i="1"/>
  <c r="P711" i="1"/>
  <c r="O711" i="1"/>
  <c r="N711" i="1"/>
  <c r="M711" i="1"/>
  <c r="L711" i="1"/>
  <c r="K711" i="1"/>
  <c r="J710" i="1"/>
  <c r="E710" i="1"/>
  <c r="J709" i="1"/>
  <c r="E709" i="1"/>
  <c r="J708" i="1"/>
  <c r="E708" i="1"/>
  <c r="Q707" i="1"/>
  <c r="J707" i="1"/>
  <c r="P706" i="1"/>
  <c r="O706" i="1"/>
  <c r="N706" i="1"/>
  <c r="M706" i="1"/>
  <c r="L706" i="1"/>
  <c r="K706" i="1"/>
  <c r="J705" i="1"/>
  <c r="E705" i="1"/>
  <c r="J704" i="1"/>
  <c r="E704" i="1"/>
  <c r="J703" i="1"/>
  <c r="E703" i="1"/>
  <c r="Q702" i="1"/>
  <c r="Q706" i="1" s="1"/>
  <c r="J702" i="1"/>
  <c r="Q701" i="1"/>
  <c r="P701" i="1"/>
  <c r="O701" i="1"/>
  <c r="N701" i="1"/>
  <c r="M701" i="1"/>
  <c r="L701" i="1"/>
  <c r="K701" i="1"/>
  <c r="J700" i="1"/>
  <c r="J697" i="1" s="1"/>
  <c r="E700" i="1"/>
  <c r="J699" i="1"/>
  <c r="E699" i="1"/>
  <c r="J698" i="1"/>
  <c r="E698" i="1"/>
  <c r="Q697" i="1"/>
  <c r="P696" i="1"/>
  <c r="O696" i="1"/>
  <c r="N696" i="1"/>
  <c r="M696" i="1"/>
  <c r="L696" i="1"/>
  <c r="K696" i="1"/>
  <c r="J695" i="1"/>
  <c r="J692" i="1" s="1"/>
  <c r="E695" i="1"/>
  <c r="J694" i="1"/>
  <c r="E694" i="1"/>
  <c r="J693" i="1"/>
  <c r="E693" i="1"/>
  <c r="K692" i="1"/>
  <c r="Q692" i="1" s="1"/>
  <c r="Q696" i="1" s="1"/>
  <c r="Q691" i="1"/>
  <c r="P691" i="1"/>
  <c r="O691" i="1"/>
  <c r="N691" i="1"/>
  <c r="M691" i="1"/>
  <c r="L691" i="1"/>
  <c r="K691" i="1"/>
  <c r="J690" i="1"/>
  <c r="E690" i="1"/>
  <c r="J689" i="1"/>
  <c r="E689" i="1"/>
  <c r="J688" i="1"/>
  <c r="E688" i="1"/>
  <c r="Q687" i="1"/>
  <c r="J687" i="1"/>
  <c r="Q686" i="1"/>
  <c r="P686" i="1"/>
  <c r="O686" i="1"/>
  <c r="N686" i="1"/>
  <c r="M686" i="1"/>
  <c r="L686" i="1"/>
  <c r="K686" i="1"/>
  <c r="J685" i="1"/>
  <c r="J682" i="1" s="1"/>
  <c r="E685" i="1"/>
  <c r="J684" i="1"/>
  <c r="E684" i="1"/>
  <c r="J683" i="1"/>
  <c r="E683" i="1"/>
  <c r="Q682" i="1"/>
  <c r="Q681" i="1"/>
  <c r="P681" i="1"/>
  <c r="O681" i="1"/>
  <c r="N681" i="1"/>
  <c r="M681" i="1"/>
  <c r="L681" i="1"/>
  <c r="K681" i="1"/>
  <c r="J680" i="1"/>
  <c r="E680" i="1"/>
  <c r="J679" i="1"/>
  <c r="E679" i="1"/>
  <c r="J678" i="1"/>
  <c r="J677" i="1" s="1"/>
  <c r="E678" i="1"/>
  <c r="Q677" i="1"/>
  <c r="P676" i="1"/>
  <c r="O676" i="1"/>
  <c r="N676" i="1"/>
  <c r="M676" i="1"/>
  <c r="L676" i="1"/>
  <c r="K676" i="1"/>
  <c r="J675" i="1"/>
  <c r="E675" i="1"/>
  <c r="J674" i="1"/>
  <c r="E674" i="1"/>
  <c r="J673" i="1"/>
  <c r="E673" i="1"/>
  <c r="AB672" i="1"/>
  <c r="Z672" i="1"/>
  <c r="Y672" i="1"/>
  <c r="X672" i="1"/>
  <c r="W672" i="1"/>
  <c r="V672" i="1"/>
  <c r="Q672" i="1"/>
  <c r="Q676" i="1" s="1"/>
  <c r="J672" i="1"/>
  <c r="Q671" i="1"/>
  <c r="P671" i="1"/>
  <c r="O671" i="1"/>
  <c r="N671" i="1"/>
  <c r="M671" i="1"/>
  <c r="L671" i="1"/>
  <c r="K671" i="1"/>
  <c r="J670" i="1"/>
  <c r="E670" i="1"/>
  <c r="J669" i="1"/>
  <c r="E669" i="1"/>
  <c r="J668" i="1"/>
  <c r="J667" i="1" s="1"/>
  <c r="E668" i="1"/>
  <c r="Q667" i="1"/>
  <c r="P666" i="1"/>
  <c r="O666" i="1"/>
  <c r="N666" i="1"/>
  <c r="M666" i="1"/>
  <c r="L666" i="1"/>
  <c r="K666" i="1"/>
  <c r="J665" i="1"/>
  <c r="E665" i="1"/>
  <c r="J664" i="1"/>
  <c r="E664" i="1"/>
  <c r="J663" i="1"/>
  <c r="E663" i="1"/>
  <c r="Q662" i="1"/>
  <c r="Q666" i="1" s="1"/>
  <c r="J662" i="1"/>
  <c r="Q661" i="1"/>
  <c r="P661" i="1"/>
  <c r="O661" i="1"/>
  <c r="N661" i="1"/>
  <c r="M661" i="1"/>
  <c r="L661" i="1"/>
  <c r="K661" i="1"/>
  <c r="J660" i="1"/>
  <c r="E660" i="1"/>
  <c r="J659" i="1"/>
  <c r="E659" i="1"/>
  <c r="J658" i="1"/>
  <c r="E658" i="1"/>
  <c r="Q657" i="1"/>
  <c r="J657" i="1"/>
  <c r="P656" i="1"/>
  <c r="O656" i="1"/>
  <c r="N656" i="1"/>
  <c r="M656" i="1"/>
  <c r="L656" i="1"/>
  <c r="K656" i="1"/>
  <c r="J655" i="1"/>
  <c r="J652" i="1" s="1"/>
  <c r="E655" i="1"/>
  <c r="J654" i="1"/>
  <c r="E654" i="1"/>
  <c r="J653" i="1"/>
  <c r="E653" i="1"/>
  <c r="Q652" i="1"/>
  <c r="Q656" i="1" s="1"/>
  <c r="Q651" i="1"/>
  <c r="P651" i="1"/>
  <c r="O651" i="1"/>
  <c r="N651" i="1"/>
  <c r="M651" i="1"/>
  <c r="L651" i="1"/>
  <c r="K651" i="1"/>
  <c r="J650" i="1"/>
  <c r="E650" i="1"/>
  <c r="J649" i="1"/>
  <c r="E649" i="1"/>
  <c r="J648" i="1"/>
  <c r="E648" i="1"/>
  <c r="Q647" i="1"/>
  <c r="J647" i="1"/>
  <c r="Q646" i="1"/>
  <c r="P646" i="1"/>
  <c r="O646" i="1"/>
  <c r="N646" i="1"/>
  <c r="M646" i="1"/>
  <c r="L646" i="1"/>
  <c r="K646" i="1"/>
  <c r="J645" i="1"/>
  <c r="E645" i="1"/>
  <c r="J644" i="1"/>
  <c r="E644" i="1"/>
  <c r="J643" i="1"/>
  <c r="J642" i="1" s="1"/>
  <c r="E643" i="1"/>
  <c r="Q642" i="1"/>
  <c r="Q641" i="1"/>
  <c r="P641" i="1"/>
  <c r="O641" i="1"/>
  <c r="N641" i="1"/>
  <c r="M641" i="1"/>
  <c r="L641" i="1"/>
  <c r="K641" i="1"/>
  <c r="J640" i="1"/>
  <c r="J637" i="1" s="1"/>
  <c r="E640" i="1"/>
  <c r="J639" i="1"/>
  <c r="E639" i="1"/>
  <c r="J638" i="1"/>
  <c r="E638" i="1"/>
  <c r="Q637" i="1"/>
  <c r="Q636" i="1"/>
  <c r="P636" i="1"/>
  <c r="O636" i="1"/>
  <c r="N636" i="1"/>
  <c r="M636" i="1"/>
  <c r="L636" i="1"/>
  <c r="K636" i="1"/>
  <c r="J635" i="1"/>
  <c r="E635" i="1"/>
  <c r="J634" i="1"/>
  <c r="E634" i="1"/>
  <c r="J633" i="1"/>
  <c r="J632" i="1" s="1"/>
  <c r="E633" i="1"/>
  <c r="Q632" i="1"/>
  <c r="Q631" i="1"/>
  <c r="P631" i="1"/>
  <c r="O631" i="1"/>
  <c r="N631" i="1"/>
  <c r="M631" i="1"/>
  <c r="L631" i="1"/>
  <c r="K631" i="1"/>
  <c r="J630" i="1"/>
  <c r="E630" i="1"/>
  <c r="J629" i="1"/>
  <c r="J627" i="1" s="1"/>
  <c r="E629" i="1"/>
  <c r="J628" i="1"/>
  <c r="E628" i="1"/>
  <c r="Q627" i="1"/>
  <c r="P626" i="1"/>
  <c r="O626" i="1"/>
  <c r="N626" i="1"/>
  <c r="M626" i="1"/>
  <c r="L626" i="1"/>
  <c r="K626" i="1"/>
  <c r="J625" i="1"/>
  <c r="E625" i="1"/>
  <c r="J624" i="1"/>
  <c r="E624" i="1"/>
  <c r="J623" i="1"/>
  <c r="J622" i="1" s="1"/>
  <c r="E623" i="1"/>
  <c r="Q622" i="1"/>
  <c r="Q626" i="1" s="1"/>
  <c r="K622" i="1"/>
  <c r="Q621" i="1"/>
  <c r="P621" i="1"/>
  <c r="O621" i="1"/>
  <c r="N621" i="1"/>
  <c r="M621" i="1"/>
  <c r="L621" i="1"/>
  <c r="K621" i="1"/>
  <c r="J620" i="1"/>
  <c r="E620" i="1"/>
  <c r="J619" i="1"/>
  <c r="E619" i="1"/>
  <c r="J618" i="1"/>
  <c r="J617" i="1" s="1"/>
  <c r="E618" i="1"/>
  <c r="Q617" i="1"/>
  <c r="P616" i="1"/>
  <c r="O616" i="1"/>
  <c r="N616" i="1"/>
  <c r="M616" i="1"/>
  <c r="L616" i="1"/>
  <c r="K616" i="1"/>
  <c r="J615" i="1"/>
  <c r="E615" i="1"/>
  <c r="J614" i="1"/>
  <c r="E614" i="1"/>
  <c r="J613" i="1"/>
  <c r="E613" i="1"/>
  <c r="Q612" i="1"/>
  <c r="Q616" i="1" s="1"/>
  <c r="J612" i="1"/>
  <c r="P611" i="1"/>
  <c r="O611" i="1"/>
  <c r="N611" i="1"/>
  <c r="M611" i="1"/>
  <c r="L611" i="1"/>
  <c r="K611" i="1"/>
  <c r="J610" i="1"/>
  <c r="E610" i="1"/>
  <c r="J609" i="1"/>
  <c r="E609" i="1"/>
  <c r="J608" i="1"/>
  <c r="J607" i="1" s="1"/>
  <c r="E608" i="1"/>
  <c r="Q607" i="1"/>
  <c r="Q611" i="1" s="1"/>
  <c r="P606" i="1"/>
  <c r="O606" i="1"/>
  <c r="N606" i="1"/>
  <c r="M606" i="1"/>
  <c r="L606" i="1"/>
  <c r="K606" i="1"/>
  <c r="J605" i="1"/>
  <c r="E605" i="1"/>
  <c r="J604" i="1"/>
  <c r="E604" i="1"/>
  <c r="J603" i="1"/>
  <c r="E603" i="1"/>
  <c r="Q602" i="1"/>
  <c r="Q606" i="1" s="1"/>
  <c r="J602" i="1"/>
  <c r="P601" i="1"/>
  <c r="O601" i="1"/>
  <c r="N601" i="1"/>
  <c r="M601" i="1"/>
  <c r="L601" i="1"/>
  <c r="K601" i="1"/>
  <c r="J600" i="1"/>
  <c r="E600" i="1"/>
  <c r="J599" i="1"/>
  <c r="E599" i="1"/>
  <c r="J598" i="1"/>
  <c r="E598" i="1"/>
  <c r="Q597" i="1"/>
  <c r="Q601" i="1" s="1"/>
  <c r="J597" i="1"/>
  <c r="Q596" i="1"/>
  <c r="P596" i="1"/>
  <c r="O596" i="1"/>
  <c r="N596" i="1"/>
  <c r="M596" i="1"/>
  <c r="L596" i="1"/>
  <c r="K596" i="1"/>
  <c r="J595" i="1"/>
  <c r="E595" i="1"/>
  <c r="J594" i="1"/>
  <c r="J592" i="1" s="1"/>
  <c r="E594" i="1"/>
  <c r="J593" i="1"/>
  <c r="E593" i="1"/>
  <c r="Q592" i="1"/>
  <c r="P591" i="1"/>
  <c r="O591" i="1"/>
  <c r="N591" i="1"/>
  <c r="M591" i="1"/>
  <c r="L591" i="1"/>
  <c r="K591" i="1"/>
  <c r="J590" i="1"/>
  <c r="E590" i="1"/>
  <c r="J589" i="1"/>
  <c r="E589" i="1"/>
  <c r="J588" i="1"/>
  <c r="E588" i="1"/>
  <c r="Q587" i="1"/>
  <c r="Q591" i="1" s="1"/>
  <c r="J587" i="1"/>
  <c r="Q586" i="1"/>
  <c r="P586" i="1"/>
  <c r="O586" i="1"/>
  <c r="N586" i="1"/>
  <c r="M586" i="1"/>
  <c r="L586" i="1"/>
  <c r="K586" i="1"/>
  <c r="J585" i="1"/>
  <c r="E585" i="1"/>
  <c r="J584" i="1"/>
  <c r="E584" i="1"/>
  <c r="J583" i="1"/>
  <c r="J582" i="1" s="1"/>
  <c r="E583" i="1"/>
  <c r="Q582" i="1"/>
  <c r="P581" i="1"/>
  <c r="O581" i="1"/>
  <c r="N581" i="1"/>
  <c r="M581" i="1"/>
  <c r="L581" i="1"/>
  <c r="K581" i="1"/>
  <c r="J580" i="1"/>
  <c r="E580" i="1"/>
  <c r="J579" i="1"/>
  <c r="E579" i="1"/>
  <c r="J578" i="1"/>
  <c r="E578" i="1"/>
  <c r="Q577" i="1"/>
  <c r="Q581" i="1" s="1"/>
  <c r="J577" i="1"/>
  <c r="Q576" i="1"/>
  <c r="P576" i="1"/>
  <c r="O576" i="1"/>
  <c r="N576" i="1"/>
  <c r="M576" i="1"/>
  <c r="L576" i="1"/>
  <c r="K576" i="1"/>
  <c r="J575" i="1"/>
  <c r="E575" i="1"/>
  <c r="J574" i="1"/>
  <c r="E574" i="1"/>
  <c r="J573" i="1"/>
  <c r="E573" i="1"/>
  <c r="Q572" i="1"/>
  <c r="J572" i="1"/>
  <c r="P571" i="1"/>
  <c r="O571" i="1"/>
  <c r="N571" i="1"/>
  <c r="M571" i="1"/>
  <c r="L571" i="1"/>
  <c r="K571" i="1"/>
  <c r="J570" i="1"/>
  <c r="J567" i="1" s="1"/>
  <c r="E570" i="1"/>
  <c r="J569" i="1"/>
  <c r="E569" i="1"/>
  <c r="J568" i="1"/>
  <c r="E568" i="1"/>
  <c r="Q567" i="1"/>
  <c r="Q571" i="1" s="1"/>
  <c r="Q566" i="1"/>
  <c r="P566" i="1"/>
  <c r="O566" i="1"/>
  <c r="N566" i="1"/>
  <c r="M566" i="1"/>
  <c r="L566" i="1"/>
  <c r="K566" i="1"/>
  <c r="J565" i="1"/>
  <c r="E565" i="1"/>
  <c r="J564" i="1"/>
  <c r="E564" i="1"/>
  <c r="J563" i="1"/>
  <c r="E563" i="1"/>
  <c r="Q562" i="1"/>
  <c r="J562" i="1"/>
  <c r="Q561" i="1"/>
  <c r="P561" i="1"/>
  <c r="O561" i="1"/>
  <c r="N561" i="1"/>
  <c r="M561" i="1"/>
  <c r="L561" i="1"/>
  <c r="K561" i="1"/>
  <c r="J560" i="1"/>
  <c r="E560" i="1"/>
  <c r="J559" i="1"/>
  <c r="E559" i="1"/>
  <c r="J558" i="1"/>
  <c r="J557" i="1" s="1"/>
  <c r="E558" i="1"/>
  <c r="Q557" i="1"/>
  <c r="Q556" i="1"/>
  <c r="P556" i="1"/>
  <c r="O556" i="1"/>
  <c r="N556" i="1"/>
  <c r="M556" i="1"/>
  <c r="L556" i="1"/>
  <c r="K556" i="1"/>
  <c r="J555" i="1"/>
  <c r="J552" i="1" s="1"/>
  <c r="E555" i="1"/>
  <c r="J554" i="1"/>
  <c r="E554" i="1"/>
  <c r="J553" i="1"/>
  <c r="E553" i="1"/>
  <c r="Q552" i="1"/>
  <c r="Q551" i="1"/>
  <c r="P551" i="1"/>
  <c r="O551" i="1"/>
  <c r="N551" i="1"/>
  <c r="M551" i="1"/>
  <c r="L551" i="1"/>
  <c r="K551" i="1"/>
  <c r="J550" i="1"/>
  <c r="E550" i="1"/>
  <c r="J549" i="1"/>
  <c r="E549" i="1"/>
  <c r="J548" i="1"/>
  <c r="J547" i="1" s="1"/>
  <c r="E548" i="1"/>
  <c r="Q547" i="1"/>
  <c r="Q546" i="1"/>
  <c r="P546" i="1"/>
  <c r="O546" i="1"/>
  <c r="N546" i="1"/>
  <c r="M546" i="1"/>
  <c r="L546" i="1"/>
  <c r="K546" i="1"/>
  <c r="J545" i="1"/>
  <c r="E545" i="1"/>
  <c r="J544" i="1"/>
  <c r="J542" i="1" s="1"/>
  <c r="E544" i="1"/>
  <c r="J543" i="1"/>
  <c r="E543" i="1"/>
  <c r="Q542" i="1"/>
  <c r="P541" i="1"/>
  <c r="O541" i="1"/>
  <c r="N541" i="1"/>
  <c r="M541" i="1"/>
  <c r="L541" i="1"/>
  <c r="K541" i="1"/>
  <c r="J540" i="1"/>
  <c r="E540" i="1"/>
  <c r="J539" i="1"/>
  <c r="E539" i="1"/>
  <c r="J538" i="1"/>
  <c r="J537" i="1" s="1"/>
  <c r="E538" i="1"/>
  <c r="Q537" i="1"/>
  <c r="Q541" i="1" s="1"/>
  <c r="Q536" i="1"/>
  <c r="P536" i="1"/>
  <c r="O536" i="1"/>
  <c r="N536" i="1"/>
  <c r="M536" i="1"/>
  <c r="L536" i="1"/>
  <c r="K536" i="1"/>
  <c r="J535" i="1"/>
  <c r="E535" i="1"/>
  <c r="J534" i="1"/>
  <c r="E534" i="1"/>
  <c r="J533" i="1"/>
  <c r="J532" i="1" s="1"/>
  <c r="E533" i="1"/>
  <c r="Q532" i="1"/>
  <c r="P531" i="1"/>
  <c r="O531" i="1"/>
  <c r="N531" i="1"/>
  <c r="M531" i="1"/>
  <c r="L531" i="1"/>
  <c r="K531" i="1"/>
  <c r="J530" i="1"/>
  <c r="E530" i="1"/>
  <c r="J529" i="1"/>
  <c r="E529" i="1"/>
  <c r="J528" i="1"/>
  <c r="E528" i="1"/>
  <c r="Q527" i="1"/>
  <c r="Q531" i="1" s="1"/>
  <c r="J527" i="1"/>
  <c r="P526" i="1"/>
  <c r="O526" i="1"/>
  <c r="N526" i="1"/>
  <c r="M526" i="1"/>
  <c r="L526" i="1"/>
  <c r="K526" i="1"/>
  <c r="J525" i="1"/>
  <c r="E525" i="1"/>
  <c r="J524" i="1"/>
  <c r="E524" i="1"/>
  <c r="J523" i="1"/>
  <c r="E523" i="1"/>
  <c r="Q522" i="1"/>
  <c r="Q526" i="1" s="1"/>
  <c r="J522" i="1"/>
  <c r="P521" i="1"/>
  <c r="O521" i="1"/>
  <c r="N521" i="1"/>
  <c r="M521" i="1"/>
  <c r="L521" i="1"/>
  <c r="K521" i="1"/>
  <c r="J520" i="1"/>
  <c r="E520" i="1"/>
  <c r="J519" i="1"/>
  <c r="E519" i="1"/>
  <c r="J518" i="1"/>
  <c r="J517" i="1" s="1"/>
  <c r="E518" i="1"/>
  <c r="AB517" i="1"/>
  <c r="AA517" i="1"/>
  <c r="Z517" i="1"/>
  <c r="Y517" i="1"/>
  <c r="X517" i="1"/>
  <c r="W517" i="1"/>
  <c r="V517" i="1"/>
  <c r="Q517" i="1"/>
  <c r="Q521" i="1" s="1"/>
  <c r="P516" i="1"/>
  <c r="O516" i="1"/>
  <c r="N516" i="1"/>
  <c r="M516" i="1"/>
  <c r="L516" i="1"/>
  <c r="K516" i="1"/>
  <c r="J515" i="1"/>
  <c r="E515" i="1"/>
  <c r="J514" i="1"/>
  <c r="J512" i="1" s="1"/>
  <c r="E514" i="1"/>
  <c r="J513" i="1"/>
  <c r="E513" i="1"/>
  <c r="AB512" i="1"/>
  <c r="Z512" i="1"/>
  <c r="Y512" i="1"/>
  <c r="X512" i="1"/>
  <c r="W512" i="1"/>
  <c r="V512" i="1"/>
  <c r="Q512" i="1"/>
  <c r="AA512" i="1" s="1"/>
  <c r="P511" i="1"/>
  <c r="O511" i="1"/>
  <c r="N511" i="1"/>
  <c r="M511" i="1"/>
  <c r="L511" i="1"/>
  <c r="K511" i="1"/>
  <c r="J510" i="1"/>
  <c r="E510" i="1"/>
  <c r="J509" i="1"/>
  <c r="E509" i="1"/>
  <c r="J508" i="1"/>
  <c r="E508" i="1"/>
  <c r="Q507" i="1"/>
  <c r="Q511" i="1" s="1"/>
  <c r="J507" i="1"/>
  <c r="Q506" i="1"/>
  <c r="P506" i="1"/>
  <c r="O506" i="1"/>
  <c r="N506" i="1"/>
  <c r="M506" i="1"/>
  <c r="L506" i="1"/>
  <c r="K506" i="1"/>
  <c r="J505" i="1"/>
  <c r="E505" i="1"/>
  <c r="J504" i="1"/>
  <c r="E504" i="1"/>
  <c r="J503" i="1"/>
  <c r="E503" i="1"/>
  <c r="Q502" i="1"/>
  <c r="J502" i="1"/>
  <c r="P501" i="1"/>
  <c r="O501" i="1"/>
  <c r="N501" i="1"/>
  <c r="M501" i="1"/>
  <c r="L501" i="1"/>
  <c r="K501" i="1"/>
  <c r="J500" i="1"/>
  <c r="J497" i="1" s="1"/>
  <c r="E500" i="1"/>
  <c r="J499" i="1"/>
  <c r="E499" i="1"/>
  <c r="J498" i="1"/>
  <c r="E498" i="1"/>
  <c r="Q497" i="1"/>
  <c r="Q501" i="1" s="1"/>
  <c r="Q496" i="1"/>
  <c r="P496" i="1"/>
  <c r="O496" i="1"/>
  <c r="N496" i="1"/>
  <c r="M496" i="1"/>
  <c r="L496" i="1"/>
  <c r="K496" i="1"/>
  <c r="J495" i="1"/>
  <c r="E495" i="1"/>
  <c r="J494" i="1"/>
  <c r="E494" i="1"/>
  <c r="J493" i="1"/>
  <c r="E493" i="1"/>
  <c r="Q492" i="1"/>
  <c r="J492" i="1"/>
  <c r="Q491" i="1"/>
  <c r="P491" i="1"/>
  <c r="O491" i="1"/>
  <c r="N491" i="1"/>
  <c r="M491" i="1"/>
  <c r="L491" i="1"/>
  <c r="K491" i="1"/>
  <c r="J490" i="1"/>
  <c r="E490" i="1"/>
  <c r="J489" i="1"/>
  <c r="E489" i="1"/>
  <c r="J488" i="1"/>
  <c r="J487" i="1" s="1"/>
  <c r="E488" i="1"/>
  <c r="Q487" i="1"/>
  <c r="Q486" i="1"/>
  <c r="P486" i="1"/>
  <c r="O486" i="1"/>
  <c r="N486" i="1"/>
  <c r="M486" i="1"/>
  <c r="L486" i="1"/>
  <c r="K486" i="1"/>
  <c r="J485" i="1"/>
  <c r="J482" i="1" s="1"/>
  <c r="E485" i="1"/>
  <c r="J484" i="1"/>
  <c r="E484" i="1"/>
  <c r="J483" i="1"/>
  <c r="E483" i="1"/>
  <c r="Q482" i="1"/>
  <c r="Q481" i="1"/>
  <c r="P481" i="1"/>
  <c r="O481" i="1"/>
  <c r="N481" i="1"/>
  <c r="M481" i="1"/>
  <c r="L481" i="1"/>
  <c r="K481" i="1"/>
  <c r="J480" i="1"/>
  <c r="E480" i="1"/>
  <c r="J479" i="1"/>
  <c r="E479" i="1"/>
  <c r="J478" i="1"/>
  <c r="J477" i="1" s="1"/>
  <c r="E478" i="1"/>
  <c r="Q477" i="1"/>
  <c r="Q476" i="1"/>
  <c r="P476" i="1"/>
  <c r="O476" i="1"/>
  <c r="N476" i="1"/>
  <c r="M476" i="1"/>
  <c r="L476" i="1"/>
  <c r="K476" i="1"/>
  <c r="J475" i="1"/>
  <c r="E475" i="1"/>
  <c r="J474" i="1"/>
  <c r="J472" i="1" s="1"/>
  <c r="E474" i="1"/>
  <c r="J473" i="1"/>
  <c r="E473" i="1"/>
  <c r="Q472" i="1"/>
  <c r="P471" i="1"/>
  <c r="O471" i="1"/>
  <c r="N471" i="1"/>
  <c r="M471" i="1"/>
  <c r="L471" i="1"/>
  <c r="K471" i="1"/>
  <c r="J470" i="1"/>
  <c r="E470" i="1"/>
  <c r="J469" i="1"/>
  <c r="E469" i="1"/>
  <c r="J468" i="1"/>
  <c r="J467" i="1" s="1"/>
  <c r="E468" i="1"/>
  <c r="Q467" i="1"/>
  <c r="Q471" i="1" s="1"/>
  <c r="Q466" i="1"/>
  <c r="P466" i="1"/>
  <c r="O466" i="1"/>
  <c r="N466" i="1"/>
  <c r="M466" i="1"/>
  <c r="L466" i="1"/>
  <c r="K466" i="1"/>
  <c r="J465" i="1"/>
  <c r="E465" i="1"/>
  <c r="J464" i="1"/>
  <c r="E464" i="1"/>
  <c r="J463" i="1"/>
  <c r="J462" i="1" s="1"/>
  <c r="E463" i="1"/>
  <c r="Q462" i="1"/>
  <c r="P461" i="1"/>
  <c r="O461" i="1"/>
  <c r="N461" i="1"/>
  <c r="M461" i="1"/>
  <c r="L461" i="1"/>
  <c r="K461" i="1"/>
  <c r="J460" i="1"/>
  <c r="E460" i="1"/>
  <c r="J459" i="1"/>
  <c r="E459" i="1"/>
  <c r="J458" i="1"/>
  <c r="E458" i="1"/>
  <c r="Q457" i="1"/>
  <c r="Q461" i="1" s="1"/>
  <c r="J457" i="1"/>
  <c r="Q456" i="1"/>
  <c r="P456" i="1"/>
  <c r="O456" i="1"/>
  <c r="N456" i="1"/>
  <c r="M456" i="1"/>
  <c r="L456" i="1"/>
  <c r="K456" i="1"/>
  <c r="J455" i="1"/>
  <c r="E455" i="1"/>
  <c r="J454" i="1"/>
  <c r="E454" i="1"/>
  <c r="J453" i="1"/>
  <c r="J452" i="1" s="1"/>
  <c r="E453" i="1"/>
  <c r="AB452" i="1"/>
  <c r="AA452" i="1"/>
  <c r="Z452" i="1"/>
  <c r="Y452" i="1"/>
  <c r="X452" i="1"/>
  <c r="W452" i="1"/>
  <c r="V452" i="1"/>
  <c r="Q452" i="1"/>
  <c r="Q451" i="1"/>
  <c r="P451" i="1"/>
  <c r="O451" i="1"/>
  <c r="N451" i="1"/>
  <c r="M451" i="1"/>
  <c r="L451" i="1"/>
  <c r="K451" i="1"/>
  <c r="J450" i="1"/>
  <c r="E450" i="1"/>
  <c r="J449" i="1"/>
  <c r="J447" i="1" s="1"/>
  <c r="E449" i="1"/>
  <c r="J448" i="1"/>
  <c r="E448" i="1"/>
  <c r="Q447" i="1"/>
  <c r="P446" i="1"/>
  <c r="O446" i="1"/>
  <c r="N446" i="1"/>
  <c r="M446" i="1"/>
  <c r="L446" i="1"/>
  <c r="K446" i="1"/>
  <c r="J445" i="1"/>
  <c r="E445" i="1"/>
  <c r="J444" i="1"/>
  <c r="E444" i="1"/>
  <c r="J443" i="1"/>
  <c r="J442" i="1" s="1"/>
  <c r="E443" i="1"/>
  <c r="Q442" i="1"/>
  <c r="Q446" i="1" s="1"/>
  <c r="Q441" i="1"/>
  <c r="P441" i="1"/>
  <c r="O441" i="1"/>
  <c r="N441" i="1"/>
  <c r="M441" i="1"/>
  <c r="L441" i="1"/>
  <c r="K441" i="1"/>
  <c r="J440" i="1"/>
  <c r="E440" i="1"/>
  <c r="J439" i="1"/>
  <c r="E439" i="1"/>
  <c r="J438" i="1"/>
  <c r="J437" i="1" s="1"/>
  <c r="E438" i="1"/>
  <c r="Q437" i="1"/>
  <c r="Q436" i="1"/>
  <c r="P436" i="1"/>
  <c r="O436" i="1"/>
  <c r="N436" i="1"/>
  <c r="M436" i="1"/>
  <c r="L436" i="1"/>
  <c r="K436" i="1"/>
  <c r="J435" i="1"/>
  <c r="E435" i="1"/>
  <c r="J434" i="1"/>
  <c r="E434" i="1"/>
  <c r="J433" i="1"/>
  <c r="J432" i="1" s="1"/>
  <c r="E433" i="1"/>
  <c r="Q432" i="1"/>
  <c r="P431" i="1"/>
  <c r="O431" i="1"/>
  <c r="N431" i="1"/>
  <c r="M431" i="1"/>
  <c r="L431" i="1"/>
  <c r="K431" i="1"/>
  <c r="J430" i="1"/>
  <c r="E430" i="1"/>
  <c r="J429" i="1"/>
  <c r="E429" i="1"/>
  <c r="J428" i="1"/>
  <c r="E428" i="1"/>
  <c r="Q427" i="1"/>
  <c r="Q431" i="1" s="1"/>
  <c r="J427" i="1"/>
  <c r="P426" i="1"/>
  <c r="O426" i="1"/>
  <c r="N426" i="1"/>
  <c r="M426" i="1"/>
  <c r="L426" i="1"/>
  <c r="K426" i="1"/>
  <c r="J425" i="1"/>
  <c r="E425" i="1"/>
  <c r="J424" i="1"/>
  <c r="E424" i="1"/>
  <c r="J423" i="1"/>
  <c r="J422" i="1" s="1"/>
  <c r="E423" i="1"/>
  <c r="Q422" i="1"/>
  <c r="Q426" i="1" s="1"/>
  <c r="P421" i="1"/>
  <c r="O421" i="1"/>
  <c r="N421" i="1"/>
  <c r="M421" i="1"/>
  <c r="L421" i="1"/>
  <c r="K421" i="1"/>
  <c r="J420" i="1"/>
  <c r="E420" i="1"/>
  <c r="J419" i="1"/>
  <c r="E419" i="1"/>
  <c r="J418" i="1"/>
  <c r="J417" i="1" s="1"/>
  <c r="E418" i="1"/>
  <c r="AB417" i="1"/>
  <c r="AA417" i="1"/>
  <c r="Z417" i="1"/>
  <c r="Y417" i="1"/>
  <c r="X417" i="1"/>
  <c r="W417" i="1"/>
  <c r="V417" i="1"/>
  <c r="Q417" i="1"/>
  <c r="Q421" i="1" s="1"/>
  <c r="Q416" i="1"/>
  <c r="P416" i="1"/>
  <c r="O416" i="1"/>
  <c r="N416" i="1"/>
  <c r="M416" i="1"/>
  <c r="L416" i="1"/>
  <c r="K416" i="1"/>
  <c r="J415" i="1"/>
  <c r="J412" i="1" s="1"/>
  <c r="E415" i="1"/>
  <c r="J414" i="1"/>
  <c r="E414" i="1"/>
  <c r="J413" i="1"/>
  <c r="E413" i="1"/>
  <c r="AB412" i="1"/>
  <c r="Z412" i="1"/>
  <c r="Y412" i="1"/>
  <c r="X412" i="1"/>
  <c r="W412" i="1"/>
  <c r="V412" i="1"/>
  <c r="Q412" i="1"/>
  <c r="AA412" i="1" s="1"/>
  <c r="P411" i="1"/>
  <c r="O411" i="1"/>
  <c r="N411" i="1"/>
  <c r="M411" i="1"/>
  <c r="L411" i="1"/>
  <c r="K411" i="1"/>
  <c r="J410" i="1"/>
  <c r="E410" i="1"/>
  <c r="J409" i="1"/>
  <c r="E409" i="1"/>
  <c r="J408" i="1"/>
  <c r="E408" i="1"/>
  <c r="Q407" i="1"/>
  <c r="Q411" i="1" s="1"/>
  <c r="J407" i="1"/>
  <c r="Q406" i="1"/>
  <c r="P406" i="1"/>
  <c r="O406" i="1"/>
  <c r="N406" i="1"/>
  <c r="M406" i="1"/>
  <c r="L406" i="1"/>
  <c r="K406" i="1"/>
  <c r="J405" i="1"/>
  <c r="E405" i="1"/>
  <c r="J404" i="1"/>
  <c r="E404" i="1"/>
  <c r="J403" i="1"/>
  <c r="J402" i="1" s="1"/>
  <c r="E403" i="1"/>
  <c r="Q402" i="1"/>
  <c r="P401" i="1"/>
  <c r="O401" i="1"/>
  <c r="N401" i="1"/>
  <c r="M401" i="1"/>
  <c r="L401" i="1"/>
  <c r="K401" i="1"/>
  <c r="J400" i="1"/>
  <c r="E400" i="1"/>
  <c r="J399" i="1"/>
  <c r="E399" i="1"/>
  <c r="J398" i="1"/>
  <c r="E398" i="1"/>
  <c r="Q397" i="1"/>
  <c r="Q401" i="1" s="1"/>
  <c r="J397" i="1"/>
  <c r="Q396" i="1"/>
  <c r="P396" i="1"/>
  <c r="O396" i="1"/>
  <c r="N396" i="1"/>
  <c r="M396" i="1"/>
  <c r="L396" i="1"/>
  <c r="K396" i="1"/>
  <c r="J395" i="1"/>
  <c r="E395" i="1"/>
  <c r="J394" i="1"/>
  <c r="E394" i="1"/>
  <c r="J393" i="1"/>
  <c r="E393" i="1"/>
  <c r="Q392" i="1"/>
  <c r="J392" i="1"/>
  <c r="Q391" i="1"/>
  <c r="P391" i="1"/>
  <c r="O391" i="1"/>
  <c r="N391" i="1"/>
  <c r="M391" i="1"/>
  <c r="L391" i="1"/>
  <c r="K391" i="1"/>
  <c r="J390" i="1"/>
  <c r="J387" i="1" s="1"/>
  <c r="E390" i="1"/>
  <c r="J389" i="1"/>
  <c r="E389" i="1"/>
  <c r="J388" i="1"/>
  <c r="E388" i="1"/>
  <c r="Q387" i="1"/>
  <c r="Q386" i="1"/>
  <c r="P386" i="1"/>
  <c r="O386" i="1"/>
  <c r="N386" i="1"/>
  <c r="M386" i="1"/>
  <c r="L386" i="1"/>
  <c r="K386" i="1"/>
  <c r="J385" i="1"/>
  <c r="E385" i="1"/>
  <c r="J384" i="1"/>
  <c r="E384" i="1"/>
  <c r="J383" i="1"/>
  <c r="J382" i="1" s="1"/>
  <c r="E383" i="1"/>
  <c r="Q382" i="1"/>
  <c r="Q381" i="1"/>
  <c r="P381" i="1"/>
  <c r="O381" i="1"/>
  <c r="N381" i="1"/>
  <c r="M381" i="1"/>
  <c r="L381" i="1"/>
  <c r="K381" i="1"/>
  <c r="J380" i="1"/>
  <c r="E380" i="1"/>
  <c r="J379" i="1"/>
  <c r="J377" i="1" s="1"/>
  <c r="E379" i="1"/>
  <c r="J378" i="1"/>
  <c r="E378" i="1"/>
  <c r="Q377" i="1"/>
  <c r="P376" i="1"/>
  <c r="O376" i="1"/>
  <c r="N376" i="1"/>
  <c r="M376" i="1"/>
  <c r="L376" i="1"/>
  <c r="K376" i="1"/>
  <c r="J375" i="1"/>
  <c r="E375" i="1"/>
  <c r="J374" i="1"/>
  <c r="E374" i="1"/>
  <c r="J373" i="1"/>
  <c r="J372" i="1" s="1"/>
  <c r="E373" i="1"/>
  <c r="Q372" i="1"/>
  <c r="Q376" i="1" s="1"/>
  <c r="Q371" i="1"/>
  <c r="P371" i="1"/>
  <c r="O371" i="1"/>
  <c r="N371" i="1"/>
  <c r="M371" i="1"/>
  <c r="L371" i="1"/>
  <c r="K371" i="1"/>
  <c r="J370" i="1"/>
  <c r="E370" i="1"/>
  <c r="J369" i="1"/>
  <c r="E369" i="1"/>
  <c r="J368" i="1"/>
  <c r="J367" i="1" s="1"/>
  <c r="E368" i="1"/>
  <c r="Q367" i="1"/>
  <c r="Q366" i="1"/>
  <c r="P366" i="1"/>
  <c r="O366" i="1"/>
  <c r="N366" i="1"/>
  <c r="M366" i="1"/>
  <c r="L366" i="1"/>
  <c r="K366" i="1"/>
  <c r="J365" i="1"/>
  <c r="E365" i="1"/>
  <c r="J364" i="1"/>
  <c r="E364" i="1"/>
  <c r="J363" i="1"/>
  <c r="J362" i="1" s="1"/>
  <c r="E363" i="1"/>
  <c r="Q362" i="1"/>
  <c r="P361" i="1"/>
  <c r="O361" i="1"/>
  <c r="N361" i="1"/>
  <c r="M361" i="1"/>
  <c r="L361" i="1"/>
  <c r="K361" i="1"/>
  <c r="J360" i="1"/>
  <c r="E360" i="1"/>
  <c r="J359" i="1"/>
  <c r="E359" i="1"/>
  <c r="J358" i="1"/>
  <c r="E358" i="1"/>
  <c r="Q357" i="1"/>
  <c r="Q361" i="1" s="1"/>
  <c r="J357" i="1"/>
  <c r="P356" i="1"/>
  <c r="O356" i="1"/>
  <c r="N356" i="1"/>
  <c r="M356" i="1"/>
  <c r="L356" i="1"/>
  <c r="K356" i="1"/>
  <c r="J355" i="1"/>
  <c r="E355" i="1"/>
  <c r="J354" i="1"/>
  <c r="E354" i="1"/>
  <c r="J353" i="1"/>
  <c r="J352" i="1" s="1"/>
  <c r="E353" i="1"/>
  <c r="Q352" i="1"/>
  <c r="Q356" i="1" s="1"/>
  <c r="P351" i="1"/>
  <c r="O351" i="1"/>
  <c r="N351" i="1"/>
  <c r="M351" i="1"/>
  <c r="L351" i="1"/>
  <c r="K351" i="1"/>
  <c r="J350" i="1"/>
  <c r="E350" i="1"/>
  <c r="J349" i="1"/>
  <c r="E349" i="1"/>
  <c r="J348" i="1"/>
  <c r="J347" i="1" s="1"/>
  <c r="E348" i="1"/>
  <c r="AB347" i="1"/>
  <c r="AA347" i="1"/>
  <c r="Z347" i="1"/>
  <c r="Y347" i="1"/>
  <c r="X347" i="1"/>
  <c r="W347" i="1"/>
  <c r="V347" i="1"/>
  <c r="Q347" i="1"/>
  <c r="Q351" i="1" s="1"/>
  <c r="Q346" i="1"/>
  <c r="P346" i="1"/>
  <c r="O346" i="1"/>
  <c r="N346" i="1"/>
  <c r="M346" i="1"/>
  <c r="L346" i="1"/>
  <c r="K346" i="1"/>
  <c r="J345" i="1"/>
  <c r="J342" i="1" s="1"/>
  <c r="E345" i="1"/>
  <c r="J344" i="1"/>
  <c r="E344" i="1"/>
  <c r="J343" i="1"/>
  <c r="E343" i="1"/>
  <c r="Q342" i="1"/>
  <c r="Q341" i="1"/>
  <c r="P341" i="1"/>
  <c r="O341" i="1"/>
  <c r="N341" i="1"/>
  <c r="M341" i="1"/>
  <c r="L341" i="1"/>
  <c r="K341" i="1"/>
  <c r="J340" i="1"/>
  <c r="E340" i="1"/>
  <c r="J339" i="1"/>
  <c r="E339" i="1"/>
  <c r="J338" i="1"/>
  <c r="J337" i="1" s="1"/>
  <c r="E338" i="1"/>
  <c r="Q337" i="1"/>
  <c r="Q336" i="1"/>
  <c r="P336" i="1"/>
  <c r="O336" i="1"/>
  <c r="N336" i="1"/>
  <c r="M336" i="1"/>
  <c r="L336" i="1"/>
  <c r="K336" i="1"/>
  <c r="J335" i="1"/>
  <c r="E335" i="1"/>
  <c r="J334" i="1"/>
  <c r="J332" i="1" s="1"/>
  <c r="E334" i="1"/>
  <c r="J333" i="1"/>
  <c r="E333" i="1"/>
  <c r="Q332" i="1"/>
  <c r="P331" i="1"/>
  <c r="O331" i="1"/>
  <c r="N331" i="1"/>
  <c r="M331" i="1"/>
  <c r="L331" i="1"/>
  <c r="K331" i="1"/>
  <c r="J330" i="1"/>
  <c r="E330" i="1"/>
  <c r="J329" i="1"/>
  <c r="E329" i="1"/>
  <c r="J328" i="1"/>
  <c r="J327" i="1" s="1"/>
  <c r="E328" i="1"/>
  <c r="Q327" i="1"/>
  <c r="Q331" i="1" s="1"/>
  <c r="Q326" i="1"/>
  <c r="P326" i="1"/>
  <c r="O326" i="1"/>
  <c r="N326" i="1"/>
  <c r="M326" i="1"/>
  <c r="L326" i="1"/>
  <c r="K326" i="1"/>
  <c r="J325" i="1"/>
  <c r="E325" i="1"/>
  <c r="J324" i="1"/>
  <c r="E324" i="1"/>
  <c r="J323" i="1"/>
  <c r="J322" i="1" s="1"/>
  <c r="E323" i="1"/>
  <c r="Q322" i="1"/>
  <c r="P321" i="1"/>
  <c r="O321" i="1"/>
  <c r="N321" i="1"/>
  <c r="M321" i="1"/>
  <c r="L321" i="1"/>
  <c r="K321" i="1"/>
  <c r="J320" i="1"/>
  <c r="E320" i="1"/>
  <c r="J319" i="1"/>
  <c r="E319" i="1"/>
  <c r="J318" i="1"/>
  <c r="E318" i="1"/>
  <c r="Q317" i="1"/>
  <c r="Q321" i="1" s="1"/>
  <c r="J317" i="1"/>
  <c r="P316" i="1"/>
  <c r="O316" i="1"/>
  <c r="N316" i="1"/>
  <c r="M316" i="1"/>
  <c r="L316" i="1"/>
  <c r="K316" i="1"/>
  <c r="J315" i="1"/>
  <c r="E315" i="1"/>
  <c r="J314" i="1"/>
  <c r="E314" i="1"/>
  <c r="J313" i="1"/>
  <c r="E313" i="1"/>
  <c r="Q312" i="1"/>
  <c r="Q316" i="1" s="1"/>
  <c r="J312" i="1"/>
  <c r="P311" i="1"/>
  <c r="O311" i="1"/>
  <c r="N311" i="1"/>
  <c r="M311" i="1"/>
  <c r="L311" i="1"/>
  <c r="K311" i="1"/>
  <c r="J310" i="1"/>
  <c r="E310" i="1"/>
  <c r="J309" i="1"/>
  <c r="E309" i="1"/>
  <c r="J308" i="1"/>
  <c r="E308" i="1"/>
  <c r="Q307" i="1"/>
  <c r="Q311" i="1" s="1"/>
  <c r="J307" i="1"/>
  <c r="P306" i="1"/>
  <c r="O306" i="1"/>
  <c r="N306" i="1"/>
  <c r="M306" i="1"/>
  <c r="L306" i="1"/>
  <c r="K306" i="1"/>
  <c r="J305" i="1"/>
  <c r="E305" i="1"/>
  <c r="J304" i="1"/>
  <c r="E304" i="1"/>
  <c r="J303" i="1"/>
  <c r="E303" i="1"/>
  <c r="Q302" i="1"/>
  <c r="Q306" i="1" s="1"/>
  <c r="J302" i="1"/>
  <c r="Q301" i="1"/>
  <c r="P301" i="1"/>
  <c r="O301" i="1"/>
  <c r="N301" i="1"/>
  <c r="M301" i="1"/>
  <c r="L301" i="1"/>
  <c r="K301" i="1"/>
  <c r="J300" i="1"/>
  <c r="E300" i="1"/>
  <c r="J299" i="1"/>
  <c r="E299" i="1"/>
  <c r="J298" i="1"/>
  <c r="E298" i="1"/>
  <c r="Q297" i="1"/>
  <c r="J297" i="1"/>
  <c r="P296" i="1"/>
  <c r="O296" i="1"/>
  <c r="N296" i="1"/>
  <c r="M296" i="1"/>
  <c r="L296" i="1"/>
  <c r="K296" i="1"/>
  <c r="J295" i="1"/>
  <c r="E295" i="1"/>
  <c r="J294" i="1"/>
  <c r="E294" i="1"/>
  <c r="J293" i="1"/>
  <c r="E293" i="1"/>
  <c r="Q292" i="1"/>
  <c r="Q296" i="1" s="1"/>
  <c r="J292" i="1"/>
  <c r="Q291" i="1"/>
  <c r="P291" i="1"/>
  <c r="O291" i="1"/>
  <c r="N291" i="1"/>
  <c r="M291" i="1"/>
  <c r="L291" i="1"/>
  <c r="K291" i="1"/>
  <c r="J290" i="1"/>
  <c r="E290" i="1"/>
  <c r="J289" i="1"/>
  <c r="E289" i="1"/>
  <c r="J288" i="1"/>
  <c r="J287" i="1" s="1"/>
  <c r="E288" i="1"/>
  <c r="Q287" i="1"/>
  <c r="P286" i="1"/>
  <c r="O286" i="1"/>
  <c r="N286" i="1"/>
  <c r="M286" i="1"/>
  <c r="L286" i="1"/>
  <c r="K286" i="1"/>
  <c r="J285" i="1"/>
  <c r="E285" i="1"/>
  <c r="J284" i="1"/>
  <c r="E284" i="1"/>
  <c r="J283" i="1"/>
  <c r="E283" i="1"/>
  <c r="Q282" i="1"/>
  <c r="Q286" i="1" s="1"/>
  <c r="J282" i="1"/>
  <c r="Q281" i="1"/>
  <c r="P281" i="1"/>
  <c r="O281" i="1"/>
  <c r="N281" i="1"/>
  <c r="M281" i="1"/>
  <c r="L281" i="1"/>
  <c r="K281" i="1"/>
  <c r="J280" i="1"/>
  <c r="E280" i="1"/>
  <c r="J279" i="1"/>
  <c r="E279" i="1"/>
  <c r="J278" i="1"/>
  <c r="E278" i="1"/>
  <c r="Q277" i="1"/>
  <c r="J277" i="1"/>
  <c r="Q276" i="1"/>
  <c r="P276" i="1"/>
  <c r="O276" i="1"/>
  <c r="N276" i="1"/>
  <c r="M276" i="1"/>
  <c r="L276" i="1"/>
  <c r="K276" i="1"/>
  <c r="J275" i="1"/>
  <c r="J272" i="1" s="1"/>
  <c r="E275" i="1"/>
  <c r="J274" i="1"/>
  <c r="E274" i="1"/>
  <c r="J273" i="1"/>
  <c r="E273" i="1"/>
  <c r="Q272" i="1"/>
  <c r="Q271" i="1"/>
  <c r="P271" i="1"/>
  <c r="O271" i="1"/>
  <c r="N271" i="1"/>
  <c r="M271" i="1"/>
  <c r="L271" i="1"/>
  <c r="K271" i="1"/>
  <c r="J270" i="1"/>
  <c r="E270" i="1"/>
  <c r="J269" i="1"/>
  <c r="E269" i="1"/>
  <c r="J268" i="1"/>
  <c r="J267" i="1" s="1"/>
  <c r="E268" i="1"/>
  <c r="Q267" i="1"/>
  <c r="Q266" i="1"/>
  <c r="P266" i="1"/>
  <c r="O266" i="1"/>
  <c r="N266" i="1"/>
  <c r="M266" i="1"/>
  <c r="L266" i="1"/>
  <c r="K266" i="1"/>
  <c r="J265" i="1"/>
  <c r="E265" i="1"/>
  <c r="J264" i="1"/>
  <c r="J262" i="1" s="1"/>
  <c r="E264" i="1"/>
  <c r="J263" i="1"/>
  <c r="E263" i="1"/>
  <c r="Q262" i="1"/>
  <c r="P261" i="1"/>
  <c r="O261" i="1"/>
  <c r="N261" i="1"/>
  <c r="M261" i="1"/>
  <c r="L261" i="1"/>
  <c r="K261" i="1"/>
  <c r="J260" i="1"/>
  <c r="E260" i="1"/>
  <c r="J259" i="1"/>
  <c r="E259" i="1"/>
  <c r="J258" i="1"/>
  <c r="J257" i="1" s="1"/>
  <c r="E258" i="1"/>
  <c r="Q257" i="1"/>
  <c r="Q261" i="1" s="1"/>
  <c r="P256" i="1"/>
  <c r="O256" i="1"/>
  <c r="N256" i="1"/>
  <c r="M256" i="1"/>
  <c r="L256" i="1"/>
  <c r="K256" i="1"/>
  <c r="J255" i="1"/>
  <c r="E255" i="1"/>
  <c r="J254" i="1"/>
  <c r="E254" i="1"/>
  <c r="J253" i="1"/>
  <c r="E253" i="1"/>
  <c r="AB252" i="1"/>
  <c r="Z252" i="1"/>
  <c r="Y252" i="1"/>
  <c r="X252" i="1"/>
  <c r="W252" i="1"/>
  <c r="V252" i="1"/>
  <c r="Q252" i="1"/>
  <c r="Q256" i="1" s="1"/>
  <c r="J252" i="1"/>
  <c r="Q251" i="1"/>
  <c r="P251" i="1"/>
  <c r="O251" i="1"/>
  <c r="N251" i="1"/>
  <c r="M251" i="1"/>
  <c r="L251" i="1"/>
  <c r="K251" i="1"/>
  <c r="J250" i="1"/>
  <c r="E250" i="1"/>
  <c r="J249" i="1"/>
  <c r="E249" i="1"/>
  <c r="J248" i="1"/>
  <c r="E248" i="1"/>
  <c r="Q247" i="1"/>
  <c r="J247" i="1"/>
  <c r="P246" i="1"/>
  <c r="O246" i="1"/>
  <c r="N246" i="1"/>
  <c r="M246" i="1"/>
  <c r="L246" i="1"/>
  <c r="K246" i="1"/>
  <c r="J245" i="1"/>
  <c r="J242" i="1" s="1"/>
  <c r="E245" i="1"/>
  <c r="J244" i="1"/>
  <c r="E244" i="1"/>
  <c r="J243" i="1"/>
  <c r="E243" i="1"/>
  <c r="Q242" i="1"/>
  <c r="Q246" i="1" s="1"/>
  <c r="Q241" i="1"/>
  <c r="P241" i="1"/>
  <c r="O241" i="1"/>
  <c r="N241" i="1"/>
  <c r="M241" i="1"/>
  <c r="L241" i="1"/>
  <c r="K241" i="1"/>
  <c r="J240" i="1"/>
  <c r="E240" i="1"/>
  <c r="J239" i="1"/>
  <c r="E239" i="1"/>
  <c r="J238" i="1"/>
  <c r="E238" i="1"/>
  <c r="Q237" i="1"/>
  <c r="J237" i="1"/>
  <c r="Q236" i="1"/>
  <c r="P236" i="1"/>
  <c r="O236" i="1"/>
  <c r="N236" i="1"/>
  <c r="M236" i="1"/>
  <c r="L236" i="1"/>
  <c r="K236" i="1"/>
  <c r="J235" i="1"/>
  <c r="E235" i="1"/>
  <c r="J234" i="1"/>
  <c r="E234" i="1"/>
  <c r="J233" i="1"/>
  <c r="J232" i="1" s="1"/>
  <c r="E233" i="1"/>
  <c r="Q232" i="1"/>
  <c r="Q231" i="1"/>
  <c r="P231" i="1"/>
  <c r="O231" i="1"/>
  <c r="N231" i="1"/>
  <c r="M231" i="1"/>
  <c r="L231" i="1"/>
  <c r="K231" i="1"/>
  <c r="J230" i="1"/>
  <c r="J227" i="1" s="1"/>
  <c r="E230" i="1"/>
  <c r="J229" i="1"/>
  <c r="E229" i="1"/>
  <c r="J228" i="1"/>
  <c r="E228" i="1"/>
  <c r="Q227" i="1"/>
  <c r="Q226" i="1"/>
  <c r="P226" i="1"/>
  <c r="O226" i="1"/>
  <c r="N226" i="1"/>
  <c r="M226" i="1"/>
  <c r="L226" i="1"/>
  <c r="K226" i="1"/>
  <c r="J225" i="1"/>
  <c r="E225" i="1"/>
  <c r="J224" i="1"/>
  <c r="E224" i="1"/>
  <c r="J223" i="1"/>
  <c r="J222" i="1" s="1"/>
  <c r="E223" i="1"/>
  <c r="Q222" i="1"/>
  <c r="Q221" i="1"/>
  <c r="P221" i="1"/>
  <c r="O221" i="1"/>
  <c r="N221" i="1"/>
  <c r="M221" i="1"/>
  <c r="L221" i="1"/>
  <c r="K221" i="1"/>
  <c r="J220" i="1"/>
  <c r="E220" i="1"/>
  <c r="J219" i="1"/>
  <c r="J217" i="1" s="1"/>
  <c r="E219" i="1"/>
  <c r="J218" i="1"/>
  <c r="E218" i="1"/>
  <c r="Q217" i="1"/>
  <c r="P216" i="1"/>
  <c r="O216" i="1"/>
  <c r="N216" i="1"/>
  <c r="M216" i="1"/>
  <c r="L216" i="1"/>
  <c r="K216" i="1"/>
  <c r="J215" i="1"/>
  <c r="E215" i="1"/>
  <c r="J214" i="1"/>
  <c r="E214" i="1"/>
  <c r="J213" i="1"/>
  <c r="J212" i="1" s="1"/>
  <c r="E213" i="1"/>
  <c r="Q212" i="1"/>
  <c r="Q216" i="1" s="1"/>
  <c r="Q211" i="1"/>
  <c r="P211" i="1"/>
  <c r="O211" i="1"/>
  <c r="N211" i="1"/>
  <c r="M211" i="1"/>
  <c r="L211" i="1"/>
  <c r="K211" i="1"/>
  <c r="J210" i="1"/>
  <c r="E210" i="1"/>
  <c r="J209" i="1"/>
  <c r="E209" i="1"/>
  <c r="J208" i="1"/>
  <c r="J207" i="1" s="1"/>
  <c r="E208" i="1"/>
  <c r="Q207" i="1"/>
  <c r="P206" i="1"/>
  <c r="O206" i="1"/>
  <c r="N206" i="1"/>
  <c r="M206" i="1"/>
  <c r="L206" i="1"/>
  <c r="K206" i="1"/>
  <c r="J205" i="1"/>
  <c r="E205" i="1"/>
  <c r="J204" i="1"/>
  <c r="E204" i="1"/>
  <c r="J203" i="1"/>
  <c r="E203" i="1"/>
  <c r="Q202" i="1"/>
  <c r="Q206" i="1" s="1"/>
  <c r="J202" i="1"/>
  <c r="P201" i="1"/>
  <c r="O201" i="1"/>
  <c r="N201" i="1"/>
  <c r="M201" i="1"/>
  <c r="L201" i="1"/>
  <c r="K201" i="1"/>
  <c r="J200" i="1"/>
  <c r="E200" i="1"/>
  <c r="J199" i="1"/>
  <c r="E199" i="1"/>
  <c r="J198" i="1"/>
  <c r="E198" i="1"/>
  <c r="Q197" i="1"/>
  <c r="Q201" i="1" s="1"/>
  <c r="J197" i="1"/>
  <c r="P196" i="1"/>
  <c r="O196" i="1"/>
  <c r="N196" i="1"/>
  <c r="M196" i="1"/>
  <c r="L196" i="1"/>
  <c r="K196" i="1"/>
  <c r="J195" i="1"/>
  <c r="E195" i="1"/>
  <c r="J194" i="1"/>
  <c r="E194" i="1"/>
  <c r="J193" i="1"/>
  <c r="E193" i="1"/>
  <c r="Q192" i="1"/>
  <c r="Q196" i="1" s="1"/>
  <c r="J192" i="1"/>
  <c r="P191" i="1"/>
  <c r="O191" i="1"/>
  <c r="N191" i="1"/>
  <c r="M191" i="1"/>
  <c r="L191" i="1"/>
  <c r="K191" i="1"/>
  <c r="J190" i="1"/>
  <c r="E190" i="1"/>
  <c r="J189" i="1"/>
  <c r="E189" i="1"/>
  <c r="J188" i="1"/>
  <c r="E188" i="1"/>
  <c r="Q187" i="1"/>
  <c r="Q191" i="1" s="1"/>
  <c r="J187" i="1"/>
  <c r="Q186" i="1"/>
  <c r="P186" i="1"/>
  <c r="O186" i="1"/>
  <c r="N186" i="1"/>
  <c r="M186" i="1"/>
  <c r="L186" i="1"/>
  <c r="K186" i="1"/>
  <c r="J185" i="1"/>
  <c r="E185" i="1"/>
  <c r="J184" i="1"/>
  <c r="E184" i="1"/>
  <c r="J183" i="1"/>
  <c r="J182" i="1" s="1"/>
  <c r="E183" i="1"/>
  <c r="AB182" i="1"/>
  <c r="AA182" i="1"/>
  <c r="Z182" i="1"/>
  <c r="Y182" i="1"/>
  <c r="X182" i="1"/>
  <c r="W182" i="1"/>
  <c r="V182" i="1"/>
  <c r="Q182" i="1"/>
  <c r="P181" i="1"/>
  <c r="O181" i="1"/>
  <c r="N181" i="1"/>
  <c r="M181" i="1"/>
  <c r="L181" i="1"/>
  <c r="K181" i="1"/>
  <c r="J180" i="1"/>
  <c r="E180" i="1"/>
  <c r="J179" i="1"/>
  <c r="E179" i="1"/>
  <c r="J178" i="1"/>
  <c r="J177" i="1" s="1"/>
  <c r="E178" i="1"/>
  <c r="AB177" i="1"/>
  <c r="Z177" i="1"/>
  <c r="Y177" i="1"/>
  <c r="X177" i="1"/>
  <c r="W177" i="1"/>
  <c r="V177" i="1"/>
  <c r="Q177" i="1"/>
  <c r="AA177" i="1" s="1"/>
  <c r="P176" i="1"/>
  <c r="O176" i="1"/>
  <c r="N176" i="1"/>
  <c r="M176" i="1"/>
  <c r="L176" i="1"/>
  <c r="K176" i="1"/>
  <c r="J175" i="1"/>
  <c r="E175" i="1"/>
  <c r="J174" i="1"/>
  <c r="E174" i="1"/>
  <c r="J173" i="1"/>
  <c r="E173" i="1"/>
  <c r="AB172" i="1"/>
  <c r="Z172" i="1"/>
  <c r="Y172" i="1"/>
  <c r="X172" i="1"/>
  <c r="W172" i="1"/>
  <c r="V172" i="1"/>
  <c r="Q172" i="1"/>
  <c r="Q176" i="1" s="1"/>
  <c r="J172" i="1"/>
  <c r="P171" i="1"/>
  <c r="O171" i="1"/>
  <c r="N171" i="1"/>
  <c r="M171" i="1"/>
  <c r="L171" i="1"/>
  <c r="K171" i="1"/>
  <c r="J170" i="1"/>
  <c r="E170" i="1"/>
  <c r="J169" i="1"/>
  <c r="E169" i="1"/>
  <c r="J168" i="1"/>
  <c r="J167" i="1" s="1"/>
  <c r="E168" i="1"/>
  <c r="AB167" i="1"/>
  <c r="AA167" i="1"/>
  <c r="Z167" i="1"/>
  <c r="Y167" i="1"/>
  <c r="X167" i="1"/>
  <c r="W167" i="1"/>
  <c r="V167" i="1"/>
  <c r="Q167" i="1"/>
  <c r="Q171" i="1" s="1"/>
  <c r="P166" i="1"/>
  <c r="O166" i="1"/>
  <c r="N166" i="1"/>
  <c r="M166" i="1"/>
  <c r="L166" i="1"/>
  <c r="K166" i="1"/>
  <c r="J165" i="1"/>
  <c r="E165" i="1"/>
  <c r="J164" i="1"/>
  <c r="E164" i="1"/>
  <c r="J163" i="1"/>
  <c r="J162" i="1" s="1"/>
  <c r="E163" i="1"/>
  <c r="Q162" i="1"/>
  <c r="Q166" i="1" s="1"/>
  <c r="Q161" i="1"/>
  <c r="P161" i="1"/>
  <c r="O161" i="1"/>
  <c r="N161" i="1"/>
  <c r="M161" i="1"/>
  <c r="L161" i="1"/>
  <c r="K161" i="1"/>
  <c r="J160" i="1"/>
  <c r="E160" i="1"/>
  <c r="J159" i="1"/>
  <c r="E159" i="1"/>
  <c r="J158" i="1"/>
  <c r="J157" i="1" s="1"/>
  <c r="E158" i="1"/>
  <c r="Q157" i="1"/>
  <c r="Q156" i="1"/>
  <c r="P156" i="1"/>
  <c r="O156" i="1"/>
  <c r="N156" i="1"/>
  <c r="M156" i="1"/>
  <c r="L156" i="1"/>
  <c r="K156" i="1"/>
  <c r="J155" i="1"/>
  <c r="E155" i="1"/>
  <c r="J154" i="1"/>
  <c r="E154" i="1"/>
  <c r="J153" i="1"/>
  <c r="J152" i="1" s="1"/>
  <c r="E153" i="1"/>
  <c r="Q152" i="1"/>
  <c r="P151" i="1"/>
  <c r="O151" i="1"/>
  <c r="N151" i="1"/>
  <c r="M151" i="1"/>
  <c r="L151" i="1"/>
  <c r="K151" i="1"/>
  <c r="J150" i="1"/>
  <c r="E150" i="1"/>
  <c r="J149" i="1"/>
  <c r="E149" i="1"/>
  <c r="J148" i="1"/>
  <c r="E148" i="1"/>
  <c r="Q147" i="1"/>
  <c r="Q151" i="1" s="1"/>
  <c r="J147" i="1"/>
  <c r="P146" i="1"/>
  <c r="O146" i="1"/>
  <c r="N146" i="1"/>
  <c r="M146" i="1"/>
  <c r="L146" i="1"/>
  <c r="K146" i="1"/>
  <c r="J145" i="1"/>
  <c r="E145" i="1"/>
  <c r="J144" i="1"/>
  <c r="E144" i="1"/>
  <c r="J143" i="1"/>
  <c r="J142" i="1" s="1"/>
  <c r="E143" i="1"/>
  <c r="Q142" i="1"/>
  <c r="Q146" i="1" s="1"/>
  <c r="P141" i="1"/>
  <c r="O141" i="1"/>
  <c r="N141" i="1"/>
  <c r="M141" i="1"/>
  <c r="L141" i="1"/>
  <c r="K141" i="1"/>
  <c r="J140" i="1"/>
  <c r="E140" i="1"/>
  <c r="J139" i="1"/>
  <c r="E139" i="1"/>
  <c r="J138" i="1"/>
  <c r="E138" i="1"/>
  <c r="Q137" i="1"/>
  <c r="Q141" i="1" s="1"/>
  <c r="J137" i="1"/>
  <c r="P136" i="1"/>
  <c r="O136" i="1"/>
  <c r="N136" i="1"/>
  <c r="M136" i="1"/>
  <c r="L136" i="1"/>
  <c r="K136" i="1"/>
  <c r="J135" i="1"/>
  <c r="E135" i="1"/>
  <c r="J134" i="1"/>
  <c r="E134" i="1"/>
  <c r="J133" i="1"/>
  <c r="E133" i="1"/>
  <c r="Q132" i="1"/>
  <c r="Q136" i="1" s="1"/>
  <c r="J132" i="1"/>
  <c r="Q131" i="1"/>
  <c r="P131" i="1"/>
  <c r="O131" i="1"/>
  <c r="N131" i="1"/>
  <c r="M131" i="1"/>
  <c r="L131" i="1"/>
  <c r="K131" i="1"/>
  <c r="J130" i="1"/>
  <c r="E130" i="1"/>
  <c r="J129" i="1"/>
  <c r="E129" i="1"/>
  <c r="J128" i="1"/>
  <c r="E128" i="1"/>
  <c r="Q127" i="1"/>
  <c r="J127" i="1"/>
  <c r="P126" i="1"/>
  <c r="O126" i="1"/>
  <c r="N126" i="1"/>
  <c r="M126" i="1"/>
  <c r="L126" i="1"/>
  <c r="K126" i="1"/>
  <c r="J125" i="1"/>
  <c r="E125" i="1"/>
  <c r="J124" i="1"/>
  <c r="E124" i="1"/>
  <c r="J123" i="1"/>
  <c r="E123" i="1"/>
  <c r="Q122" i="1"/>
  <c r="Q126" i="1" s="1"/>
  <c r="J122" i="1"/>
  <c r="Q121" i="1"/>
  <c r="P121" i="1"/>
  <c r="O121" i="1"/>
  <c r="N121" i="1"/>
  <c r="M121" i="1"/>
  <c r="L121" i="1"/>
  <c r="K121" i="1"/>
  <c r="J120" i="1"/>
  <c r="E120" i="1"/>
  <c r="J119" i="1"/>
  <c r="E119" i="1"/>
  <c r="J118" i="1"/>
  <c r="E118" i="1"/>
  <c r="Q117" i="1"/>
  <c r="J117" i="1"/>
  <c r="P116" i="1"/>
  <c r="O116" i="1"/>
  <c r="N116" i="1"/>
  <c r="M116" i="1"/>
  <c r="L116" i="1"/>
  <c r="K116" i="1"/>
  <c r="J115" i="1"/>
  <c r="E115" i="1"/>
  <c r="J114" i="1"/>
  <c r="E114" i="1"/>
  <c r="J113" i="1"/>
  <c r="E113" i="1"/>
  <c r="Q112" i="1"/>
  <c r="Q116" i="1" s="1"/>
  <c r="J112" i="1"/>
  <c r="Q111" i="1"/>
  <c r="P111" i="1"/>
  <c r="O111" i="1"/>
  <c r="N111" i="1"/>
  <c r="M111" i="1"/>
  <c r="L111" i="1"/>
  <c r="K111" i="1"/>
  <c r="J110" i="1"/>
  <c r="E110" i="1"/>
  <c r="J109" i="1"/>
  <c r="E109" i="1"/>
  <c r="J108" i="1"/>
  <c r="E108" i="1"/>
  <c r="AB107" i="1"/>
  <c r="Z107" i="1"/>
  <c r="Y107" i="1"/>
  <c r="X107" i="1"/>
  <c r="W107" i="1"/>
  <c r="V107" i="1"/>
  <c r="Q107" i="1"/>
  <c r="AA107" i="1" s="1"/>
  <c r="J107" i="1"/>
  <c r="P106" i="1"/>
  <c r="O106" i="1"/>
  <c r="N106" i="1"/>
  <c r="M106" i="1"/>
  <c r="L106" i="1"/>
  <c r="K106" i="1"/>
  <c r="J105" i="1"/>
  <c r="E105" i="1"/>
  <c r="J104" i="1"/>
  <c r="E104" i="1"/>
  <c r="J103" i="1"/>
  <c r="E103" i="1"/>
  <c r="Q102" i="1"/>
  <c r="Q106" i="1" s="1"/>
  <c r="J102" i="1"/>
  <c r="P101" i="1"/>
  <c r="O101" i="1"/>
  <c r="N101" i="1"/>
  <c r="M101" i="1"/>
  <c r="L101" i="1"/>
  <c r="K101" i="1"/>
  <c r="J100" i="1"/>
  <c r="E100" i="1"/>
  <c r="J99" i="1"/>
  <c r="E99" i="1"/>
  <c r="J98" i="1"/>
  <c r="E98" i="1"/>
  <c r="Q97" i="1"/>
  <c r="Q101" i="1" s="1"/>
  <c r="J97" i="1"/>
  <c r="P96" i="1"/>
  <c r="O96" i="1"/>
  <c r="N96" i="1"/>
  <c r="M96" i="1"/>
  <c r="L96" i="1"/>
  <c r="K96" i="1"/>
  <c r="J95" i="1"/>
  <c r="E95" i="1"/>
  <c r="J94" i="1"/>
  <c r="E94" i="1"/>
  <c r="J93" i="1"/>
  <c r="E93" i="1"/>
  <c r="Q92" i="1"/>
  <c r="Q96" i="1" s="1"/>
  <c r="J92" i="1"/>
  <c r="Q91" i="1"/>
  <c r="P91" i="1"/>
  <c r="O91" i="1"/>
  <c r="N91" i="1"/>
  <c r="M91" i="1"/>
  <c r="L91" i="1"/>
  <c r="K91" i="1"/>
  <c r="J90" i="1"/>
  <c r="E90" i="1"/>
  <c r="J89" i="1"/>
  <c r="E89" i="1"/>
  <c r="J88" i="1"/>
  <c r="E88" i="1"/>
  <c r="Q87" i="1"/>
  <c r="V87" i="1" s="1"/>
  <c r="J87" i="1"/>
  <c r="P86" i="1"/>
  <c r="O86" i="1"/>
  <c r="N86" i="1"/>
  <c r="M86" i="1"/>
  <c r="L86" i="1"/>
  <c r="K86" i="1"/>
  <c r="J85" i="1"/>
  <c r="E85" i="1"/>
  <c r="J84" i="1"/>
  <c r="E84" i="1"/>
  <c r="J83" i="1"/>
  <c r="E83" i="1"/>
  <c r="Q82" i="1"/>
  <c r="Q86" i="1" s="1"/>
  <c r="J82" i="1"/>
  <c r="Q81" i="1"/>
  <c r="P81" i="1"/>
  <c r="O81" i="1"/>
  <c r="N81" i="1"/>
  <c r="M81" i="1"/>
  <c r="L81" i="1"/>
  <c r="K81" i="1"/>
  <c r="J80" i="1"/>
  <c r="E80" i="1"/>
  <c r="J79" i="1"/>
  <c r="E79" i="1"/>
  <c r="J78" i="1"/>
  <c r="E78" i="1"/>
  <c r="Q77" i="1"/>
  <c r="J77" i="1"/>
  <c r="P76" i="1"/>
  <c r="O76" i="1"/>
  <c r="N76" i="1"/>
  <c r="M76" i="1"/>
  <c r="L76" i="1"/>
  <c r="K76" i="1"/>
  <c r="J75" i="1"/>
  <c r="E75" i="1"/>
  <c r="J74" i="1"/>
  <c r="E74" i="1"/>
  <c r="J73" i="1"/>
  <c r="E73" i="1"/>
  <c r="Q72" i="1"/>
  <c r="Q76" i="1" s="1"/>
  <c r="J72" i="1"/>
  <c r="Q71" i="1"/>
  <c r="P71" i="1"/>
  <c r="O71" i="1"/>
  <c r="N71" i="1"/>
  <c r="M71" i="1"/>
  <c r="L71" i="1"/>
  <c r="K71" i="1"/>
  <c r="J70" i="1"/>
  <c r="E70" i="1"/>
  <c r="J69" i="1"/>
  <c r="E69" i="1"/>
  <c r="J68" i="1"/>
  <c r="E68" i="1"/>
  <c r="Q67" i="1"/>
  <c r="J67" i="1"/>
  <c r="P66" i="1"/>
  <c r="O66" i="1"/>
  <c r="N66" i="1"/>
  <c r="M66" i="1"/>
  <c r="L66" i="1"/>
  <c r="K66" i="1"/>
  <c r="J65" i="1"/>
  <c r="J62" i="1" s="1"/>
  <c r="E65" i="1"/>
  <c r="J64" i="1"/>
  <c r="E64" i="1"/>
  <c r="J63" i="1"/>
  <c r="E63" i="1"/>
  <c r="Q62" i="1"/>
  <c r="Q66" i="1" s="1"/>
  <c r="Q61" i="1"/>
  <c r="P61" i="1"/>
  <c r="O61" i="1"/>
  <c r="N61" i="1"/>
  <c r="M61" i="1"/>
  <c r="L61" i="1"/>
  <c r="K61" i="1"/>
  <c r="J60" i="1"/>
  <c r="E60" i="1"/>
  <c r="J59" i="1"/>
  <c r="E59" i="1"/>
  <c r="J58" i="1"/>
  <c r="E58" i="1"/>
  <c r="Q57" i="1"/>
  <c r="J57" i="1"/>
  <c r="Q56" i="1"/>
  <c r="P56" i="1"/>
  <c r="O56" i="1"/>
  <c r="N56" i="1"/>
  <c r="M56" i="1"/>
  <c r="L56" i="1"/>
  <c r="K56" i="1"/>
  <c r="J55" i="1"/>
  <c r="E55" i="1"/>
  <c r="J54" i="1"/>
  <c r="J52" i="1" s="1"/>
  <c r="E54" i="1"/>
  <c r="J53" i="1"/>
  <c r="E53" i="1"/>
  <c r="Q52" i="1"/>
  <c r="Q51" i="1"/>
  <c r="P51" i="1"/>
  <c r="O51" i="1"/>
  <c r="N51" i="1"/>
  <c r="M51" i="1"/>
  <c r="L51" i="1"/>
  <c r="K51" i="1"/>
  <c r="J50" i="1"/>
  <c r="J47" i="1" s="1"/>
  <c r="E50" i="1"/>
  <c r="J49" i="1"/>
  <c r="E49" i="1"/>
  <c r="J48" i="1"/>
  <c r="E48" i="1"/>
  <c r="AB47" i="1"/>
  <c r="Z47" i="1"/>
  <c r="Y47" i="1"/>
  <c r="X47" i="1"/>
  <c r="W47" i="1"/>
  <c r="V47" i="1"/>
  <c r="Q47" i="1"/>
  <c r="AA47" i="1" s="1"/>
  <c r="P46" i="1"/>
  <c r="O46" i="1"/>
  <c r="N46" i="1"/>
  <c r="M46" i="1"/>
  <c r="L46" i="1"/>
  <c r="K46" i="1"/>
  <c r="J45" i="1"/>
  <c r="E45" i="1"/>
  <c r="J44" i="1"/>
  <c r="E44" i="1"/>
  <c r="J43" i="1"/>
  <c r="E43" i="1"/>
  <c r="Q42" i="1"/>
  <c r="Q46" i="1" s="1"/>
  <c r="J42" i="1"/>
  <c r="Q41" i="1"/>
  <c r="P41" i="1"/>
  <c r="O41" i="1"/>
  <c r="N41" i="1"/>
  <c r="M41" i="1"/>
  <c r="L41" i="1"/>
  <c r="K41" i="1"/>
  <c r="J40" i="1"/>
  <c r="E40" i="1"/>
  <c r="J39" i="1"/>
  <c r="E39" i="1"/>
  <c r="J38" i="1"/>
  <c r="J37" i="1" s="1"/>
  <c r="E38" i="1"/>
  <c r="Q37" i="1"/>
  <c r="P36" i="1"/>
  <c r="O36" i="1"/>
  <c r="N36" i="1"/>
  <c r="M36" i="1"/>
  <c r="L36" i="1"/>
  <c r="K36" i="1"/>
  <c r="J35" i="1"/>
  <c r="E35" i="1"/>
  <c r="J34" i="1"/>
  <c r="E34" i="1"/>
  <c r="J33" i="1"/>
  <c r="E33" i="1"/>
  <c r="Q32" i="1"/>
  <c r="Q36" i="1" s="1"/>
  <c r="J32" i="1"/>
  <c r="Q31" i="1"/>
  <c r="P31" i="1"/>
  <c r="O31" i="1"/>
  <c r="N31" i="1"/>
  <c r="M31" i="1"/>
  <c r="L31" i="1"/>
  <c r="K31" i="1"/>
  <c r="J30" i="1"/>
  <c r="E30" i="1"/>
  <c r="J29" i="1"/>
  <c r="E29" i="1"/>
  <c r="J28" i="1"/>
  <c r="E28" i="1"/>
  <c r="Q27" i="1"/>
  <c r="J27" i="1"/>
  <c r="Q26" i="1"/>
  <c r="P26" i="1"/>
  <c r="O26" i="1"/>
  <c r="N26" i="1"/>
  <c r="M26" i="1"/>
  <c r="L26" i="1"/>
  <c r="K26" i="1"/>
  <c r="J25" i="1"/>
  <c r="J22" i="1" s="1"/>
  <c r="E25" i="1"/>
  <c r="J24" i="1"/>
  <c r="E24" i="1"/>
  <c r="J23" i="1"/>
  <c r="E23" i="1"/>
  <c r="Q22" i="1"/>
  <c r="Q21" i="1"/>
  <c r="P21" i="1"/>
  <c r="O21" i="1"/>
  <c r="N21" i="1"/>
  <c r="M21" i="1"/>
  <c r="L21" i="1"/>
  <c r="K21" i="1"/>
  <c r="J20" i="1"/>
  <c r="E20" i="1"/>
  <c r="J19" i="1"/>
  <c r="E19" i="1"/>
  <c r="J18" i="1"/>
  <c r="J17" i="1" s="1"/>
  <c r="E18" i="1"/>
  <c r="Q17" i="1"/>
  <c r="P16" i="1"/>
  <c r="O16" i="1"/>
  <c r="N16" i="1"/>
  <c r="M16" i="1"/>
  <c r="L16" i="1"/>
  <c r="K16" i="1"/>
  <c r="J15" i="1"/>
  <c r="E15" i="1"/>
  <c r="J14" i="1"/>
  <c r="E14" i="1"/>
  <c r="J13" i="1"/>
  <c r="E13" i="1"/>
  <c r="AB12" i="1"/>
  <c r="Z12" i="1"/>
  <c r="Y12" i="1"/>
  <c r="X12" i="1"/>
  <c r="W12" i="1"/>
  <c r="V12" i="1"/>
  <c r="Q12" i="1"/>
  <c r="Q16" i="1" s="1"/>
  <c r="J12" i="1"/>
  <c r="Q11" i="1"/>
  <c r="P11" i="1"/>
  <c r="O11" i="1"/>
  <c r="N11" i="1"/>
  <c r="M11" i="1"/>
  <c r="L11" i="1"/>
  <c r="K11" i="1"/>
  <c r="J10" i="1"/>
  <c r="E10" i="1"/>
  <c r="J9" i="1"/>
  <c r="E9" i="1"/>
  <c r="J8" i="1"/>
  <c r="E8" i="1"/>
  <c r="Q7" i="1"/>
  <c r="J7" i="1"/>
  <c r="G15" i="5" l="1"/>
  <c r="T10" i="5"/>
  <c r="Q516" i="1"/>
  <c r="W987" i="1"/>
  <c r="AA937" i="1"/>
  <c r="AA172" i="1"/>
  <c r="AA672" i="1"/>
  <c r="Q181" i="1"/>
  <c r="AA252" i="1"/>
  <c r="L1026" i="1"/>
  <c r="AA12" i="1"/>
  <c r="Q1006" i="1"/>
  <c r="R2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KWEDU2023</author>
  </authors>
  <commentList>
    <comment ref="T3" authorId="0" shapeId="0" xr:uid="{00000000-0006-0000-0400-000001000000}">
      <text>
        <r>
          <rPr>
            <sz val="11"/>
            <color theme="1"/>
            <rFont val="맑은 고딕"/>
            <family val="2"/>
            <charset val="129"/>
            <scheme val="minor"/>
          </rPr>
          <t xml:space="preserve">KWEDU2023:
</t>
        </r>
      </text>
    </comment>
  </commentList>
</comments>
</file>

<file path=xl/sharedStrings.xml><?xml version="1.0" encoding="utf-8"?>
<sst xmlns="http://schemas.openxmlformats.org/spreadsheetml/2006/main" count="4771" uniqueCount="722">
  <si>
    <t>2026년도 시설사업 예산 카운트</t>
  </si>
  <si>
    <t>기준일</t>
  </si>
  <si>
    <t>2026.1.1.</t>
  </si>
  <si>
    <t>(단위: 천원)</t>
  </si>
  <si>
    <t>지역명</t>
  </si>
  <si>
    <t>급별</t>
  </si>
  <si>
    <t>설립별</t>
  </si>
  <si>
    <t>학교(기관)명</t>
  </si>
  <si>
    <t>사업명</t>
  </si>
  <si>
    <t>물 량</t>
  </si>
  <si>
    <t>세부사업명</t>
  </si>
  <si>
    <t>1레벨명</t>
  </si>
  <si>
    <t>2레벨명</t>
  </si>
  <si>
    <t>계약금액</t>
  </si>
  <si>
    <t>예산액</t>
  </si>
  <si>
    <t>예산구분</t>
  </si>
  <si>
    <t>담당자</t>
  </si>
  <si>
    <t>연번입력</t>
  </si>
  <si>
    <t>학교명</t>
  </si>
  <si>
    <t>물량</t>
  </si>
  <si>
    <t>예산현액</t>
  </si>
  <si>
    <t>목</t>
  </si>
  <si>
    <t>설계비
(420-02)</t>
  </si>
  <si>
    <t>시설비
(420-03)</t>
  </si>
  <si>
    <t>감리비
(420-04)</t>
  </si>
  <si>
    <t>부대비
(420-05)</t>
  </si>
  <si>
    <t>모듈러
(2100710)</t>
  </si>
  <si>
    <t>전출금
(620)</t>
  </si>
  <si>
    <t>합계</t>
  </si>
  <si>
    <t>홍천</t>
  </si>
  <si>
    <t>유</t>
  </si>
  <si>
    <t>공립</t>
  </si>
  <si>
    <t>남산유</t>
  </si>
  <si>
    <t>조리실환기설비개선</t>
  </si>
  <si>
    <t>66㎡</t>
  </si>
  <si>
    <t>학교급식환경개선</t>
  </si>
  <si>
    <t>급식소신증축및개축</t>
  </si>
  <si>
    <t>급식소개축</t>
  </si>
  <si>
    <t>본예산</t>
  </si>
  <si>
    <t>권정원</t>
  </si>
  <si>
    <t>예산 잔액</t>
  </si>
  <si>
    <t>1회추경</t>
  </si>
  <si>
    <t xml:space="preserve">공사현장 대장 의 값들을 내가 번호 </t>
  </si>
  <si>
    <t>너브내유</t>
  </si>
  <si>
    <t>창고 샌드위치패널해소</t>
  </si>
  <si>
    <t>40㎡</t>
  </si>
  <si>
    <t>학교시설환경개선</t>
  </si>
  <si>
    <t>기타교육환경개선</t>
  </si>
  <si>
    <t>샌드위치패널해소</t>
  </si>
  <si>
    <t>한상우</t>
  </si>
  <si>
    <t>초</t>
  </si>
  <si>
    <t>구송초</t>
  </si>
  <si>
    <t>사택(주2) 드라이비트개선</t>
  </si>
  <si>
    <t>54㎡</t>
  </si>
  <si>
    <t>교육시설대수선</t>
  </si>
  <si>
    <t>드라이비트개선</t>
  </si>
  <si>
    <t>사택(주1) 드라이비트개선</t>
  </si>
  <si>
    <t>65㎡</t>
  </si>
  <si>
    <t>보건실(5) 드라이비트개선</t>
  </si>
  <si>
    <t>55㎡</t>
  </si>
  <si>
    <t>교사동 외벽치장벽돌</t>
  </si>
  <si>
    <t>245㎡</t>
  </si>
  <si>
    <t>외벽치장벽돌</t>
  </si>
  <si>
    <t>다목적실 보수</t>
  </si>
  <si>
    <t>230㎡</t>
  </si>
  <si>
    <t>다목적실환경개선</t>
  </si>
  <si>
    <t>다목적실보수</t>
  </si>
  <si>
    <t xml:space="preserve"> 다목적실 보수</t>
  </si>
  <si>
    <t>남산초</t>
  </si>
  <si>
    <t>급식소 개축</t>
  </si>
  <si>
    <t>741㎡</t>
  </si>
  <si>
    <t>조현식</t>
  </si>
  <si>
    <t>강원형 학교시설 개축</t>
  </si>
  <si>
    <t>1동(3,909㎡)</t>
  </si>
  <si>
    <t>강원형개축사업</t>
  </si>
  <si>
    <t>강원형개축</t>
  </si>
  <si>
    <t>재배정</t>
  </si>
  <si>
    <t>다목적실(7) 드라이비트개선</t>
  </si>
  <si>
    <t>54.6㎡</t>
  </si>
  <si>
    <t>교사동(2) 샌드위치패널해소</t>
  </si>
  <si>
    <t>57㎡</t>
  </si>
  <si>
    <t>다목적실(7) 샌드위치패널해소</t>
  </si>
  <si>
    <t>내촌초</t>
  </si>
  <si>
    <t>500㎡</t>
  </si>
  <si>
    <t>이정</t>
  </si>
  <si>
    <t xml:space="preserve"> 다목적실(7) 드라이비트개선</t>
  </si>
  <si>
    <t>920㎡</t>
  </si>
  <si>
    <t>2회추경</t>
  </si>
  <si>
    <t>교사동(1) 드라이비트개선</t>
  </si>
  <si>
    <t>1140㎡</t>
  </si>
  <si>
    <t xml:space="preserve"> 교사동(1) 드라이비트개선</t>
  </si>
  <si>
    <t>469㎡</t>
  </si>
  <si>
    <t>관사(2) 드라이비트개선</t>
  </si>
  <si>
    <t>300㎡</t>
  </si>
  <si>
    <t xml:space="preserve"> 관사2 드라이비트개선</t>
  </si>
  <si>
    <t>급식소(11) 드라이비트개선</t>
  </si>
  <si>
    <t>63㎡</t>
  </si>
  <si>
    <t>교사동 전기옥외간선시설</t>
  </si>
  <si>
    <t>4실</t>
  </si>
  <si>
    <t>전기옥외간선시설</t>
  </si>
  <si>
    <t>최윤재</t>
  </si>
  <si>
    <t>창고/관악실(8) 샌드위치패널해소</t>
  </si>
  <si>
    <t>180㎡</t>
  </si>
  <si>
    <t>관사(6) 샌드위치패널해소</t>
  </si>
  <si>
    <t>11㎡</t>
  </si>
  <si>
    <t>관사(2) 내진성능평가</t>
  </si>
  <si>
    <t>268.5㎡</t>
  </si>
  <si>
    <t>내진보강</t>
  </si>
  <si>
    <t>내진성능평가</t>
  </si>
  <si>
    <t>급식소(11) 내진성능평가</t>
  </si>
  <si>
    <t>188.4㎡</t>
  </si>
  <si>
    <t>노천초</t>
  </si>
  <si>
    <t>교사동 옥상난간 하부보수</t>
  </si>
  <si>
    <t>250m</t>
  </si>
  <si>
    <t>옥상난간보수</t>
  </si>
  <si>
    <t>정혜은</t>
  </si>
  <si>
    <t>교사동 옥상트렌치 보수</t>
  </si>
  <si>
    <t>220m</t>
  </si>
  <si>
    <t>옥상트렌치보수</t>
  </si>
  <si>
    <t>교사동 및 기숙사 지붕방수</t>
  </si>
  <si>
    <t>800㎡</t>
  </si>
  <si>
    <t>지붕보수</t>
  </si>
  <si>
    <t>교사동 및 기숙사 지붕타일 보수</t>
  </si>
  <si>
    <t>569㎡</t>
  </si>
  <si>
    <t>대곡초</t>
  </si>
  <si>
    <t>교실증축</t>
  </si>
  <si>
    <t>2실</t>
  </si>
  <si>
    <t>학교신증설</t>
  </si>
  <si>
    <t>교실신축및증축</t>
  </si>
  <si>
    <t xml:space="preserve"> 교실 증축</t>
  </si>
  <si>
    <t>343㎡</t>
  </si>
  <si>
    <t xml:space="preserve"> 연결통로 설치</t>
  </si>
  <si>
    <t xml:space="preserve">41m </t>
  </si>
  <si>
    <t>외부환경개선</t>
  </si>
  <si>
    <t>연결통로</t>
  </si>
  <si>
    <t xml:space="preserve"> 교사동 옥상난간 설치</t>
  </si>
  <si>
    <t>1식</t>
  </si>
  <si>
    <t>옥상안전난간설치</t>
  </si>
  <si>
    <t xml:space="preserve"> 지하수 관정실 보수</t>
  </si>
  <si>
    <t>지하수 관정실 보수</t>
  </si>
  <si>
    <t>관사(6) 드라이비트개선</t>
  </si>
  <si>
    <t>103㎡</t>
  </si>
  <si>
    <t>교사동(1) 지붕방수</t>
  </si>
  <si>
    <t>9실</t>
  </si>
  <si>
    <t>교사동(1) 전기옥외간선시설</t>
  </si>
  <si>
    <t>승압시설개선</t>
  </si>
  <si>
    <t>법면 옹벽 설치</t>
  </si>
  <si>
    <t>90m</t>
  </si>
  <si>
    <t>옹벽</t>
  </si>
  <si>
    <t>주차장 포장</t>
  </si>
  <si>
    <t>1567㎡</t>
  </si>
  <si>
    <t>포장</t>
  </si>
  <si>
    <t>체육관 개축</t>
  </si>
  <si>
    <t>320㎡</t>
  </si>
  <si>
    <t>교육과정운영여건개선</t>
  </si>
  <si>
    <t>체육관신증축및개보수</t>
  </si>
  <si>
    <t>체육관개축</t>
  </si>
  <si>
    <t>사고이월</t>
  </si>
  <si>
    <t>두촌초</t>
  </si>
  <si>
    <t>1036㎡</t>
  </si>
  <si>
    <t>214㎡</t>
  </si>
  <si>
    <t>9.5실</t>
  </si>
  <si>
    <t>교사동(1) 샌드위치패널해소</t>
  </si>
  <si>
    <t>32㎡</t>
  </si>
  <si>
    <t>차고 샌드위치패널해소</t>
  </si>
  <si>
    <t>60㎡</t>
  </si>
  <si>
    <t xml:space="preserve"> 교사동 창호교체</t>
  </si>
  <si>
    <t>23.5실</t>
  </si>
  <si>
    <t>창호교체</t>
  </si>
  <si>
    <t>교사동(1) 내진보강공사</t>
  </si>
  <si>
    <t>1557.35㎡</t>
  </si>
  <si>
    <t>내진보강공사</t>
  </si>
  <si>
    <t>매산초</t>
  </si>
  <si>
    <t>20㎡</t>
  </si>
  <si>
    <t>유류창고(7) 샌드위치패널해소</t>
  </si>
  <si>
    <t>20.25㎡</t>
  </si>
  <si>
    <t>주차장 샌드위치패널해소</t>
  </si>
  <si>
    <t>162㎡</t>
  </si>
  <si>
    <t>18㎡</t>
  </si>
  <si>
    <t>명덕초</t>
  </si>
  <si>
    <t>체육관 드라이비트개선</t>
  </si>
  <si>
    <t>448㎡</t>
  </si>
  <si>
    <t xml:space="preserve"> 체육관 드라이비트개선</t>
  </si>
  <si>
    <t>572㎡</t>
  </si>
  <si>
    <t>정문 및 후문 교체</t>
  </si>
  <si>
    <t>교문</t>
  </si>
  <si>
    <t>540㎡</t>
  </si>
  <si>
    <t>4620㎡</t>
  </si>
  <si>
    <t>그린스마트미래학교</t>
  </si>
  <si>
    <t>1동</t>
  </si>
  <si>
    <t>그린스마트미래학교개축</t>
  </si>
  <si>
    <t>모곡초</t>
  </si>
  <si>
    <t>832㎡</t>
  </si>
  <si>
    <t>1463㎡</t>
  </si>
  <si>
    <t>관사(7) 드라이비트개선</t>
  </si>
  <si>
    <t>76㎡</t>
  </si>
  <si>
    <t xml:space="preserve"> 관사(7) 드라이비트개선</t>
  </si>
  <si>
    <t>50㎡</t>
  </si>
  <si>
    <t>관사(8) 드라이비트개선</t>
  </si>
  <si>
    <t xml:space="preserve"> 관사(8) 드라이비트개선</t>
  </si>
  <si>
    <t>49㎡</t>
  </si>
  <si>
    <t>5.5실</t>
  </si>
  <si>
    <t xml:space="preserve"> 교사동 장애인편의시설 설치</t>
  </si>
  <si>
    <t>장애인편의시설</t>
  </si>
  <si>
    <t>반곡초</t>
  </si>
  <si>
    <t>급식소(2) 드라이비트개선</t>
  </si>
  <si>
    <t>121㎡</t>
  </si>
  <si>
    <t>78㎡</t>
  </si>
  <si>
    <t>105㎡</t>
  </si>
  <si>
    <t>급식소 전기옥외간선시설</t>
  </si>
  <si>
    <t>12실</t>
  </si>
  <si>
    <t>6실</t>
  </si>
  <si>
    <t>삼생초</t>
  </si>
  <si>
    <t>관사(4) 드라이비트개선</t>
  </si>
  <si>
    <t>53㎡</t>
  </si>
  <si>
    <t>476㎡</t>
  </si>
  <si>
    <t>106㎡</t>
  </si>
  <si>
    <t>관사(10) 드라이비트개선</t>
  </si>
  <si>
    <t>194㎡</t>
  </si>
  <si>
    <t xml:space="preserve"> 관사(10) 드라이비트개선</t>
  </si>
  <si>
    <t>150㎡</t>
  </si>
  <si>
    <t>1실</t>
  </si>
  <si>
    <t>20실</t>
  </si>
  <si>
    <t>94M</t>
  </si>
  <si>
    <t>관사(10) 내진성능평가</t>
  </si>
  <si>
    <t>219.7㎡</t>
  </si>
  <si>
    <t>서석초</t>
  </si>
  <si>
    <t>1203㎡</t>
  </si>
  <si>
    <t>492㎡</t>
  </si>
  <si>
    <t>1.5실</t>
  </si>
  <si>
    <t>교사동 주변 포장</t>
  </si>
  <si>
    <t>1980㎡</t>
  </si>
  <si>
    <t>교사동 주변 배수로</t>
  </si>
  <si>
    <t>배수로</t>
  </si>
  <si>
    <t>28실</t>
  </si>
  <si>
    <t>수전설비</t>
  </si>
  <si>
    <t>급식소(2) 내진보강설계</t>
  </si>
  <si>
    <t>366.91㎡</t>
  </si>
  <si>
    <t>내진보강설계</t>
  </si>
  <si>
    <t>석화초</t>
  </si>
  <si>
    <t>19학급</t>
  </si>
  <si>
    <t>학교설립및이전추진</t>
  </si>
  <si>
    <t>초등학교신설이전</t>
  </si>
  <si>
    <t>속초초</t>
  </si>
  <si>
    <t>44.55㎡</t>
  </si>
  <si>
    <t>2001.88㎡</t>
  </si>
  <si>
    <t>원당초</t>
  </si>
  <si>
    <t>사택(9) 드라이비트개선</t>
  </si>
  <si>
    <t>190㎡</t>
  </si>
  <si>
    <t xml:space="preserve"> 사택(9) 드라이비트개선</t>
  </si>
  <si>
    <t>153㎡</t>
  </si>
  <si>
    <t>사택(4) 드라이비트개선</t>
  </si>
  <si>
    <t>67㎡</t>
  </si>
  <si>
    <t>580㎡</t>
  </si>
  <si>
    <t>149㎡</t>
  </si>
  <si>
    <t xml:space="preserve"> 지붕방수</t>
  </si>
  <si>
    <t>지붕방수</t>
  </si>
  <si>
    <t>10.5실</t>
  </si>
  <si>
    <t>887.34㎡</t>
  </si>
  <si>
    <t>사택(4) 내진성능평가</t>
  </si>
  <si>
    <t>51.84㎡</t>
  </si>
  <si>
    <t>사택(9) 내진성능평가</t>
  </si>
  <si>
    <t>210.6㎡</t>
  </si>
  <si>
    <t>율전초</t>
  </si>
  <si>
    <t>다목적실(10) 드라이비트개선</t>
  </si>
  <si>
    <t>458㎡</t>
  </si>
  <si>
    <t xml:space="preserve"> 다목적실(10) 드라이비트개선</t>
  </si>
  <si>
    <t>35㎡</t>
  </si>
  <si>
    <t>관사(5) 드라이비트개선</t>
  </si>
  <si>
    <t>283㎡</t>
  </si>
  <si>
    <t xml:space="preserve"> 관사(5) 드라이비트개선</t>
  </si>
  <si>
    <t>급식소(9) 드라이비트개선</t>
  </si>
  <si>
    <t>315㎡</t>
  </si>
  <si>
    <t xml:space="preserve"> 급식소(9) 드라이비트개선</t>
  </si>
  <si>
    <t>3실</t>
  </si>
  <si>
    <t>68.88㎡</t>
  </si>
  <si>
    <t>11.22㎡</t>
  </si>
  <si>
    <t>피아노실(4) 샌드위치패널해소</t>
  </si>
  <si>
    <t>130.92㎡</t>
  </si>
  <si>
    <t>피아노실(4) 내진성능평가</t>
  </si>
  <si>
    <t>34.45㎡</t>
  </si>
  <si>
    <t>관사(5) 내진성능평가</t>
  </si>
  <si>
    <t>221.78㎡</t>
  </si>
  <si>
    <t>창촌초</t>
  </si>
  <si>
    <t>S관사(5) 드라이비트개선</t>
  </si>
  <si>
    <t>440㎡</t>
  </si>
  <si>
    <t xml:space="preserve"> S관사(5) 드라이비트개선</t>
  </si>
  <si>
    <t>145㎡</t>
  </si>
  <si>
    <t>A관사(10) 드라이비트개선</t>
  </si>
  <si>
    <t>48㎡</t>
  </si>
  <si>
    <t>학교시설 개축</t>
  </si>
  <si>
    <t>1동(1,921㎡)</t>
  </si>
  <si>
    <t>A관사(10) 내진성능평가</t>
  </si>
  <si>
    <t>250.65㎡</t>
  </si>
  <si>
    <t>S관사(5) 내진성능평가</t>
  </si>
  <si>
    <t>337.74㎡</t>
  </si>
  <si>
    <t>한서초</t>
  </si>
  <si>
    <t>체육창고 지붕 샌드위치패널해소</t>
  </si>
  <si>
    <t>조례대 샌드위치패널해소</t>
  </si>
  <si>
    <t>87㎡</t>
  </si>
  <si>
    <t>주차장차양 샌드위치패널해소</t>
  </si>
  <si>
    <t>90㎡</t>
  </si>
  <si>
    <t>쓰레기장 지붕 샌드위치패널해소</t>
  </si>
  <si>
    <t>6㎡</t>
  </si>
  <si>
    <t>급식소 차양 샌드위치패널해소</t>
  </si>
  <si>
    <t>피아노실(6) 샌드위치패널해소</t>
  </si>
  <si>
    <t>19.14㎡</t>
  </si>
  <si>
    <t xml:space="preserve"> 통학버스 차고 샌드위치패널해소</t>
  </si>
  <si>
    <t>70㎡</t>
  </si>
  <si>
    <t>홍천초</t>
  </si>
  <si>
    <t>122㎡</t>
  </si>
  <si>
    <t>교사동(1)/급식소 장애인편의시설 설치</t>
  </si>
  <si>
    <t>장애인편의시설설치</t>
  </si>
  <si>
    <t>화계초</t>
  </si>
  <si>
    <t>체육관 바닥교체 공사</t>
  </si>
  <si>
    <t>1,072㎡</t>
  </si>
  <si>
    <t>체육관보수</t>
  </si>
  <si>
    <t>1동(2,001㎡)</t>
  </si>
  <si>
    <t>화촌초</t>
  </si>
  <si>
    <t>중</t>
  </si>
  <si>
    <t>내촌중</t>
  </si>
  <si>
    <t>관사(4) 샌드위치패널해소</t>
  </si>
  <si>
    <t>139㎡</t>
  </si>
  <si>
    <t>교사동(1) 내진보강설계</t>
  </si>
  <si>
    <t>1999.14㎡</t>
  </si>
  <si>
    <t>동화중</t>
  </si>
  <si>
    <t>양궁훈련장 개축</t>
  </si>
  <si>
    <t>114㎡</t>
  </si>
  <si>
    <t>기타체육시설설치및개보수</t>
  </si>
  <si>
    <t>양궁훈련장개축</t>
  </si>
  <si>
    <t xml:space="preserve"> 창고 개축</t>
  </si>
  <si>
    <t>18.15㎡</t>
  </si>
  <si>
    <t>창고신개축및보수</t>
  </si>
  <si>
    <t>창고개축</t>
  </si>
  <si>
    <t xml:space="preserve"> 체육창고 개축</t>
  </si>
  <si>
    <t>24㎡</t>
  </si>
  <si>
    <t>창고 증개축</t>
  </si>
  <si>
    <t>55.05㎡</t>
  </si>
  <si>
    <t>외부데크 설치</t>
  </si>
  <si>
    <t>405㎡</t>
  </si>
  <si>
    <t>외부 데크 설치</t>
  </si>
  <si>
    <t>두촌중</t>
  </si>
  <si>
    <t>창고(5) 드라이비트개선</t>
  </si>
  <si>
    <t>410㎡</t>
  </si>
  <si>
    <t>1866.39㎡</t>
  </si>
  <si>
    <t>서석중</t>
  </si>
  <si>
    <t>250㎡</t>
  </si>
  <si>
    <t>179㎡</t>
  </si>
  <si>
    <t xml:space="preserve"> 관사(4) 드라이비트개선</t>
  </si>
  <si>
    <t>277㎡</t>
  </si>
  <si>
    <t>333.54㎡</t>
  </si>
  <si>
    <t>사립</t>
  </si>
  <si>
    <t>팔렬중</t>
  </si>
  <si>
    <t>사택(201~203호) 드라이비트개선</t>
  </si>
  <si>
    <t>98㎡</t>
  </si>
  <si>
    <t>사택(301~303호) 드라이비트개선</t>
  </si>
  <si>
    <t>97㎡</t>
  </si>
  <si>
    <t>사택(101,102호) 드라이비트개선</t>
  </si>
  <si>
    <t>88㎡</t>
  </si>
  <si>
    <t>기숙사/급식소 스프링클러설치</t>
  </si>
  <si>
    <t>1176㎡</t>
  </si>
  <si>
    <t>소방시설보수</t>
  </si>
  <si>
    <t>스프링클러</t>
  </si>
  <si>
    <t>한서중</t>
  </si>
  <si>
    <t>화장실(2) 드라이비트개선</t>
  </si>
  <si>
    <t>38㎡</t>
  </si>
  <si>
    <t>관사(9) 드라이비트개선</t>
  </si>
  <si>
    <t>59㎡</t>
  </si>
  <si>
    <t>홍천여중</t>
  </si>
  <si>
    <t>교사동/급식소 지붕방수</t>
  </si>
  <si>
    <t>30.15실</t>
  </si>
  <si>
    <t>창고(2) 샌드위치패널해소</t>
  </si>
  <si>
    <t>32.56㎡</t>
  </si>
  <si>
    <t>다목적구장차양설치</t>
  </si>
  <si>
    <t>홍천중</t>
  </si>
  <si>
    <t>역도장/태권도장(3) 드라이비트개선</t>
  </si>
  <si>
    <t>502㎡</t>
  </si>
  <si>
    <t xml:space="preserve"> 역도장/태권도장(3) 드라이비트개선</t>
  </si>
  <si>
    <t>508㎡</t>
  </si>
  <si>
    <t>화촌중</t>
  </si>
  <si>
    <t>20.75㎡</t>
  </si>
  <si>
    <t>해밀학교</t>
  </si>
  <si>
    <t>기숙사 스프링클러설치</t>
  </si>
  <si>
    <t>1834㎡</t>
  </si>
  <si>
    <t>고</t>
  </si>
  <si>
    <t>강원생활과학고</t>
  </si>
  <si>
    <t>다목적실(3) 드라이비트개선</t>
  </si>
  <si>
    <t>747㎡</t>
  </si>
  <si>
    <t xml:space="preserve"> 다목적실 드라이비트개선</t>
  </si>
  <si>
    <t>기숙사(아린관) 스프링클러설치</t>
  </si>
  <si>
    <t>1869㎡</t>
  </si>
  <si>
    <t>급식소/기숙사(다온관) 스프링클러설치</t>
  </si>
  <si>
    <t>1823㎡</t>
  </si>
  <si>
    <t>경음악실(9) 샌드위치패널해소</t>
  </si>
  <si>
    <t>49.5㎡</t>
  </si>
  <si>
    <t>서석고</t>
  </si>
  <si>
    <t>1593㎡</t>
  </si>
  <si>
    <t>팔렬고</t>
  </si>
  <si>
    <t>체육관(팔렬스크랜튼관) 드라이비트개선</t>
  </si>
  <si>
    <t>100㎡</t>
  </si>
  <si>
    <t>1005㎡</t>
  </si>
  <si>
    <t>기숙사(주평화의집) 샌드위치패널해소</t>
  </si>
  <si>
    <t>17㎡</t>
  </si>
  <si>
    <t>홍천고</t>
  </si>
  <si>
    <t>다목적실/과학실험실/도서관(3) 드라이비트개선</t>
  </si>
  <si>
    <t>451㎡</t>
  </si>
  <si>
    <t xml:space="preserve"> 다목적실/과학실험실/도서관(3) 드라이비트개선</t>
  </si>
  <si>
    <t>655㎡</t>
  </si>
  <si>
    <t>309㎡</t>
  </si>
  <si>
    <t>163㎡</t>
  </si>
  <si>
    <t>22실</t>
  </si>
  <si>
    <t>다목적실/과학실험실/도서관(3) 지붕방수</t>
  </si>
  <si>
    <t>8실</t>
  </si>
  <si>
    <t xml:space="preserve"> 매점(1동) 샌드위치패널해소</t>
  </si>
  <si>
    <t>21㎡</t>
  </si>
  <si>
    <t>홍천농고</t>
  </si>
  <si>
    <t>다목적실(21) 드라이비트개선</t>
  </si>
  <si>
    <t>638㎡</t>
  </si>
  <si>
    <t xml:space="preserve"> 다목적실(21) 드라이비트개선</t>
  </si>
  <si>
    <t>453㎡</t>
  </si>
  <si>
    <t>온실실습동 드라이비트개선</t>
  </si>
  <si>
    <t>68㎡</t>
  </si>
  <si>
    <t>기숙사및급식소 드라이비트개선</t>
  </si>
  <si>
    <t>677㎡</t>
  </si>
  <si>
    <t xml:space="preserve"> 기숙사및급식소 드라이비트개선</t>
  </si>
  <si>
    <t>도서관/기숙사 스프링클러설치</t>
  </si>
  <si>
    <t>1698㎡</t>
  </si>
  <si>
    <t>급식소/기숙사 스프링클러설치</t>
  </si>
  <si>
    <t>2997㎡</t>
  </si>
  <si>
    <t>723㎡</t>
  </si>
  <si>
    <t>설계비</t>
  </si>
  <si>
    <t>양돈실습실(돈사실습장) 개축</t>
  </si>
  <si>
    <t>1동(99.2㎡)</t>
  </si>
  <si>
    <t>특성화고실습실개보수</t>
  </si>
  <si>
    <t>양돈실습실개축</t>
  </si>
  <si>
    <t>비육돈사 샌드위치 패널 개선</t>
  </si>
  <si>
    <t>1동(305.51㎡)</t>
  </si>
  <si>
    <t>비육돈사샌드위치패널개선</t>
  </si>
  <si>
    <t>유리온실(학생교육장) 개축</t>
  </si>
  <si>
    <t>765.2㎡</t>
  </si>
  <si>
    <t>유리온실개축</t>
  </si>
  <si>
    <t>조직배양실 증축</t>
  </si>
  <si>
    <t>275.4㎡</t>
  </si>
  <si>
    <t>조직배양실증축</t>
  </si>
  <si>
    <t>축분발효사 개축</t>
  </si>
  <si>
    <t>1동(320㎡)</t>
  </si>
  <si>
    <t>기숙사 지붕방수</t>
  </si>
  <si>
    <t>기숙사(생활관)환경개선</t>
  </si>
  <si>
    <t>홍천농업고등학교</t>
  </si>
  <si>
    <t>홍천농고포장</t>
  </si>
  <si>
    <t>홍천여고</t>
  </si>
  <si>
    <t>체육관(9) 드라이비트개선</t>
  </si>
  <si>
    <t>900㎡</t>
  </si>
  <si>
    <t xml:space="preserve"> 체육관(9) 드라이비트개선</t>
  </si>
  <si>
    <t>1032㎡</t>
  </si>
  <si>
    <t>2765㎡</t>
  </si>
  <si>
    <t>다목적실 창호교체</t>
  </si>
  <si>
    <t>16실</t>
  </si>
  <si>
    <t>기숙사 환경개선</t>
  </si>
  <si>
    <t>기관</t>
  </si>
  <si>
    <t>홍천교육지원청</t>
  </si>
  <si>
    <t>통합관사 개축</t>
  </si>
  <si>
    <t>20세대</t>
  </si>
  <si>
    <t>기관시설유지관리</t>
  </si>
  <si>
    <t>교육지원청시설관리</t>
  </si>
  <si>
    <t>통합관사개축</t>
  </si>
  <si>
    <t>계속비이월</t>
  </si>
  <si>
    <t>안삼홍</t>
  </si>
  <si>
    <t>지하실보수공사</t>
  </si>
  <si>
    <t>ㅁ  홍천교육지원청 공사관리(2026년)</t>
  </si>
  <si>
    <t>연 번</t>
  </si>
  <si>
    <t>구분</t>
  </si>
  <si>
    <t>공사명</t>
  </si>
  <si>
    <t>사업량</t>
  </si>
  <si>
    <t>발주일</t>
  </si>
  <si>
    <t>순수금액</t>
  </si>
  <si>
    <t>수수료</t>
  </si>
  <si>
    <t>계약일</t>
  </si>
  <si>
    <t>착공일</t>
  </si>
  <si>
    <t>준공일</t>
  </si>
  <si>
    <t>실준공일</t>
  </si>
  <si>
    <t>준공검사일</t>
  </si>
  <si>
    <t>계약자</t>
  </si>
  <si>
    <t>대표</t>
  </si>
  <si>
    <t>주  소</t>
  </si>
  <si>
    <t>전 화</t>
  </si>
  <si>
    <t>현장대리인</t>
  </si>
  <si>
    <t>상태</t>
  </si>
  <si>
    <t>준공</t>
  </si>
  <si>
    <t>용역</t>
  </si>
  <si>
    <t>홍천농고 공간재구조화 증개축공사 건설폐기물처리용역</t>
  </si>
  <si>
    <t>금강도시환경(주)</t>
  </si>
  <si>
    <t>이재훈</t>
  </si>
  <si>
    <t>경기도양주시은현면은현로352-39()</t>
  </si>
  <si>
    <t>031-866-2477</t>
  </si>
  <si>
    <t>영농학교</t>
  </si>
  <si>
    <t>홍천농고 영농학교축제 유리온실 개축공사 설계 용역</t>
  </si>
  <si>
    <t>고운건축사사무소</t>
  </si>
  <si>
    <t>이혜란</t>
  </si>
  <si>
    <t>강원특별자치도춘천시우석로32(석사동),3층10호</t>
  </si>
  <si>
    <t>033-912-5611</t>
  </si>
  <si>
    <t>홍천농고 외 5개교 학교시설공사 건설사업관리용역</t>
  </si>
  <si>
    <t>주식회사 아이티엠건축사사무소</t>
  </si>
  <si>
    <t>임재춘</t>
  </si>
  <si>
    <t>서울특별시강남구선릉로747,4층(논현동,삼성당빌딩)</t>
  </si>
  <si>
    <t>033-430-1172</t>
  </si>
  <si>
    <t>홍천농고 공간재구조화 증개축공사 설계의도구현용역</t>
  </si>
  <si>
    <t>주식회사 비오엔건축사사무소</t>
  </si>
  <si>
    <t>김인곤</t>
  </si>
  <si>
    <t>02-6953-9420</t>
  </si>
  <si>
    <t>홍천농고 공간재구조화 증개축공사 재해예방 기술지도용역</t>
  </si>
  <si>
    <t>수건설안전지도사사무소</t>
  </si>
  <si>
    <t>임대수</t>
  </si>
  <si>
    <t>강원특별자치도원주시입춘로45-0(반곡동)B동512호</t>
  </si>
  <si>
    <t>033-747-9833</t>
  </si>
  <si>
    <t>[긴급] 홍천농고 공간재구조화 증개축공사 건설폐기물처리용역</t>
  </si>
  <si>
    <t>윤광찬</t>
  </si>
  <si>
    <t>관급</t>
  </si>
  <si>
    <t>홍천농고 공간재구조화 증개축공사 레미콘 구입</t>
  </si>
  <si>
    <t>강원북부레미콘사업협동조합</t>
  </si>
  <si>
    <t>이충선</t>
  </si>
  <si>
    <t>033-257-0420</t>
  </si>
  <si>
    <t>홍천농고 공간재구조화 증개축공사 보차도용콘크리트블록 구입</t>
  </si>
  <si>
    <t>주식회사 코단에코크리트</t>
  </si>
  <si>
    <t>김윤춘</t>
  </si>
  <si>
    <t>033-732-8835</t>
  </si>
  <si>
    <t>홍천농고 공간재구조화 증개축공사 아스팔트콘크리트 구입</t>
  </si>
  <si>
    <t>강원중부아스콘사업협동조합</t>
  </si>
  <si>
    <t>김진환</t>
  </si>
  <si>
    <t>033-255-3836</t>
  </si>
  <si>
    <t>홍천농고 공간재구조화 증개축공사 자연석경계석 구입</t>
  </si>
  <si>
    <t>수요기관 납품시 제품 및 납품서에 규격서 5.2 표시에 명시된 '3)원석의 산지 및 석종'을 명확히 표</t>
  </si>
  <si>
    <t>신영애</t>
  </si>
  <si>
    <t>033-244-5055</t>
  </si>
  <si>
    <t>홍천농고 공간재구조화 증개축공사 주철맨홀뚜껑 구입</t>
  </si>
  <si>
    <t>주식회사 엠에스산업</t>
  </si>
  <si>
    <t>김명수</t>
  </si>
  <si>
    <t>031-986-0595</t>
  </si>
  <si>
    <t>홍천농고 공간재구조화 증개축공사 PVC배관 구입</t>
  </si>
  <si>
    <t>(주)뉴보텍</t>
  </si>
  <si>
    <t>황문기</t>
  </si>
  <si>
    <t>033-734-6001</t>
  </si>
  <si>
    <t>홍천농고 유리온실 개축공사 제로에너지건축물 예비인증 용역</t>
  </si>
  <si>
    <t>강원건축물에너지평가원</t>
  </si>
  <si>
    <t>김삼철</t>
  </si>
  <si>
    <t>강원특별자치도춘천시소양강로10(후평동),비엔아이지식산업센터</t>
  </si>
  <si>
    <t>033-242-5030</t>
  </si>
  <si>
    <t>홍천농고 유리온실 개축공사 장애물 없는 생활환경 예비인증 용역</t>
  </si>
  <si>
    <t>바론B&amp;C</t>
  </si>
  <si>
    <t>최석곤</t>
  </si>
  <si>
    <t>강원특별자치도춘천시소양로190,423호(소양로1가,춘천스마트하</t>
  </si>
  <si>
    <t>033-910-2100</t>
  </si>
  <si>
    <t>홍천농고 다목적실 외 1동(미래학사) 환경개선공사 설계 용역</t>
  </si>
  <si>
    <t>주식회사 건축사사무소 바다</t>
  </si>
  <si>
    <t>김은영</t>
  </si>
  <si>
    <t>강원특별자치도춘천시삭주로212(후평동),2층</t>
  </si>
  <si>
    <t>033-257-2257</t>
  </si>
  <si>
    <t>홍천농고 공간재구조화 증개축공사 인조잔디 구입</t>
  </si>
  <si>
    <t>(주)대건씨앤엘</t>
  </si>
  <si>
    <t>최길주</t>
  </si>
  <si>
    <t>043-883-5035</t>
  </si>
  <si>
    <t>홍천농고 공간재구조화 증개축공사 체육시설탄성포장재 구입</t>
  </si>
  <si>
    <t>주식회사케이지플렉스
교육지원청</t>
  </si>
  <si>
    <t>정헌수</t>
  </si>
  <si>
    <t>033-761-7613</t>
  </si>
  <si>
    <t>홍천농고 공간재구조화 증개축공사 메시형울타리 구입</t>
  </si>
  <si>
    <t>(주) 가온</t>
  </si>
  <si>
    <t>김성길</t>
  </si>
  <si>
    <t>033-732-0656</t>
  </si>
  <si>
    <t>삼생초 외 5교(원당초, 율전초, 창촌초, 반곡초, 홍천농고) 해체계획서 작성 용역</t>
  </si>
  <si>
    <t>온(ON)구조안전기술사사무소</t>
  </si>
  <si>
    <t>정준용</t>
  </si>
  <si>
    <t>강원특별자치도춘천시소양강로10(후평동), 609호</t>
  </si>
  <si>
    <t>033-261-8856</t>
  </si>
  <si>
    <t>공사</t>
  </si>
  <si>
    <t>홍천고 교사동 외 1동(석화관) 지붕보수공사</t>
  </si>
  <si>
    <t>주식회사 주안건설</t>
  </si>
  <si>
    <t>성정선</t>
  </si>
  <si>
    <t>강원특별자치도홍천군북방면영서로3021-7,1층</t>
  </si>
  <si>
    <t>010-8726-2180</t>
  </si>
  <si>
    <t>홍천고 교사동 외 1동(석화관) 지붕보수공사 재해예방 기술지도 용역</t>
  </si>
  <si>
    <t>(주)한국안전보건기술원</t>
  </si>
  <si>
    <t>전광식</t>
  </si>
  <si>
    <t>강원특별자치도원주시태장공단길46()</t>
  </si>
  <si>
    <t>033-734-3902</t>
  </si>
  <si>
    <t>홍천고 교사동 외 1동(석화관) 지붕보수공사 폴리우레아수지도막방수재 구입</t>
  </si>
  <si>
    <t>한라케미칼 주식회사</t>
  </si>
  <si>
    <t>장현근</t>
  </si>
  <si>
    <t>033-743-7047</t>
  </si>
  <si>
    <t>[별지 제92호 서식]</t>
  </si>
  <si>
    <t>준공검사(감독)조서</t>
  </si>
  <si>
    <t>공 사 명</t>
  </si>
  <si>
    <t>준공금액</t>
  </si>
  <si>
    <t>준공금</t>
  </si>
  <si>
    <t>계약일자</t>
  </si>
  <si>
    <t>착공일자</t>
  </si>
  <si>
    <t>준공기한</t>
  </si>
  <si>
    <t>준공일자</t>
  </si>
  <si>
    <t>준공정산 여부</t>
  </si>
  <si>
    <t>정산 있음</t>
  </si>
  <si>
    <t>준공검사
일자</t>
  </si>
  <si>
    <t>참고사항</t>
  </si>
  <si>
    <t>정산 없음</t>
  </si>
  <si>
    <t xml:space="preserve"> 위 공사(용역)에 대한 감독 및 준공검사를 마쳤는 바, 공사 설계서와 도면 및 규격서(과업지시서) 기타 계약조건의 내용과 같이 준공되었기에 본 조서를 제출함.</t>
  </si>
  <si>
    <t>검사자</t>
  </si>
  <si>
    <t>(인)</t>
  </si>
  <si>
    <t>입회자</t>
  </si>
  <si>
    <t xml:space="preserve"> (분임) 경리관 귀하</t>
  </si>
  <si>
    <t>설계용역비 정산 동의서</t>
  </si>
  <si>
    <t>기안문</t>
  </si>
  <si>
    <t xml:space="preserve">1. 공   사   명 : </t>
  </si>
  <si>
    <t>2. 계   약   자:</t>
  </si>
  <si>
    <t>3. 계 약 금 액 :</t>
  </si>
  <si>
    <t>4. 정 산 금 액 :</t>
  </si>
  <si>
    <t>3. 계   약   일:</t>
  </si>
  <si>
    <t>4. 착   수   일:</t>
  </si>
  <si>
    <t>5. 납품예정일:</t>
  </si>
  <si>
    <t>6. 납   품   일:</t>
  </si>
  <si>
    <t>7. 준공정산내용</t>
  </si>
  <si>
    <t>(금액단위 :  원)</t>
  </si>
  <si>
    <t>추정
공사금액</t>
  </si>
  <si>
    <t>납품
설계금액</t>
  </si>
  <si>
    <t>추정공사비
미달금액</t>
  </si>
  <si>
    <t>정산사유 및 정산금액</t>
  </si>
  <si>
    <t>비고</t>
  </si>
  <si>
    <t>기초금액</t>
  </si>
  <si>
    <t>변경금액</t>
  </si>
  <si>
    <t>정산금액</t>
  </si>
  <si>
    <t xml:space="preserve">대표  </t>
  </si>
  <si>
    <t>감리용역검수조서</t>
  </si>
  <si>
    <t>착수일자</t>
  </si>
  <si>
    <t>납품기한</t>
  </si>
  <si>
    <t>최종감리    보고서제출</t>
  </si>
  <si>
    <t>검사일</t>
  </si>
  <si>
    <t xml:space="preserve"> 위 감리용역에 대한 감독 및 검수를 마쳤는 바, 설계서와 도면 및 규격서 기타 계약조건의 내용과 같이 완료되었기에 본 조서를 제출함.</t>
  </si>
  <si>
    <t>검수자</t>
  </si>
  <si>
    <t xml:space="preserve"> (분임) 재무관 귀하</t>
  </si>
  <si>
    <t>기성부분검사(감독)조서</t>
  </si>
  <si>
    <t>기성부분
준공금액</t>
  </si>
  <si>
    <t>부분준공일자</t>
  </si>
  <si>
    <t>기성부분준공금</t>
  </si>
  <si>
    <t>기 지급액(선금등)</t>
  </si>
  <si>
    <t>기성검사
일자</t>
  </si>
  <si>
    <t>작성→</t>
  </si>
  <si>
    <t xml:space="preserve">  위 공사(용역)에 대한 감독 및 기성부분 준공검사를 마쳤는바 공사 설계서와 도면 및 규격서(과업지시서), 기타 계약조건의 내용과 같이 준공되었기에 본 조서를 제출함.</t>
  </si>
  <si>
    <t xml:space="preserve">            (분임) 재무관 귀하</t>
  </si>
  <si>
    <t>설계변경 동의서</t>
  </si>
  <si>
    <t>도급자</t>
  </si>
  <si>
    <t>준공예정일</t>
  </si>
  <si>
    <t>증액금액 입력!</t>
  </si>
  <si>
    <t>증 액</t>
  </si>
  <si>
    <t xml:space="preserve"> 귀청과 계약 체결하여 진행중인 위 용역의 설계변경에 대하여 다음과 같이 동의합니다.</t>
  </si>
  <si>
    <t>상호:</t>
  </si>
  <si>
    <t>대표:</t>
  </si>
  <si>
    <t>물 품 검 사 (수) 조 서</t>
  </si>
  <si>
    <t>계약건명</t>
  </si>
  <si>
    <t>납품자</t>
  </si>
  <si>
    <t>상 호</t>
  </si>
  <si>
    <t>성 명</t>
  </si>
  <si>
    <t>계약체결 년월일</t>
  </si>
  <si>
    <t>납품년월일</t>
  </si>
  <si>
    <t>검사(수)년월일</t>
  </si>
  <si>
    <t>검사(수)장소</t>
  </si>
  <si>
    <t>물품관리시스템
등록대상구분</t>
  </si>
  <si>
    <t>비대상( ■ ), 대상( 등록 □, 미등록 □ )</t>
  </si>
  <si>
    <t>물품출납부
등 재</t>
  </si>
  <si>
    <t xml:space="preserve">   위와 같이 검사(수) 하였음</t>
  </si>
  <si>
    <t>물  품
출납원</t>
  </si>
  <si>
    <t xml:space="preserve"> 성명</t>
  </si>
  <si>
    <t>분임물품
출 납 원</t>
  </si>
  <si>
    <t>성명</t>
  </si>
  <si>
    <t>물 품 검 수 내 역 서</t>
  </si>
  <si>
    <t>품    명</t>
  </si>
  <si>
    <t>규    격</t>
  </si>
  <si>
    <t>단 위</t>
  </si>
  <si>
    <t>계 약 금 액</t>
  </si>
  <si>
    <t>계 약
수 량</t>
  </si>
  <si>
    <t>전  회
납품수량</t>
  </si>
  <si>
    <t>금회
검수량</t>
  </si>
  <si>
    <t>미납량</t>
  </si>
  <si>
    <t>상업용주방후드</t>
  </si>
  <si>
    <t>상업용주방후드, 벤티웰, VTSL-1815-3-8, 이중박스형/방습등/필터, 1800×1500×800mm</t>
  </si>
  <si>
    <t>대</t>
  </si>
  <si>
    <t>"--- name: napkum-mulpum-geomsu description: 조달청 분할납품요구서 PDF를 읽어 '물품검수조서' 시트의 물품검수내역서(34행~)에 품명·규격·단위·계약금액·계약수량·금회검수량을 자동 입력. PDF 납품요구서를 검수조서에 채워달라고 할 때 사용. --- ## When to use 사용자가 조달청 **분할납품요구서(또는 납품요구서) PDF**를 올리고, 그 내용을 **물품검수조서** 시트의 물품검수내역서에 채워달라고 할 때 사용한다. 품명·규격·단위·계약금액·계약수량·금회검수량을 자동 입력한다. 항목(순번)이 여러 개일 수 있다. ## 입력 위치 (물품검수조서 시트, 물품검수내역서 영역) 헤더는 33행, 데이터는 **34행부터** 한 항목당 한 행: - B열 = 품명 - C열 = 규격 - F열 = 단위 - G열 = 계약금액 - I열 = 계약수량 - L열 = 금회검수량 - M열 = 미납량 → 직접 입력하지 말고 수식 `=I{행}-K{행}-L{행}` 으로 (K열=전회납품수량) - K열(전회납품수량)은 PDF에 없으면 비워둠 합계행은 44행(예: G44=SUM(G34:H43))이며 이미 수식이 들어있으므로 건드리지 않는다. ## 단계 1. **PDF 텍스트 추출.** code_execution 컨테이너에서 PyMuPDF로 읽는다 (pdfplumber/pypdf는 이 환경에서 import 오류가 날 수 있으니 fitz 사용). bash로 INPUT_DIR에서 파일을 찾아 실행: cd "$INPUT_DIR" &amp;&amp; python3 -c "import fitz,glob; d=fitz.open(glob.glob('*.pdf')[0]); print('\n'.join(d[i].get_text() for i in range(d.page_count)))" Done when: 품목 표(순번/품명/단위/단가/수량/규격/금액)가 텍스트로 보인다. 2. **항목 파싱.** 품목 표에서 순번별로 추출: - 품명 (예: 인조잔디) - 규격 (여러 줄로 쪼개져 있으면 한 줄로 합침. 예: "인조잔디, 대건씨앤엘, Wellgreen 55, t55mm, 충전재") - 단위 (예: ㎡) - 금액 = 계약금액 (그 품목의 금액 열. 예: 102,030,000) - 수량 = 계약수량 (예: 1,790). **금회검수량 = 계약수량과 동일하게** 입력 (분할납품 1차 전량검수 가정). 사용자가 다르게 지정하면 그 값 사용. Done when: 각 항목의 6개 값이 확정된다. 3. **빈 행 확인.** get_cell_ranges로 B34:B43을 읽어 이미 입력된 행이 있는지 확인하고, 다음 빈 행부터 채운다. 여러 항목이면 연속 행에 차례로. Done when: 시작 행이 정해진다. 4. **set_cell_range로 입력.** 각 항목 행에 B=품명, C=규격, F=단위, G=계약금액(숫자), I=계약수량(숫자), L=금회검수량(숫자), M=`=I{행}-K{행}-L{행}`. 금액·수량은 숫자로 입력(쉼표 없이) — 셀 서식이 천단위/소수 표시를 처리한다. Done when: formula_results에서 M열이 0(또는 미납분)으로 계산됨. 5. **검증.** G44 합계가 입력 금액 총합과 맞는지 확인하고, 입력한 항목을 표로 사용자에게 보고. ## 주의 - 금액/수량 셀에는 천단위 쉼표 없는 순수 숫자만 넣는다 (예: 102030000, 1790). - 규격이 PDF에서 줄바꿈으로 분리돼 있어도 쉼표로 이어 한 셀에 넣는다. - 헤더(33행)와 합계행(44행) 수식은 절대 덮어쓰지 않는다. - B34에 기존 데이터가 있으면 사용자에게 덮어쓸지/다음 행에 추가할지 확인.</t>
  </si>
  <si>
    <t>상업용주방후드, 벤티웰, VTST-1509-3-11, 이중박스형/방습등/필터, 1500×900×1100mm</t>
  </si>
  <si>
    <t>상업용주방후드, 벤티웰, VTTS-1815-5, (부품)후드연장커버, 크기:1800×1500×500mm</t>
  </si>
  <si>
    <t>상업용주방후드, 벤티웰, VTTS-1212-5, (부품)후드연장커버, 크기:1200×1200×500mm</t>
  </si>
  <si>
    <t>상업용주방후드, 벤티웰, VTTS-1510-3, (부품)후드연장커버, 크기:1500×1000×300mm</t>
  </si>
  <si>
    <t xml:space="preserve"> 클로드 스킬 사용(분할납품요구서 첨부 후 붙혀넣기)</t>
  </si>
  <si>
    <t>상업용주방후드, 벤티웰, VTTS-1509-5, (부품)후드연장커버, 크기:1500×900×500mm</t>
  </si>
  <si>
    <t>"--- name: napkum-mulpum-geomsu description: 조달청 분할납품요구서 PDF를 읽어 '물품검수조서' 시트의 물품검수내역서(34행~)에 품명·규격·단위·계약금액·계약수량·금회검수량을 자동 입력. PDF 납품요구서를 검수조서에 채워달라고 할 때 사용. --- ## When to use 사용자가 조달청 **분할납품요구서(또는 납품요구서) PDF**를 올리고, 그 내용을 **물품검수조서** 시트의 물품검수내역서에 채워달라고 할 때 사용한다. 품명·규격·단위·계약금액·계약수량·금회검수량을 자동 입력한다. 항목(순번)이 여러 개일 수 있다. ## 입력 위치 (물품검수조서 시트, 물품검수내역서 영역) 헤더는 33행, 데이터는 **34행부터** 한 항목당 한 행: - B열 = 품명 - C열 = 규격 - F열 = 단위 - G열 = 계약금액 - I열 = 계약수량 - L열 = 금회검수량 - M열 = 미납량 → 직접 입력하지 말고 수식 `=I{행}-K{행}-L{행}` 으로 (K열=전회납품수량) - K열(전회납품수량)은 PDF에 없으면 비워둠 합계행은 44행(예: G44=SUM(G34:H43))이며 이미 수식이 들어있으므로 건드리지 않는다. ## 단계 1. **PDF 텍스트 추출.** code_execution 컨테이너에서 PyMuPDF로 읽는다 (pdfplumber/pypdf는 이 환경에서 import 오류가 날 수 있으니 fitz 사용). bash로 INPUT_DIR에서 파일을 찾아 실행: cd "$INPUT_DIR" &amp;&amp; python3 -c "import fitz,glob; d=fitz.open(glob.glob('*.pdf')[0]); print('\n'.join(d[i].get_text() for i in range(d.page_count)))" Done when: 품목 표(순번/품명/단위/단가/수량/규격/금액)가 텍스트로 보인다. 2. **항목 파싱.** 품목 표에서 순번별로 추출: - 품명 (예: 인조잔디) - 규격 (여러 줄로 쪼개져 있으면 한 줄로 합침. 예: "인조잔디, 대건씨앤엘, Wellgreen 55, t55mm, 충전재") - 단위 (예: ㎡) - 금액 = 계약금액 (그 품목의 금액 열. 예: 102,030,000) - 수량 = 계약수량 (예: 1,790). **금회검수량 = 계약수량과 동일하게** 입력 (분할납품 1차 전량검수 가정). 사용자가 다르게 지정하면 그 값 사용. Done when: 각 항목의 6개 값이 확정된다. 3. **빈 행 확인.** get_cell_ranges로 B34:B43을 읽어 이미 입력된 행이 있는지 확인하고, 다음 빈 행부터 채운다. 여러 항목이면 연속 행에 차례로. Done when: 시작 행이 정해진다. 4. **set_cell_range로 입력.** 각 항목 행에 B=품명, C=규격, F=단위, G=계약금액(숫자), I=계약수량(숫자), L=금회검수량(숫자), M=`=I{행}-K{행}-L{행}`. 금액·수량은 숫자로 입력(쉼표 없이) — 셀 서식이 천단위/소수 표시를 처리한다. Done when: formula_results에서 M열이 0(또는 미납분)으로 계산됨. 5. **검증.** G44 합계가 입력 금액 총합과 맞는지 확인하고, 입력한 항목을 표로 사용자에게 보고. ## 주의 - 금액/수량 셀에는 천단위 쉼표 없는 순수 숫자만 넣는다 (예: 102030000, 1790). - 규격이 PDF에서 줄바꿈으로 분리돼 있어도 쉼표로 이어 한 셀에 넣는다. - 헤더(33행)와 합계행(44행) 수식은 절대 덮어쓰지 않는다. - B34에 기존 데이터가 있으면 사용자에게 덮어쓸지/다음 행에 추가할지 확인."</t>
  </si>
  <si>
    <t>상업용주방후드, 벤티웰, VTTS-0909-1, (부품)후드연장커버, 크기:900×900×100mm</t>
  </si>
  <si>
    <t>상업용주방후드, 벤티웰, VTSL-1510-6, 이중박스형/방습등/필터, 1500×1000×600mm</t>
  </si>
  <si>
    <t>상업용주방후드, 벤티웰, VTBXF-1212-6, 박스형, 1200×1200×600mm</t>
  </si>
  <si>
    <t>상업용주방후드, 벤티웰, VTBXF-0909-6, 박스형, 900×900×600mm</t>
  </si>
  <si>
    <t>합            계</t>
  </si>
  <si>
    <t>용역 검수(감독)조서</t>
  </si>
  <si>
    <t>용역명</t>
  </si>
  <si>
    <t>검수금액</t>
  </si>
  <si>
    <t>납품일자</t>
  </si>
  <si>
    <t xml:space="preserve"> 위 용역에 대한 감독 및 납품검사를 마쳤는 바 기타 계약 조건의 내용과 같이 완료되었기에 본 조서를 제출함.</t>
  </si>
  <si>
    <t xml:space="preserve">                                       지방시설주사보 양 해 수  (인)</t>
  </si>
  <si>
    <t xml:space="preserve">                                         지방시설서기 계 광 훈  (인)</t>
  </si>
  <si>
    <t xml:space="preserve">        (분임) 재무관 귀하</t>
  </si>
  <si>
    <t>준 공 정 산 동 의 서</t>
  </si>
  <si>
    <t>기안문(붙혀넣기 ctrl+alt+v)</t>
  </si>
  <si>
    <t>정산금액 입력!!</t>
  </si>
  <si>
    <t>증감액</t>
  </si>
  <si>
    <t>공문에다가 ctrl + alt + v → 텍스트문서클릭 → 확인 클릭!</t>
  </si>
  <si>
    <t xml:space="preserve"> 귀청과 계약 체결하여 준공한 위 공사에 대하여 준공정산으로 인한 계약금액이 감소함에 있어 이의없음을 동의하며, 또한 도급시행에 있어서 공사전반에 걸쳐 향후 각종 문제 등이 발생될 경우 하자담보책임기간 전·후를 막론하고 민·형사상의 모든 책임을 지는 것은 물론 실액 변상 또는 재시공 등 귀청에서 지시하는 내용대로 도급(시공)자로서 성실히 이행할 것을 서약하고 이에 본 동의서를 제출합니다.</t>
  </si>
  <si>
    <t>1. 관련</t>
  </si>
  <si>
    <t xml:space="preserve">  가. 학교지원센터-7288(2024. 11. 12.) "2025년 공립학교 학교시설 유지관리 외주용역 추진계획(안)"</t>
  </si>
  <si>
    <t xml:space="preserve">  나. 학교지원센터-7410(2024. 11. 19.) "용역발주(2025년 공립학교 전기안전관리 용역)"</t>
  </si>
  <si>
    <t xml:space="preserve">  마. 예산과목: 시설사업운영, 학교시설통합유지관리운영, 용역사업비, 시설물용역사업 (12개분야) 210-13</t>
  </si>
  <si>
    <t>직급</t>
  </si>
  <si>
    <t>소속</t>
  </si>
  <si>
    <t>강원특별자치도홍천</t>
  </si>
  <si>
    <t>계장님</t>
  </si>
  <si>
    <t>지방시설주사</t>
  </si>
  <si>
    <t>김종인</t>
  </si>
  <si>
    <t>실무자</t>
  </si>
  <si>
    <t>지방시설주사보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</si>
</sst>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1" formatCode="_-* #,##0_-;\-* #,##0_-;_-* &quot;-&quot;_-;_-@_-"/>
    <numFmt numFmtId="176" formatCode="#,##0;[Red]&quot;△&quot;#,##0"/>
    <numFmt numFmtId="177" formatCode="#&quot;담당&quot;"/>
    <numFmt numFmtId="178" formatCode="_-* #,##0.0_-;\-* #,##0.0_-;_-* &quot;-&quot;_-;_-@_-"/>
    <numFmt numFmtId="179" formatCode="#&quot;권&quot;&quot;역&quot;"/>
    <numFmt numFmtId="180" formatCode="#,##0_ "/>
    <numFmt numFmtId="181" formatCode="yyyy&quot;년&quot;\ m&quot;월&quot;\ d&quot;일&quot;;@"/>
    <numFmt numFmtId="182" formatCode="0_ "/>
    <numFmt numFmtId="183" formatCode="0_);[Red]\(0\)"/>
    <numFmt numFmtId="184" formatCode="yyyy&quot;년&quot;\ mm&quot;월&quot;\ dd&quot;일&quot;;@"/>
    <numFmt numFmtId="185" formatCode="#,##0_);[Red]\(#,##0\)"/>
    <numFmt numFmtId="186" formatCode="#,##0.0_);[Red]\(#,##0.0\)"/>
    <numFmt numFmtId="187" formatCode="#,##0.000_);[Red]\(#,##0.000\)"/>
    <numFmt numFmtId="188" formatCode="#,##0.00_);[Red]\(#,##0.00\)"/>
    <numFmt numFmtId="189" formatCode="yyyy&quot;년&quot;\ \ m&quot;월&quot;\ \ \ d&quot;일&quot;;@"/>
    <numFmt numFmtId="190" formatCode="yyyy&quot;년&quot;\ \ mm&quot;월&quot;\ \ dd&quot;일&quot;;@"/>
    <numFmt numFmtId="191" formatCode="#,##0;[Red]#,##0"/>
    <numFmt numFmtId="192" formatCode="yyyy\.\ mm\.\ dd\."/>
    <numFmt numFmtId="193" formatCode="[$-F800]dddd\,\ mmmm\ dd\,\ yyyy"/>
    <numFmt numFmtId="194" formatCode="yyyy&quot;년&quot;\ \ m&quot;월&quot;\ \ d&quot;일&quot;;@"/>
    <numFmt numFmtId="195" formatCode="&quot;(\&quot;#,##0&quot;-)&quot;"/>
    <numFmt numFmtId="196" formatCode="&quot;금&quot;#,##0&quot;원&quot;"/>
    <numFmt numFmtId="197" formatCode="aaaa"/>
    <numFmt numFmtId="198" formatCode="d"/>
  </numFmts>
  <fonts count="94">
    <font>
      <sz val="11"/>
      <color theme="1"/>
      <name val="맑은 고딕"/>
      <family val="2"/>
      <charset val="129"/>
      <scheme val="minor"/>
    </font>
    <font>
      <sz val="11"/>
      <color indexed="8"/>
      <name val="맑은 고딕"/>
      <family val="3"/>
      <charset val="129"/>
    </font>
    <font>
      <sz val="12.5"/>
      <color indexed="8"/>
      <name val="굴림체"/>
      <family val="3"/>
      <charset val="129"/>
    </font>
    <font>
      <sz val="8"/>
      <name val="맑은 고딕"/>
      <family val="2"/>
      <charset val="129"/>
      <scheme val="minor"/>
    </font>
    <font>
      <sz val="20"/>
      <color indexed="8"/>
      <name val="HY헤드라인M"/>
      <family val="1"/>
      <charset val="129"/>
    </font>
    <font>
      <sz val="13"/>
      <color indexed="8"/>
      <name val="굴림체"/>
      <family val="3"/>
      <charset val="129"/>
    </font>
    <font>
      <sz val="11"/>
      <color indexed="8"/>
      <name val="굴림체"/>
      <family val="3"/>
      <charset val="129"/>
    </font>
    <font>
      <sz val="12"/>
      <color indexed="8"/>
      <name val="굴림체"/>
      <family val="3"/>
      <charset val="129"/>
    </font>
    <font>
      <sz val="11"/>
      <name val="돋움"/>
      <family val="3"/>
      <charset val="129"/>
    </font>
    <font>
      <sz val="11"/>
      <name val="새굴림"/>
      <family val="1"/>
      <charset val="129"/>
    </font>
    <font>
      <sz val="20"/>
      <name val="HY헤드라인M"/>
      <family val="1"/>
      <charset val="129"/>
    </font>
    <font>
      <sz val="14"/>
      <name val="새굴림"/>
      <family val="1"/>
      <charset val="129"/>
    </font>
    <font>
      <b/>
      <u/>
      <sz val="15"/>
      <color indexed="8"/>
      <name val="굴림체"/>
      <family val="3"/>
      <charset val="129"/>
    </font>
    <font>
      <sz val="11"/>
      <color indexed="8"/>
      <name val="휴먼명조"/>
      <family val="3"/>
      <charset val="129"/>
    </font>
    <font>
      <sz val="13"/>
      <color indexed="8"/>
      <name val="HY헤드라인M"/>
      <family val="1"/>
      <charset val="129"/>
    </font>
    <font>
      <sz val="11"/>
      <name val="맑은 고딕"/>
      <family val="3"/>
      <charset val="129"/>
    </font>
    <font>
      <b/>
      <sz val="18"/>
      <name val="맑은 고딕"/>
      <family val="3"/>
      <charset val="129"/>
    </font>
    <font>
      <sz val="10"/>
      <name val="맑은 고딕"/>
      <family val="3"/>
      <charset val="129"/>
    </font>
    <font>
      <sz val="11"/>
      <name val="굴림체"/>
      <family val="3"/>
      <charset val="129"/>
    </font>
    <font>
      <sz val="13"/>
      <name val="굴림체"/>
      <family val="3"/>
      <charset val="129"/>
    </font>
    <font>
      <sz val="12"/>
      <name val="굴림체"/>
      <family val="3"/>
      <charset val="129"/>
    </font>
    <font>
      <sz val="11.5"/>
      <name val="굴림체"/>
      <family val="3"/>
      <charset val="129"/>
    </font>
    <font>
      <sz val="11"/>
      <color indexed="9"/>
      <name val="굴림체"/>
      <family val="3"/>
      <charset val="129"/>
    </font>
    <font>
      <b/>
      <sz val="26"/>
      <name val="HY헤드라인M"/>
      <family val="1"/>
      <charset val="129"/>
    </font>
    <font>
      <sz val="11"/>
      <color theme="1"/>
      <name val="맑은 고딕"/>
      <family val="2"/>
      <charset val="129"/>
      <scheme val="minor"/>
    </font>
    <font>
      <sz val="11"/>
      <name val="맑은 고딕"/>
      <family val="3"/>
      <charset val="129"/>
      <scheme val="major"/>
    </font>
    <font>
      <sz val="11"/>
      <color theme="1"/>
      <name val="맑은 고딕"/>
      <family val="3"/>
      <charset val="129"/>
      <scheme val="minor"/>
    </font>
    <font>
      <b/>
      <sz val="22"/>
      <name val="휴먼명조"/>
      <family val="3"/>
      <charset val="129"/>
    </font>
    <font>
      <b/>
      <sz val="16"/>
      <name val="휴먼명조"/>
      <family val="3"/>
      <charset val="129"/>
    </font>
    <font>
      <sz val="12"/>
      <name val="휴먼명조"/>
      <family val="3"/>
      <charset val="129"/>
    </font>
    <font>
      <sz val="11"/>
      <name val="휴먼명조"/>
      <family val="3"/>
      <charset val="129"/>
    </font>
    <font>
      <b/>
      <sz val="12"/>
      <name val="휴먼명조"/>
      <family val="3"/>
      <charset val="129"/>
    </font>
    <font>
      <b/>
      <sz val="11"/>
      <name val="휴먼명조"/>
      <family val="3"/>
      <charset val="129"/>
    </font>
    <font>
      <b/>
      <sz val="12"/>
      <color indexed="10"/>
      <name val="휴먼명조"/>
      <family val="3"/>
      <charset val="129"/>
    </font>
    <font>
      <sz val="11"/>
      <color theme="1"/>
      <name val="휴먼명조"/>
      <family val="3"/>
      <charset val="129"/>
    </font>
    <font>
      <sz val="13"/>
      <name val="새굴림"/>
      <family val="1"/>
      <charset val="129"/>
    </font>
    <font>
      <sz val="13"/>
      <color rgb="FF000000"/>
      <name val="굴림체"/>
      <family val="3"/>
      <charset val="129"/>
    </font>
    <font>
      <sz val="12"/>
      <name val="새굴림"/>
      <family val="1"/>
      <charset val="129"/>
    </font>
    <font>
      <sz val="11"/>
      <color indexed="9"/>
      <name val="새굴림"/>
      <family val="1"/>
      <charset val="129"/>
    </font>
    <font>
      <sz val="15"/>
      <name val="HY헤드라인M"/>
      <family val="1"/>
      <charset val="129"/>
    </font>
    <font>
      <b/>
      <sz val="13"/>
      <name val="맑은 고딕"/>
      <family val="3"/>
      <charset val="129"/>
    </font>
    <font>
      <sz val="10"/>
      <color theme="1" tint="0.1498764000366222"/>
      <name val="맑은 고딕"/>
      <family val="2"/>
      <scheme val="minor"/>
    </font>
    <font>
      <sz val="19"/>
      <color theme="1" tint="0.1498764000366222"/>
      <name val="맑은 고딕"/>
      <family val="2"/>
      <scheme val="minor"/>
    </font>
    <font>
      <b/>
      <sz val="55"/>
      <color theme="4"/>
      <name val="맑은 고딕"/>
      <family val="2"/>
      <scheme val="minor"/>
    </font>
    <font>
      <sz val="10"/>
      <color theme="4"/>
      <name val="맑은 고딕"/>
      <family val="2"/>
      <scheme val="minor"/>
    </font>
    <font>
      <sz val="12"/>
      <color theme="1" tint="0.1498764000366222"/>
      <name val="맑은 고딕"/>
      <family val="2"/>
      <scheme val="minor"/>
    </font>
    <font>
      <sz val="11"/>
      <color theme="1"/>
      <name val="맑은 고딕"/>
      <family val="2"/>
      <scheme val="minor"/>
    </font>
    <font>
      <sz val="21"/>
      <color rgb="FF000000"/>
      <name val="HY헤드라인M"/>
      <family val="1"/>
      <charset val="129"/>
    </font>
    <font>
      <sz val="22"/>
      <color rgb="FF000000"/>
      <name val="HY헤드라인M"/>
      <family val="1"/>
      <charset val="129"/>
    </font>
    <font>
      <sz val="20"/>
      <color rgb="FF000000"/>
      <name val="HY헤드라인M"/>
      <family val="1"/>
      <charset val="129"/>
    </font>
    <font>
      <sz val="9"/>
      <color indexed="8"/>
      <name val="굴림체"/>
      <family val="3"/>
      <charset val="129"/>
    </font>
    <font>
      <b/>
      <sz val="12"/>
      <color theme="1"/>
      <name val="HY견고딕"/>
      <family val="1"/>
      <charset val="129"/>
    </font>
    <font>
      <strike/>
      <sz val="11"/>
      <name val="맑은 고딕"/>
      <family val="3"/>
      <charset val="129"/>
    </font>
    <font>
      <strike/>
      <sz val="10"/>
      <name val="맑은 고딕"/>
      <family val="3"/>
      <charset val="129"/>
    </font>
    <font>
      <sz val="12.5"/>
      <color indexed="8"/>
      <name val="휴먼명조"/>
      <family val="3"/>
      <charset val="129"/>
    </font>
    <font>
      <sz val="12"/>
      <color indexed="8"/>
      <name val="휴먼명조"/>
      <family val="3"/>
      <charset val="129"/>
    </font>
    <font>
      <sz val="11"/>
      <color indexed="8"/>
      <name val="휴먼명조"/>
      <family val="3"/>
      <charset val="129"/>
    </font>
    <font>
      <sz val="13"/>
      <color indexed="8"/>
      <name val="휴먼명조"/>
      <family val="3"/>
      <charset val="129"/>
    </font>
    <font>
      <sz val="13"/>
      <name val="휴먼명조"/>
      <family val="3"/>
      <charset val="129"/>
    </font>
    <font>
      <b/>
      <sz val="13"/>
      <color indexed="8"/>
      <name val="휴먼명조"/>
      <family val="3"/>
      <charset val="129"/>
    </font>
    <font>
      <sz val="11"/>
      <color indexed="8"/>
      <name val="맑은 고딕"/>
      <family val="3"/>
      <charset val="129"/>
      <scheme val="minor"/>
    </font>
    <font>
      <b/>
      <u/>
      <sz val="20"/>
      <color indexed="8"/>
      <name val="바탕체"/>
      <family val="1"/>
      <charset val="129"/>
    </font>
    <font>
      <sz val="14"/>
      <color indexed="8"/>
      <name val="휴먼명조"/>
      <family val="3"/>
      <charset val="129"/>
    </font>
    <font>
      <b/>
      <sz val="24"/>
      <color indexed="8"/>
      <name val="바탕채"/>
      <family val="1"/>
      <charset val="129"/>
    </font>
    <font>
      <sz val="13"/>
      <name val="휴먼명조"/>
      <family val="3"/>
      <charset val="129"/>
    </font>
    <font>
      <sz val="13"/>
      <color indexed="8"/>
      <name val="맑은 고딕"/>
      <family val="3"/>
      <charset val="129"/>
      <scheme val="major"/>
    </font>
    <font>
      <sz val="9"/>
      <color indexed="8"/>
      <name val="굴림체"/>
      <family val="2"/>
    </font>
    <font>
      <sz val="9"/>
      <color theme="1"/>
      <name val="굴림체"/>
      <family val="3"/>
      <charset val="129"/>
    </font>
    <font>
      <sz val="11"/>
      <color rgb="FFFF0000"/>
      <name val="맑은 고딕"/>
      <family val="3"/>
      <charset val="129"/>
      <scheme val="major"/>
    </font>
    <font>
      <sz val="12"/>
      <color indexed="8"/>
      <name val="휴먼명조"/>
      <charset val="129"/>
    </font>
    <font>
      <sz val="13"/>
      <color indexed="8"/>
      <name val="휴먼명조"/>
      <charset val="129"/>
    </font>
    <font>
      <sz val="13"/>
      <color rgb="FF000000"/>
      <name val="휴먼명조"/>
      <charset val="129"/>
    </font>
    <font>
      <b/>
      <sz val="13"/>
      <color indexed="8"/>
      <name val="휴먼명조"/>
      <charset val="129"/>
    </font>
    <font>
      <sz val="9"/>
      <name val="굴림"/>
      <family val="3"/>
      <charset val="129"/>
    </font>
    <font>
      <sz val="12"/>
      <color theme="1"/>
      <name val="맑은 고딕"/>
      <family val="3"/>
      <charset val="129"/>
      <scheme val="minor"/>
    </font>
    <font>
      <strike/>
      <sz val="10"/>
      <color rgb="FFFF0000"/>
      <name val="맑은 고딕"/>
      <family val="3"/>
      <charset val="129"/>
    </font>
    <font>
      <sz val="10"/>
      <color rgb="FFFF0000"/>
      <name val="맑은 고딕"/>
      <family val="3"/>
      <charset val="129"/>
    </font>
    <font>
      <b/>
      <sz val="16"/>
      <color indexed="8"/>
      <name val="휴먼명조"/>
      <family val="3"/>
      <charset val="129"/>
    </font>
    <font>
      <sz val="11"/>
      <color theme="0"/>
      <name val="맑은 고딕"/>
      <family val="3"/>
      <charset val="129"/>
    </font>
    <font>
      <sz val="12"/>
      <name val="맑은 고딕"/>
      <family val="3"/>
      <charset val="129"/>
      <scheme val="minor"/>
    </font>
    <font>
      <b/>
      <sz val="14"/>
      <color theme="1"/>
      <name val="맑은 고딕"/>
      <family val="3"/>
      <charset val="129"/>
      <scheme val="minor"/>
    </font>
    <font>
      <b/>
      <sz val="11"/>
      <name val="새굴림"/>
      <family val="1"/>
      <charset val="129"/>
    </font>
    <font>
      <b/>
      <sz val="16"/>
      <name val="새굴림"/>
      <family val="1"/>
      <charset val="129"/>
    </font>
    <font>
      <b/>
      <sz val="11"/>
      <color indexed="8"/>
      <name val="굴림체"/>
      <family val="3"/>
      <charset val="129"/>
    </font>
    <font>
      <b/>
      <sz val="22"/>
      <color theme="1"/>
      <name val="맑은 고딕"/>
      <family val="3"/>
      <charset val="129"/>
      <scheme val="major"/>
    </font>
    <font>
      <sz val="11"/>
      <color theme="1"/>
      <name val="굴림"/>
      <family val="3"/>
      <charset val="129"/>
    </font>
    <font>
      <sz val="11"/>
      <color theme="1"/>
      <name val="맑은 고딕"/>
      <family val="3"/>
      <charset val="129"/>
      <scheme val="major"/>
    </font>
    <font>
      <b/>
      <sz val="11"/>
      <color theme="1"/>
      <name val="맑은 고딕"/>
      <family val="3"/>
      <charset val="129"/>
      <scheme val="major"/>
    </font>
    <font>
      <sz val="9"/>
      <color theme="1"/>
      <name val="맑은 고딕"/>
      <family val="3"/>
      <charset val="129"/>
      <scheme val="minor"/>
    </font>
    <font>
      <sz val="9"/>
      <color theme="1"/>
      <name val="나눔고딕"/>
      <family val="3"/>
      <charset val="129"/>
    </font>
    <font>
      <sz val="10"/>
      <name val="맑은 고딕"/>
      <family val="3"/>
      <charset val="129"/>
      <scheme val="major"/>
    </font>
    <font>
      <b/>
      <sz val="11"/>
      <name val="맑은 고딕"/>
      <family val="3"/>
      <charset val="129"/>
      <scheme val="major"/>
    </font>
    <font>
      <sz val="12"/>
      <color indexed="8"/>
      <name val="맑은 고딕"/>
      <family val="3"/>
      <charset val="129"/>
      <scheme val="major"/>
    </font>
    <font>
      <b/>
      <sz val="12.5"/>
      <color indexed="8"/>
      <name val="굴림체"/>
      <family val="3"/>
      <charset val="129"/>
    </font>
  </fonts>
  <fills count="14">
    <fill>
      <patternFill patternType="none"/>
    </fill>
    <fill>
      <patternFill patternType="gray125"/>
    </fill>
    <fill>
      <patternFill patternType="solid">
        <fgColor rgb="FFFFFFFF"/>
        <bgColor indexed="64"/>
      </patternFill>
    </fill>
    <fill>
      <patternFill patternType="solid">
        <fgColor rgb="FFDDD9C4"/>
        <bgColor indexed="64"/>
      </patternFill>
    </fill>
    <fill>
      <patternFill patternType="solid">
        <fgColor rgb="FFFFFF00"/>
        <bgColor indexed="64"/>
      </patternFill>
    </fill>
    <fill>
      <patternFill patternType="solid">
        <fgColor rgb="FFFF0000"/>
        <bgColor indexed="64"/>
      </patternFill>
    </fill>
    <fill>
      <patternFill patternType="solid">
        <fgColor rgb="FFDCE6F1"/>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F0"/>
        <bgColor indexed="64"/>
      </patternFill>
    </fill>
    <fill>
      <patternFill patternType="solid">
        <fgColor theme="7" tint="0.59999389629810485"/>
        <bgColor indexed="64"/>
      </patternFill>
    </fill>
    <fill>
      <patternFill patternType="solid">
        <fgColor theme="2" tint="-9.9978637043366805E-2"/>
        <bgColor indexed="64"/>
      </patternFill>
    </fill>
  </fills>
  <borders count="119">
    <border>
      <left/>
      <right/>
      <top/>
      <bottom/>
      <diagonal/>
    </border>
    <border>
      <left style="medium">
        <color auto="1"/>
      </left>
      <right style="medium">
        <color auto="1"/>
      </right>
      <top style="medium">
        <color auto="1"/>
      </top>
      <bottom/>
      <diagonal/>
    </border>
    <border>
      <left/>
      <right/>
      <top/>
      <bottom style="thin">
        <color auto="1"/>
      </bottom>
      <diagonal/>
    </border>
    <border>
      <left/>
      <right style="hair">
        <color auto="1"/>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hair">
        <color auto="1"/>
      </right>
      <top style="hair">
        <color auto="1"/>
      </top>
      <bottom/>
      <diagonal/>
    </border>
    <border>
      <left/>
      <right style="thin">
        <color auto="1"/>
      </right>
      <top/>
      <bottom/>
      <diagonal/>
    </border>
    <border>
      <left style="thin">
        <color auto="1"/>
      </left>
      <right/>
      <top/>
      <bottom style="hair">
        <color auto="1"/>
      </bottom>
      <diagonal/>
    </border>
    <border>
      <left/>
      <right style="hair">
        <color auto="1"/>
      </right>
      <top/>
      <bottom style="hair">
        <color auto="1"/>
      </bottom>
      <diagonal/>
    </border>
    <border>
      <left style="hair">
        <color auto="1"/>
      </left>
      <right/>
      <top/>
      <bottom style="hair">
        <color auto="1"/>
      </bottom>
      <diagonal/>
    </border>
    <border>
      <left/>
      <right/>
      <top/>
      <bottom style="hair">
        <color auto="1"/>
      </bottom>
      <diagonal/>
    </border>
    <border>
      <left/>
      <right style="thin">
        <color auto="1"/>
      </right>
      <top/>
      <bottom style="hair">
        <color auto="1"/>
      </bottom>
      <diagonal/>
    </border>
    <border>
      <left/>
      <right/>
      <top style="hair">
        <color auto="1"/>
      </top>
      <bottom/>
      <diagonal/>
    </border>
    <border>
      <left style="thin">
        <color auto="1"/>
      </left>
      <right/>
      <top/>
      <bottom/>
      <diagonal/>
    </border>
    <border>
      <left/>
      <right style="hair">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double">
        <color auto="1"/>
      </bottom>
      <diagonal/>
    </border>
    <border>
      <left/>
      <right style="hair">
        <color auto="1"/>
      </right>
      <top style="hair">
        <color auto="1"/>
      </top>
      <bottom style="double">
        <color auto="1"/>
      </bottom>
      <diagonal/>
    </border>
    <border>
      <left style="hair">
        <color auto="1"/>
      </left>
      <right style="hair">
        <color auto="1"/>
      </right>
      <top style="hair">
        <color auto="1"/>
      </top>
      <bottom/>
      <diagonal/>
    </border>
    <border>
      <left/>
      <right/>
      <top style="double">
        <color auto="1"/>
      </top>
      <bottom/>
      <diagonal/>
    </border>
    <border>
      <left/>
      <right style="hair">
        <color auto="1"/>
      </right>
      <top/>
      <bottom style="thin">
        <color auto="1"/>
      </bottom>
      <diagonal/>
    </border>
    <border>
      <left style="hair">
        <color auto="1"/>
      </left>
      <right/>
      <top/>
      <bottom style="thin">
        <color auto="1"/>
      </bottom>
      <diagonal/>
    </border>
    <border>
      <left style="hair">
        <color auto="1"/>
      </left>
      <right style="hair">
        <color auto="1"/>
      </right>
      <top/>
      <bottom style="thin">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hair">
        <color auto="1"/>
      </left>
      <right style="thin">
        <color auto="1"/>
      </right>
      <top style="hair">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style="thin">
        <color indexed="64"/>
      </right>
      <top style="thin">
        <color indexed="64"/>
      </top>
      <bottom style="double">
        <color indexed="64"/>
      </bottom>
      <diagonal/>
    </border>
    <border>
      <left style="thin">
        <color auto="1"/>
      </left>
      <right style="hair">
        <color auto="1"/>
      </right>
      <top style="thin">
        <color auto="1"/>
      </top>
      <bottom style="double">
        <color auto="1"/>
      </bottom>
      <diagonal/>
    </border>
    <border>
      <left style="hair">
        <color auto="1"/>
      </left>
      <right style="hair">
        <color auto="1"/>
      </right>
      <top style="thin">
        <color auto="1"/>
      </top>
      <bottom style="double">
        <color auto="1"/>
      </bottom>
      <diagonal/>
    </border>
    <border>
      <left style="hair">
        <color auto="1"/>
      </left>
      <right/>
      <top style="thin">
        <color auto="1"/>
      </top>
      <bottom style="double">
        <color auto="1"/>
      </bottom>
      <diagonal/>
    </border>
    <border>
      <left/>
      <right/>
      <top style="thin">
        <color auto="1"/>
      </top>
      <bottom style="double">
        <color auto="1"/>
      </bottom>
      <diagonal/>
    </border>
    <border>
      <left/>
      <right style="hair">
        <color auto="1"/>
      </right>
      <top style="thin">
        <color auto="1"/>
      </top>
      <bottom style="double">
        <color auto="1"/>
      </bottom>
      <diagonal/>
    </border>
    <border>
      <left/>
      <right style="thin">
        <color auto="1"/>
      </right>
      <top style="thin">
        <color auto="1"/>
      </top>
      <bottom style="double">
        <color auto="1"/>
      </bottom>
      <diagonal/>
    </border>
    <border>
      <left style="hair">
        <color auto="1"/>
      </left>
      <right style="hair">
        <color auto="1"/>
      </right>
      <top style="double">
        <color auto="1"/>
      </top>
      <bottom style="hair">
        <color auto="1"/>
      </bottom>
      <diagonal/>
    </border>
    <border>
      <left style="hair">
        <color auto="1"/>
      </left>
      <right style="thin">
        <color indexed="64"/>
      </right>
      <top style="double">
        <color auto="1"/>
      </top>
      <bottom style="hair">
        <color auto="1"/>
      </bottom>
      <diagonal/>
    </border>
    <border>
      <left style="thin">
        <color auto="1"/>
      </left>
      <right style="hair">
        <color auto="1"/>
      </right>
      <top style="hair">
        <color auto="1"/>
      </top>
      <bottom style="double">
        <color auto="1"/>
      </bottom>
      <diagonal/>
    </border>
    <border>
      <left/>
      <right/>
      <top style="hair">
        <color auto="1"/>
      </top>
      <bottom style="double">
        <color auto="1"/>
      </bottom>
      <diagonal/>
    </border>
    <border>
      <left/>
      <right style="hair">
        <color auto="1"/>
      </right>
      <top style="double">
        <color auto="1"/>
      </top>
      <bottom/>
      <diagonal/>
    </border>
    <border>
      <left style="hair">
        <color auto="1"/>
      </left>
      <right style="thin">
        <color auto="1"/>
      </right>
      <top/>
      <bottom style="thin">
        <color auto="1"/>
      </bottom>
      <diagonal/>
    </border>
    <border>
      <left/>
      <right/>
      <top style="medium">
        <color auto="1"/>
      </top>
      <bottom style="thin">
        <color auto="1"/>
      </bottom>
      <diagonal/>
    </border>
    <border>
      <left/>
      <right style="medium">
        <color auto="1"/>
      </right>
      <top style="medium">
        <color auto="1"/>
      </top>
      <bottom style="medium">
        <color auto="1"/>
      </bottom>
      <diagonal/>
    </border>
    <border>
      <left/>
      <right/>
      <top style="double">
        <color auto="1"/>
      </top>
      <bottom style="hair">
        <color auto="1"/>
      </bottom>
      <diagonal/>
    </border>
    <border>
      <left/>
      <right style="hair">
        <color auto="1"/>
      </right>
      <top style="double">
        <color auto="1"/>
      </top>
      <bottom style="hair">
        <color auto="1"/>
      </bottom>
      <diagonal/>
    </border>
    <border>
      <left/>
      <right style="thin">
        <color auto="1"/>
      </right>
      <top style="medium">
        <color auto="1"/>
      </top>
      <bottom style="medium">
        <color auto="1"/>
      </bottom>
      <diagonal/>
    </border>
    <border>
      <left style="thin">
        <color auto="1"/>
      </left>
      <right style="thin">
        <color auto="1"/>
      </right>
      <top/>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double">
        <color auto="1"/>
      </top>
      <bottom style="thin">
        <color auto="1"/>
      </bottom>
      <diagonal/>
    </border>
    <border>
      <left/>
      <right style="thin">
        <color auto="1"/>
      </right>
      <top style="double">
        <color auto="1"/>
      </top>
      <bottom/>
      <diagonal/>
    </border>
    <border>
      <left style="thin">
        <color auto="1"/>
      </left>
      <right style="thin">
        <color indexed="64"/>
      </right>
      <top style="double">
        <color auto="1"/>
      </top>
      <bottom/>
      <diagonal/>
    </border>
    <border>
      <left/>
      <right style="thin">
        <color indexed="64"/>
      </right>
      <top style="double">
        <color auto="1"/>
      </top>
      <bottom/>
      <diagonal/>
    </border>
    <border>
      <left style="thin">
        <color auto="1"/>
      </left>
      <right style="hair">
        <color auto="1"/>
      </right>
      <top/>
      <bottom/>
      <diagonal/>
    </border>
    <border>
      <left style="hair">
        <color auto="1"/>
      </left>
      <right style="thin">
        <color auto="1"/>
      </right>
      <top style="hair">
        <color auto="1"/>
      </top>
      <bottom/>
      <diagonal/>
    </border>
    <border>
      <left style="hair">
        <color auto="1"/>
      </left>
      <right style="thin">
        <color auto="1"/>
      </right>
      <top/>
      <bottom style="hair">
        <color auto="1"/>
      </bottom>
      <diagonal/>
    </border>
    <border>
      <left style="thin">
        <color auto="1"/>
      </left>
      <right style="thin">
        <color auto="1"/>
      </right>
      <top style="hair">
        <color auto="1"/>
      </top>
      <bottom/>
      <diagonal/>
    </border>
    <border>
      <left style="hair">
        <color auto="1"/>
      </left>
      <right style="thin">
        <color auto="1"/>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double">
        <color indexed="64"/>
      </bottom>
      <diagonal/>
    </border>
    <border>
      <left style="thick">
        <color rgb="FFFF0000"/>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n">
        <color auto="1"/>
      </bottom>
      <diagonal/>
    </border>
    <border>
      <left style="thick">
        <color rgb="FFFF0000"/>
      </left>
      <right style="thick">
        <color rgb="FFFF0000"/>
      </right>
      <top style="thin">
        <color auto="1"/>
      </top>
      <bottom style="thin">
        <color auto="1"/>
      </bottom>
      <diagonal/>
    </border>
    <border>
      <left style="thick">
        <color rgb="FFFF0000"/>
      </left>
      <right style="thick">
        <color rgb="FFFF0000"/>
      </right>
      <top style="thin">
        <color auto="1"/>
      </top>
      <bottom style="thick">
        <color rgb="FFFF0000"/>
      </bottom>
      <diagonal/>
    </border>
    <border>
      <left style="medium">
        <color indexed="64"/>
      </left>
      <right style="thin">
        <color auto="1"/>
      </right>
      <top style="thin">
        <color indexed="64"/>
      </top>
      <bottom style="thin">
        <color auto="1"/>
      </bottom>
      <diagonal/>
    </border>
    <border>
      <left/>
      <right/>
      <top style="thin">
        <color indexed="64"/>
      </top>
      <bottom style="thin">
        <color auto="1"/>
      </bottom>
      <diagonal/>
    </border>
    <border>
      <left/>
      <right style="thin">
        <color auto="1"/>
      </right>
      <top style="thin">
        <color indexed="64"/>
      </top>
      <bottom style="thin">
        <color auto="1"/>
      </bottom>
      <diagonal/>
    </border>
    <border>
      <left style="thin">
        <color indexed="64"/>
      </left>
      <right style="thin">
        <color indexed="64"/>
      </right>
      <top style="medium">
        <color indexed="64"/>
      </top>
      <bottom style="double">
        <color indexed="64"/>
      </bottom>
      <diagonal/>
    </border>
    <border>
      <left style="hair">
        <color auto="1"/>
      </left>
      <right style="hair">
        <color auto="1"/>
      </right>
      <top style="thin">
        <color auto="1"/>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double">
        <color indexed="64"/>
      </bottom>
      <diagonal/>
    </border>
    <border>
      <left style="thick">
        <color rgb="FFFF0000"/>
      </left>
      <right/>
      <top style="thick">
        <color rgb="FFFF0000"/>
      </top>
      <bottom style="thick">
        <color rgb="FFFF0000"/>
      </bottom>
      <diagonal/>
    </border>
    <border>
      <left style="thick">
        <color rgb="FFFF0000"/>
      </left>
      <right style="thick">
        <color rgb="FFFF0000"/>
      </right>
      <top style="thick">
        <color rgb="FFFF0000"/>
      </top>
      <bottom style="thick">
        <color rgb="FFFF0000"/>
      </bottom>
      <diagonal/>
    </border>
    <border>
      <left style="medium">
        <color indexed="64"/>
      </left>
      <right style="thin">
        <color indexed="64"/>
      </right>
      <top style="medium">
        <color indexed="64"/>
      </top>
      <bottom style="double">
        <color indexed="64"/>
      </bottom>
      <diagonal/>
    </border>
    <border>
      <left style="medium">
        <color indexed="64"/>
      </left>
      <right style="medium">
        <color auto="1"/>
      </right>
      <top style="medium">
        <color indexed="64"/>
      </top>
      <bottom style="medium">
        <color indexed="64"/>
      </bottom>
      <diagonal/>
    </border>
    <border>
      <left/>
      <right/>
      <top style="medium">
        <color indexed="64"/>
      </top>
      <bottom style="medium">
        <color indexed="64"/>
      </bottom>
      <diagonal/>
    </border>
    <border>
      <left/>
      <right style="medium">
        <color auto="1"/>
      </right>
      <top style="medium">
        <color indexed="64"/>
      </top>
      <bottom style="medium">
        <color indexed="64"/>
      </bottom>
      <diagonal/>
    </border>
  </borders>
  <cellStyleXfs count="36">
    <xf numFmtId="0" fontId="0" fillId="0" borderId="0">
      <alignment vertical="center"/>
    </xf>
    <xf numFmtId="0" fontId="1" fillId="0" borderId="0">
      <alignment vertical="center"/>
    </xf>
    <xf numFmtId="0" fontId="8" fillId="0" borderId="0">
      <alignment vertical="center"/>
    </xf>
    <xf numFmtId="41" fontId="24" fillId="0" borderId="0">
      <alignment vertical="center"/>
    </xf>
    <xf numFmtId="0" fontId="8" fillId="0" borderId="0"/>
    <xf numFmtId="41" fontId="8" fillId="0" borderId="0"/>
    <xf numFmtId="9" fontId="8" fillId="0" borderId="0">
      <alignment vertical="center"/>
    </xf>
    <xf numFmtId="0" fontId="26" fillId="0" borderId="0">
      <alignment vertical="center"/>
    </xf>
    <xf numFmtId="41" fontId="1" fillId="0" borderId="0">
      <alignment vertical="center"/>
    </xf>
    <xf numFmtId="0" fontId="8" fillId="0" borderId="0">
      <alignment vertical="center"/>
    </xf>
    <xf numFmtId="0" fontId="8" fillId="0" borderId="0"/>
    <xf numFmtId="41" fontId="8" fillId="0" borderId="0">
      <alignment vertical="center"/>
    </xf>
    <xf numFmtId="41" fontId="26" fillId="0" borderId="0">
      <alignment vertical="center"/>
    </xf>
    <xf numFmtId="0" fontId="41" fillId="0" borderId="0">
      <alignment vertical="center"/>
    </xf>
    <xf numFmtId="0" fontId="42" fillId="0" borderId="0">
      <alignment vertical="center"/>
    </xf>
    <xf numFmtId="0" fontId="43" fillId="0" borderId="0">
      <alignment horizontal="left" vertical="center"/>
    </xf>
    <xf numFmtId="0" fontId="44" fillId="0" borderId="0">
      <alignment vertical="center"/>
    </xf>
    <xf numFmtId="197" fontId="45" fillId="0" borderId="0">
      <alignment horizontal="left" vertical="center"/>
    </xf>
    <xf numFmtId="198" fontId="46" fillId="0" borderId="0">
      <alignment horizontal="right" vertical="center"/>
    </xf>
    <xf numFmtId="0" fontId="8" fillId="0" borderId="0"/>
    <xf numFmtId="41" fontId="24" fillId="0" borderId="0">
      <alignment vertical="center"/>
    </xf>
    <xf numFmtId="41" fontId="8" fillId="0" borderId="0"/>
    <xf numFmtId="41" fontId="1" fillId="0" borderId="0">
      <alignment vertical="center"/>
    </xf>
    <xf numFmtId="41" fontId="8" fillId="0" borderId="0">
      <alignment vertical="center"/>
    </xf>
    <xf numFmtId="41" fontId="26" fillId="0" borderId="0">
      <alignment vertical="center"/>
    </xf>
    <xf numFmtId="0" fontId="8" fillId="0" borderId="0"/>
    <xf numFmtId="41" fontId="24" fillId="0" borderId="0">
      <alignment vertical="center"/>
    </xf>
    <xf numFmtId="41" fontId="8" fillId="0" borderId="0"/>
    <xf numFmtId="41" fontId="8" fillId="0" borderId="0">
      <alignment vertical="center"/>
    </xf>
    <xf numFmtId="41" fontId="26" fillId="0" borderId="0">
      <alignment vertical="center"/>
    </xf>
    <xf numFmtId="0" fontId="24" fillId="0" borderId="0">
      <alignment vertical="center"/>
    </xf>
    <xf numFmtId="0" fontId="24" fillId="0" borderId="0">
      <alignment vertical="center"/>
    </xf>
    <xf numFmtId="41" fontId="24" fillId="0" borderId="0">
      <alignment vertical="center"/>
    </xf>
    <xf numFmtId="0" fontId="8" fillId="0" borderId="0"/>
    <xf numFmtId="41" fontId="8" fillId="0" borderId="0">
      <alignment vertical="center"/>
    </xf>
    <xf numFmtId="41" fontId="8" fillId="0" borderId="0"/>
  </cellStyleXfs>
  <cellXfs count="550">
    <xf numFmtId="0" fontId="0" fillId="0" borderId="0" xfId="0" applyAlignment="1">
      <alignment vertical="center"/>
    </xf>
    <xf numFmtId="0" fontId="2" fillId="0" borderId="12" xfId="1" applyFont="1" applyBorder="1" applyAlignment="1">
      <alignment vertical="center"/>
    </xf>
    <xf numFmtId="0" fontId="2" fillId="0" borderId="21" xfId="1" applyFont="1" applyBorder="1" applyAlignment="1">
      <alignment vertical="center"/>
    </xf>
    <xf numFmtId="0" fontId="2" fillId="0" borderId="2" xfId="1" applyFont="1" applyBorder="1" applyAlignment="1">
      <alignment vertical="center"/>
    </xf>
    <xf numFmtId="0" fontId="5" fillId="2" borderId="19" xfId="0" applyFont="1" applyFill="1" applyBorder="1" applyAlignment="1">
      <alignment horizontal="center" vertical="center"/>
    </xf>
    <xf numFmtId="0" fontId="5" fillId="2" borderId="0" xfId="0" applyFont="1" applyFill="1" applyAlignment="1">
      <alignment horizontal="center" vertical="center"/>
    </xf>
    <xf numFmtId="0" fontId="5" fillId="2" borderId="12" xfId="0" applyFont="1" applyFill="1" applyBorder="1" applyAlignment="1">
      <alignment horizontal="center" vertical="center"/>
    </xf>
    <xf numFmtId="1" fontId="1" fillId="0" borderId="34" xfId="1" applyNumberFormat="1" applyBorder="1" applyAlignment="1">
      <alignment vertical="center"/>
    </xf>
    <xf numFmtId="0" fontId="6" fillId="3" borderId="0" xfId="0" applyFont="1" applyFill="1" applyAlignment="1">
      <alignment vertical="center"/>
    </xf>
    <xf numFmtId="3" fontId="6" fillId="0" borderId="0" xfId="1" applyNumberFormat="1" applyFont="1" applyAlignment="1">
      <alignment vertical="center"/>
    </xf>
    <xf numFmtId="31" fontId="6" fillId="0" borderId="0" xfId="1" applyNumberFormat="1" applyFont="1" applyAlignment="1">
      <alignment vertical="center"/>
    </xf>
    <xf numFmtId="0" fontId="2" fillId="0" borderId="19" xfId="1" applyFont="1" applyBorder="1" applyAlignment="1">
      <alignment vertical="center"/>
    </xf>
    <xf numFmtId="0" fontId="7" fillId="0" borderId="19" xfId="1" applyFont="1" applyBorder="1" applyAlignment="1">
      <alignment vertical="center"/>
    </xf>
    <xf numFmtId="0" fontId="7" fillId="0" borderId="0" xfId="1" applyFont="1" applyAlignment="1">
      <alignment horizontal="distributed" vertical="center" indent="1"/>
    </xf>
    <xf numFmtId="0" fontId="7" fillId="0" borderId="12" xfId="1" applyFont="1" applyBorder="1" applyAlignment="1">
      <alignment vertical="center"/>
    </xf>
    <xf numFmtId="0" fontId="7" fillId="0" borderId="2" xfId="1" applyFont="1" applyBorder="1" applyAlignment="1">
      <alignment horizontal="distributed" vertical="center"/>
    </xf>
    <xf numFmtId="0" fontId="7" fillId="0" borderId="2" xfId="1" applyFont="1" applyBorder="1" applyAlignment="1">
      <alignment horizontal="left" vertical="center"/>
    </xf>
    <xf numFmtId="0" fontId="7" fillId="0" borderId="2" xfId="1" applyFont="1" applyBorder="1" applyAlignment="1">
      <alignment vertical="center"/>
    </xf>
    <xf numFmtId="0" fontId="7" fillId="0" borderId="22" xfId="1" applyFont="1" applyBorder="1" applyAlignment="1">
      <alignment horizontal="left" vertical="center"/>
    </xf>
    <xf numFmtId="0" fontId="14" fillId="0" borderId="33" xfId="1" applyFont="1" applyBorder="1" applyAlignment="1">
      <alignment horizontal="center" vertical="center"/>
    </xf>
    <xf numFmtId="14" fontId="6" fillId="0" borderId="0" xfId="1" applyNumberFormat="1" applyFont="1" applyAlignment="1">
      <alignment vertical="center"/>
    </xf>
    <xf numFmtId="0" fontId="15" fillId="0" borderId="0" xfId="0" applyFont="1" applyAlignment="1">
      <alignment vertical="center"/>
    </xf>
    <xf numFmtId="0" fontId="17" fillId="4" borderId="32" xfId="0" applyFont="1" applyFill="1" applyBorder="1" applyAlignment="1">
      <alignment horizontal="center" vertical="center" wrapText="1"/>
    </xf>
    <xf numFmtId="0" fontId="15" fillId="4" borderId="35" xfId="0" applyFont="1" applyFill="1" applyBorder="1" applyAlignment="1">
      <alignment horizontal="center" vertical="center"/>
    </xf>
    <xf numFmtId="0" fontId="15" fillId="4" borderId="35" xfId="0" applyFont="1" applyFill="1" applyBorder="1" applyAlignment="1">
      <alignment horizontal="center" vertical="center" wrapText="1"/>
    </xf>
    <xf numFmtId="0" fontId="17" fillId="2" borderId="0" xfId="0" applyFont="1" applyFill="1" applyAlignment="1">
      <alignment horizontal="center" vertical="center"/>
    </xf>
    <xf numFmtId="0" fontId="8" fillId="0" borderId="0" xfId="2" applyAlignment="1">
      <alignment vertical="center"/>
    </xf>
    <xf numFmtId="0" fontId="8" fillId="6" borderId="45" xfId="2" applyFill="1" applyBorder="1" applyAlignment="1">
      <alignment horizontal="center" vertical="center"/>
    </xf>
    <xf numFmtId="0" fontId="8" fillId="0" borderId="46" xfId="2" applyBorder="1" applyAlignment="1">
      <alignment horizontal="center" vertical="center"/>
    </xf>
    <xf numFmtId="0" fontId="8" fillId="0" borderId="47" xfId="2" applyBorder="1" applyAlignment="1">
      <alignment horizontal="center" vertical="center"/>
    </xf>
    <xf numFmtId="0" fontId="8" fillId="0" borderId="0" xfId="2" applyAlignment="1">
      <alignment horizontal="center" vertical="center"/>
    </xf>
    <xf numFmtId="0" fontId="8" fillId="6" borderId="48" xfId="2" applyFill="1" applyBorder="1" applyAlignment="1">
      <alignment horizontal="center" vertical="center"/>
    </xf>
    <xf numFmtId="0" fontId="8" fillId="6" borderId="50" xfId="2" applyFill="1" applyBorder="1" applyAlignment="1">
      <alignment horizontal="center" vertical="center"/>
    </xf>
    <xf numFmtId="0" fontId="8" fillId="0" borderId="40" xfId="2" applyBorder="1" applyAlignment="1">
      <alignment horizontal="center" vertical="center"/>
    </xf>
    <xf numFmtId="0" fontId="8" fillId="0" borderId="51" xfId="2" applyBorder="1" applyAlignment="1">
      <alignment horizontal="center" vertical="center"/>
    </xf>
    <xf numFmtId="0" fontId="8" fillId="6" borderId="52" xfId="2" applyFill="1" applyBorder="1" applyAlignment="1">
      <alignment horizontal="center" vertical="center"/>
    </xf>
    <xf numFmtId="0" fontId="8" fillId="0" borderId="53" xfId="2" applyBorder="1" applyAlignment="1">
      <alignment horizontal="center" vertical="center"/>
    </xf>
    <xf numFmtId="0" fontId="8" fillId="0" borderId="54" xfId="2" applyBorder="1" applyAlignment="1">
      <alignment horizontal="center" vertical="center"/>
    </xf>
    <xf numFmtId="0" fontId="18" fillId="2" borderId="19" xfId="0" applyFont="1" applyFill="1" applyBorder="1" applyAlignment="1">
      <alignment horizontal="center" vertical="center"/>
    </xf>
    <xf numFmtId="0" fontId="18" fillId="2" borderId="0" xfId="0" applyFont="1" applyFill="1" applyAlignment="1">
      <alignment horizontal="center" vertical="center"/>
    </xf>
    <xf numFmtId="0" fontId="18" fillId="2" borderId="12" xfId="0" applyFont="1" applyFill="1" applyBorder="1" applyAlignment="1">
      <alignment horizontal="center" vertical="center"/>
    </xf>
    <xf numFmtId="0" fontId="18" fillId="2" borderId="19" xfId="0" applyFont="1" applyFill="1" applyBorder="1" applyAlignment="1">
      <alignment vertical="center"/>
    </xf>
    <xf numFmtId="0" fontId="18" fillId="2" borderId="12" xfId="0" applyFont="1" applyFill="1" applyBorder="1" applyAlignment="1">
      <alignment vertical="center"/>
    </xf>
    <xf numFmtId="0" fontId="18" fillId="2" borderId="0" xfId="0" applyFont="1" applyFill="1" applyAlignment="1">
      <alignment vertical="center" wrapText="1"/>
    </xf>
    <xf numFmtId="0" fontId="20" fillId="2" borderId="0" xfId="0" applyFont="1" applyFill="1" applyAlignment="1">
      <alignment vertical="center"/>
    </xf>
    <xf numFmtId="0" fontId="21" fillId="2" borderId="0" xfId="0" applyFont="1" applyFill="1" applyAlignment="1">
      <alignment horizontal="right" vertical="center"/>
    </xf>
    <xf numFmtId="0" fontId="18" fillId="2" borderId="0" xfId="0" applyFont="1" applyFill="1" applyAlignment="1">
      <alignment vertical="center"/>
    </xf>
    <xf numFmtId="0" fontId="20" fillId="2" borderId="0" xfId="0" applyFont="1" applyFill="1" applyAlignment="1">
      <alignment horizontal="right" vertical="center"/>
    </xf>
    <xf numFmtId="0" fontId="22" fillId="2" borderId="12" xfId="0" applyFont="1" applyFill="1" applyBorder="1" applyAlignment="1">
      <alignment vertical="center"/>
    </xf>
    <xf numFmtId="0" fontId="30" fillId="0" borderId="0" xfId="9" applyFont="1" applyAlignment="1">
      <alignment vertical="center"/>
    </xf>
    <xf numFmtId="0" fontId="32" fillId="0" borderId="21" xfId="10" applyFont="1" applyBorder="1" applyAlignment="1">
      <alignment horizontal="center" vertical="center"/>
    </xf>
    <xf numFmtId="0" fontId="32" fillId="0" borderId="22" xfId="10" applyFont="1" applyBorder="1" applyAlignment="1">
      <alignment horizontal="center" vertical="center"/>
    </xf>
    <xf numFmtId="0" fontId="34" fillId="0" borderId="0" xfId="7" applyFont="1" applyAlignment="1">
      <alignment vertical="center"/>
    </xf>
    <xf numFmtId="0" fontId="9" fillId="8" borderId="19" xfId="2" applyFont="1" applyFill="1" applyBorder="1" applyAlignment="1">
      <alignment horizontal="center" vertical="center"/>
    </xf>
    <xf numFmtId="0" fontId="9" fillId="8" borderId="0" xfId="2" applyFont="1" applyFill="1" applyAlignment="1">
      <alignment horizontal="center" vertical="center"/>
    </xf>
    <xf numFmtId="0" fontId="9" fillId="8" borderId="12" xfId="2" applyFont="1" applyFill="1" applyBorder="1" applyAlignment="1">
      <alignment horizontal="center" vertical="center"/>
    </xf>
    <xf numFmtId="0" fontId="9" fillId="8" borderId="19" xfId="2" applyFont="1" applyFill="1" applyBorder="1" applyAlignment="1">
      <alignment vertical="center"/>
    </xf>
    <xf numFmtId="0" fontId="9" fillId="8" borderId="12" xfId="2" applyFont="1" applyFill="1" applyBorder="1" applyAlignment="1">
      <alignment vertical="center"/>
    </xf>
    <xf numFmtId="31" fontId="9" fillId="0" borderId="0" xfId="2" applyNumberFormat="1" applyFont="1" applyAlignment="1">
      <alignment vertical="center"/>
    </xf>
    <xf numFmtId="0" fontId="36" fillId="7" borderId="19" xfId="2" applyFont="1" applyFill="1" applyBorder="1" applyAlignment="1">
      <alignment horizontal="center" vertical="center"/>
    </xf>
    <xf numFmtId="0" fontId="36" fillId="7" borderId="0" xfId="2" applyFont="1" applyFill="1" applyAlignment="1">
      <alignment horizontal="center" vertical="center"/>
    </xf>
    <xf numFmtId="0" fontId="36" fillId="7" borderId="12" xfId="2" applyFont="1" applyFill="1" applyBorder="1" applyAlignment="1">
      <alignment horizontal="center" vertical="center"/>
    </xf>
    <xf numFmtId="0" fontId="9" fillId="8" borderId="0" xfId="2" applyFont="1" applyFill="1" applyAlignment="1">
      <alignment vertical="center" wrapText="1"/>
    </xf>
    <xf numFmtId="0" fontId="37" fillId="8" borderId="0" xfId="2" applyFont="1" applyFill="1" applyAlignment="1">
      <alignment vertical="center"/>
    </xf>
    <xf numFmtId="0" fontId="9" fillId="8" borderId="0" xfId="2" applyFont="1" applyFill="1" applyAlignment="1">
      <alignment horizontal="right" vertical="center"/>
    </xf>
    <xf numFmtId="0" fontId="9" fillId="8" borderId="0" xfId="2" applyFont="1" applyFill="1" applyAlignment="1">
      <alignment vertical="center"/>
    </xf>
    <xf numFmtId="0" fontId="37" fillId="8" borderId="0" xfId="2" applyFont="1" applyFill="1" applyAlignment="1">
      <alignment horizontal="right" vertical="center"/>
    </xf>
    <xf numFmtId="0" fontId="38" fillId="8" borderId="12" xfId="2" applyFont="1" applyFill="1" applyBorder="1" applyAlignment="1">
      <alignment vertical="center"/>
    </xf>
    <xf numFmtId="0" fontId="39" fillId="0" borderId="1" xfId="2" applyFont="1" applyBorder="1" applyAlignment="1">
      <alignment horizontal="center" vertical="center"/>
    </xf>
    <xf numFmtId="31" fontId="9" fillId="8" borderId="9" xfId="2" applyNumberFormat="1" applyFont="1" applyFill="1" applyBorder="1" applyAlignment="1">
      <alignment horizontal="left" vertical="center"/>
    </xf>
    <xf numFmtId="31" fontId="9" fillId="8" borderId="10" xfId="2" applyNumberFormat="1" applyFont="1" applyFill="1" applyBorder="1" applyAlignment="1">
      <alignment horizontal="left" vertical="center"/>
    </xf>
    <xf numFmtId="0" fontId="39" fillId="0" borderId="0" xfId="2" applyFont="1" applyAlignment="1">
      <alignment horizontal="center" vertical="center"/>
    </xf>
    <xf numFmtId="0" fontId="9" fillId="0" borderId="0" xfId="0" applyFont="1" applyAlignment="1">
      <alignment vertical="top" wrapText="1"/>
    </xf>
    <xf numFmtId="0" fontId="39" fillId="0" borderId="0" xfId="0" applyFont="1" applyAlignment="1">
      <alignment horizontal="center" vertical="center" wrapText="1"/>
    </xf>
    <xf numFmtId="0" fontId="10" fillId="0" borderId="33" xfId="0" applyFont="1" applyBorder="1" applyAlignment="1">
      <alignment horizontal="center" vertical="center"/>
    </xf>
    <xf numFmtId="0" fontId="12" fillId="0" borderId="0" xfId="0" applyFont="1" applyAlignment="1">
      <alignment horizontal="left" vertical="center"/>
    </xf>
    <xf numFmtId="0" fontId="4" fillId="0" borderId="1" xfId="1" applyFont="1" applyBorder="1" applyAlignment="1">
      <alignment horizontal="center" vertical="center"/>
    </xf>
    <xf numFmtId="0" fontId="5" fillId="0" borderId="1" xfId="1" applyFont="1" applyBorder="1" applyAlignment="1">
      <alignment horizontal="center" vertical="center"/>
    </xf>
    <xf numFmtId="0" fontId="50" fillId="0" borderId="56" xfId="1" applyFont="1" applyBorder="1" applyAlignment="1">
      <alignment horizontal="center" vertical="center"/>
    </xf>
    <xf numFmtId="0" fontId="50" fillId="0" borderId="57" xfId="1" applyFont="1" applyBorder="1" applyAlignment="1">
      <alignment horizontal="center" vertical="center" wrapText="1"/>
    </xf>
    <xf numFmtId="0" fontId="50" fillId="0" borderId="61" xfId="1" applyFont="1" applyBorder="1" applyAlignment="1">
      <alignment horizontal="center" vertical="center" wrapText="1"/>
    </xf>
    <xf numFmtId="0" fontId="50" fillId="0" borderId="23" xfId="1" applyFont="1" applyBorder="1" applyAlignment="1">
      <alignment horizontal="center" vertical="center" wrapText="1"/>
    </xf>
    <xf numFmtId="0" fontId="50" fillId="0" borderId="24" xfId="1" applyFont="1" applyBorder="1" applyAlignment="1">
      <alignment horizontal="center" vertical="center" wrapText="1"/>
    </xf>
    <xf numFmtId="0" fontId="50" fillId="0" borderId="24" xfId="1" applyFont="1" applyBorder="1" applyAlignment="1">
      <alignment horizontal="center" vertical="center"/>
    </xf>
    <xf numFmtId="0" fontId="50" fillId="0" borderId="64" xfId="1" applyFont="1" applyBorder="1" applyAlignment="1">
      <alignment horizontal="center" vertical="center"/>
    </xf>
    <xf numFmtId="0" fontId="7" fillId="0" borderId="0" xfId="1" applyFont="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xf>
    <xf numFmtId="0" fontId="7" fillId="0" borderId="0" xfId="1" applyFont="1" applyAlignment="1">
      <alignment horizontal="center" vertical="center"/>
    </xf>
    <xf numFmtId="0" fontId="6" fillId="0" borderId="0" xfId="1" applyFont="1" applyAlignment="1">
      <alignment horizontal="right" vertical="center"/>
    </xf>
    <xf numFmtId="0" fontId="17" fillId="2" borderId="0" xfId="0" applyFont="1" applyFill="1" applyAlignment="1">
      <alignment horizontal="left" vertical="center" wrapText="1"/>
    </xf>
    <xf numFmtId="0" fontId="53" fillId="2" borderId="0" xfId="0" applyFont="1" applyFill="1" applyAlignment="1">
      <alignment horizontal="center" vertical="center"/>
    </xf>
    <xf numFmtId="0" fontId="52" fillId="0" borderId="7" xfId="0" applyFont="1" applyBorder="1" applyAlignment="1">
      <alignment horizontal="center" vertical="center"/>
    </xf>
    <xf numFmtId="0" fontId="54" fillId="0" borderId="19" xfId="1" applyFont="1" applyBorder="1" applyAlignment="1">
      <alignment vertical="center"/>
    </xf>
    <xf numFmtId="0" fontId="54" fillId="0" borderId="0" xfId="1" applyFont="1" applyAlignment="1">
      <alignment vertical="center"/>
    </xf>
    <xf numFmtId="0" fontId="54" fillId="0" borderId="12" xfId="1" applyFont="1" applyBorder="1" applyAlignment="1">
      <alignment vertical="center"/>
    </xf>
    <xf numFmtId="0" fontId="55" fillId="0" borderId="0" xfId="1" applyFont="1" applyAlignment="1">
      <alignment horizontal="distributed" vertical="center"/>
    </xf>
    <xf numFmtId="0" fontId="55" fillId="0" borderId="0" xfId="1" applyFont="1" applyAlignment="1">
      <alignment vertical="center"/>
    </xf>
    <xf numFmtId="0" fontId="56" fillId="0" borderId="0" xfId="1" applyFont="1" applyAlignment="1">
      <alignment vertical="center"/>
    </xf>
    <xf numFmtId="0" fontId="55" fillId="0" borderId="12" xfId="1" applyFont="1" applyBorder="1" applyAlignment="1">
      <alignment horizontal="left" vertical="center"/>
    </xf>
    <xf numFmtId="0" fontId="57" fillId="0" borderId="19" xfId="1" applyFont="1" applyBorder="1" applyAlignment="1">
      <alignment vertical="center"/>
    </xf>
    <xf numFmtId="0" fontId="57" fillId="0" borderId="12" xfId="1" applyFont="1" applyBorder="1" applyAlignment="1">
      <alignment vertical="center"/>
    </xf>
    <xf numFmtId="0" fontId="57" fillId="0" borderId="19" xfId="1" applyFont="1" applyBorder="1" applyAlignment="1">
      <alignment horizontal="right" vertical="center"/>
    </xf>
    <xf numFmtId="0" fontId="57" fillId="0" borderId="0" xfId="1" applyFont="1" applyAlignment="1">
      <alignment horizontal="distributed" vertical="center"/>
    </xf>
    <xf numFmtId="0" fontId="57" fillId="0" borderId="12" xfId="1" applyFont="1" applyBorder="1" applyAlignment="1">
      <alignment horizontal="left" vertical="center"/>
    </xf>
    <xf numFmtId="0" fontId="57" fillId="0" borderId="21" xfId="1" applyFont="1" applyBorder="1" applyAlignment="1">
      <alignment vertical="center"/>
    </xf>
    <xf numFmtId="0" fontId="57" fillId="0" borderId="2" xfId="1" applyFont="1" applyBorder="1" applyAlignment="1">
      <alignment vertical="center"/>
    </xf>
    <xf numFmtId="0" fontId="57" fillId="0" borderId="2" xfId="1" applyFont="1" applyBorder="1" applyAlignment="1">
      <alignment horizontal="distributed" vertical="center"/>
    </xf>
    <xf numFmtId="0" fontId="57" fillId="0" borderId="2" xfId="1" applyFont="1" applyBorder="1" applyAlignment="1">
      <alignment horizontal="left" vertical="center"/>
    </xf>
    <xf numFmtId="0" fontId="57" fillId="0" borderId="22" xfId="1" applyFont="1" applyBorder="1" applyAlignment="1">
      <alignment horizontal="left" vertical="center"/>
    </xf>
    <xf numFmtId="0" fontId="55" fillId="0" borderId="19" xfId="1" applyFont="1" applyBorder="1" applyAlignment="1">
      <alignment vertical="center"/>
    </xf>
    <xf numFmtId="0" fontId="55" fillId="0" borderId="0" xfId="1" applyFont="1" applyAlignment="1">
      <alignment horizontal="distributed" vertical="center" indent="1"/>
    </xf>
    <xf numFmtId="0" fontId="55" fillId="0" borderId="12" xfId="1" applyFont="1" applyBorder="1" applyAlignment="1">
      <alignment vertical="center"/>
    </xf>
    <xf numFmtId="0" fontId="55" fillId="0" borderId="0" xfId="1" applyFont="1" applyAlignment="1"/>
    <xf numFmtId="0" fontId="57" fillId="0" borderId="0" xfId="1" applyFont="1" applyAlignment="1">
      <alignment horizontal="distributed" vertical="center" indent="1"/>
    </xf>
    <xf numFmtId="0" fontId="60" fillId="0" borderId="0" xfId="1" applyFont="1" applyAlignment="1">
      <alignment vertical="center"/>
    </xf>
    <xf numFmtId="0" fontId="62" fillId="0" borderId="19" xfId="1" applyFont="1" applyBorder="1" applyAlignment="1"/>
    <xf numFmtId="0" fontId="57" fillId="0" borderId="0" xfId="1" applyFont="1" applyAlignment="1">
      <alignment vertical="center"/>
    </xf>
    <xf numFmtId="0" fontId="57" fillId="0" borderId="22" xfId="1" applyFont="1" applyBorder="1" applyAlignment="1">
      <alignment vertical="center"/>
    </xf>
    <xf numFmtId="0" fontId="50" fillId="0" borderId="7" xfId="1" applyFont="1" applyBorder="1" applyAlignment="1">
      <alignment horizontal="center" vertical="center"/>
    </xf>
    <xf numFmtId="0" fontId="50" fillId="0" borderId="25" xfId="1" applyFont="1" applyBorder="1" applyAlignment="1">
      <alignment horizontal="center" vertical="center"/>
    </xf>
    <xf numFmtId="0" fontId="50" fillId="0" borderId="25" xfId="1" applyFont="1" applyBorder="1" applyAlignment="1">
      <alignment horizontal="center" vertical="center" wrapText="1"/>
    </xf>
    <xf numFmtId="0" fontId="59" fillId="0" borderId="21" xfId="1" applyFont="1" applyBorder="1" applyAlignment="1">
      <alignment vertical="center"/>
    </xf>
    <xf numFmtId="0" fontId="15" fillId="7" borderId="0" xfId="0" applyFont="1" applyFill="1" applyAlignment="1">
      <alignment horizontal="center" vertical="center"/>
    </xf>
    <xf numFmtId="0" fontId="65" fillId="0" borderId="8" xfId="1" applyFont="1" applyBorder="1" applyAlignment="1">
      <alignment horizontal="distributed" vertical="center" justifyLastLine="1"/>
    </xf>
    <xf numFmtId="0" fontId="65" fillId="0" borderId="10" xfId="1" applyFont="1" applyBorder="1" applyAlignment="1">
      <alignment horizontal="distributed" vertical="center" justifyLastLine="1"/>
    </xf>
    <xf numFmtId="0" fontId="65" fillId="0" borderId="19" xfId="1" applyFont="1" applyBorder="1" applyAlignment="1"/>
    <xf numFmtId="0" fontId="65" fillId="0" borderId="0" xfId="1" applyFont="1" applyAlignment="1"/>
    <xf numFmtId="0" fontId="65" fillId="0" borderId="20" xfId="1" applyFont="1" applyBorder="1" applyAlignment="1"/>
    <xf numFmtId="0" fontId="65" fillId="0" borderId="19" xfId="1" applyFont="1" applyBorder="1" applyAlignment="1">
      <alignment vertical="center"/>
    </xf>
    <xf numFmtId="0" fontId="65" fillId="0" borderId="20" xfId="1" applyFont="1" applyBorder="1" applyAlignment="1">
      <alignment vertical="center"/>
    </xf>
    <xf numFmtId="0" fontId="65" fillId="0" borderId="0" xfId="1" applyFont="1" applyAlignment="1">
      <alignment vertical="center"/>
    </xf>
    <xf numFmtId="0" fontId="65" fillId="0" borderId="12" xfId="1" applyFont="1" applyBorder="1" applyAlignment="1">
      <alignment vertical="center"/>
    </xf>
    <xf numFmtId="0" fontId="65" fillId="0" borderId="19" xfId="1" applyFont="1" applyBorder="1" applyAlignment="1">
      <alignment horizontal="left" vertical="center" indent="2"/>
    </xf>
    <xf numFmtId="0" fontId="65" fillId="0" borderId="0" xfId="1" applyFont="1" applyAlignment="1">
      <alignment horizontal="left" vertical="center" indent="2"/>
    </xf>
    <xf numFmtId="0" fontId="65" fillId="0" borderId="0" xfId="1" applyFont="1" applyAlignment="1">
      <alignment horizontal="left" vertical="center"/>
    </xf>
    <xf numFmtId="0" fontId="57" fillId="0" borderId="0" xfId="1" applyFont="1" applyAlignment="1">
      <alignment horizontal="left" vertical="center"/>
    </xf>
    <xf numFmtId="10" fontId="53" fillId="2" borderId="0" xfId="0" applyNumberFormat="1" applyFont="1" applyFill="1" applyAlignment="1">
      <alignment horizontal="center" vertical="center"/>
    </xf>
    <xf numFmtId="0" fontId="70" fillId="0" borderId="21" xfId="1" applyFont="1" applyBorder="1" applyAlignment="1">
      <alignment vertical="center"/>
    </xf>
    <xf numFmtId="0" fontId="70" fillId="0" borderId="25" xfId="1" applyFont="1" applyBorder="1" applyAlignment="1">
      <alignment horizontal="distributed" vertical="center" indent="1"/>
    </xf>
    <xf numFmtId="0" fontId="71" fillId="0" borderId="25" xfId="1" applyFont="1" applyBorder="1" applyAlignment="1">
      <alignment horizontal="distributed" vertical="center" indent="1"/>
    </xf>
    <xf numFmtId="0" fontId="71" fillId="0" borderId="25" xfId="1" applyFont="1" applyBorder="1" applyAlignment="1">
      <alignment horizontal="distributed" vertical="center" wrapText="1" indent="1"/>
    </xf>
    <xf numFmtId="0" fontId="70" fillId="0" borderId="19" xfId="1" applyFont="1" applyBorder="1" applyAlignment="1">
      <alignment vertical="center"/>
    </xf>
    <xf numFmtId="0" fontId="70" fillId="0" borderId="12" xfId="1" applyFont="1" applyBorder="1" applyAlignment="1">
      <alignment vertical="center"/>
    </xf>
    <xf numFmtId="0" fontId="70" fillId="0" borderId="19" xfId="1" applyFont="1" applyBorder="1" applyAlignment="1">
      <alignment horizontal="right" vertical="center"/>
    </xf>
    <xf numFmtId="0" fontId="70" fillId="0" borderId="0" xfId="1" applyFont="1" applyAlignment="1">
      <alignment horizontal="distributed" vertical="center"/>
    </xf>
    <xf numFmtId="0" fontId="70" fillId="0" borderId="0" xfId="1" applyFont="1" applyAlignment="1">
      <alignment vertical="center"/>
    </xf>
    <xf numFmtId="0" fontId="73" fillId="0" borderId="62" xfId="19" applyFont="1" applyBorder="1" applyAlignment="1">
      <alignment horizontal="center" vertical="center"/>
    </xf>
    <xf numFmtId="0" fontId="73" fillId="0" borderId="24" xfId="19" applyFont="1" applyBorder="1" applyAlignment="1">
      <alignment horizontal="center" vertical="center"/>
    </xf>
    <xf numFmtId="0" fontId="75" fillId="2" borderId="0" xfId="0" applyFont="1" applyFill="1" applyAlignment="1">
      <alignment horizontal="center" vertical="center"/>
    </xf>
    <xf numFmtId="0" fontId="76" fillId="2" borderId="0" xfId="0" applyFont="1" applyFill="1" applyAlignment="1">
      <alignment horizontal="center" vertical="center"/>
    </xf>
    <xf numFmtId="0" fontId="57" fillId="0" borderId="12" xfId="1" applyFont="1" applyBorder="1" applyAlignment="1">
      <alignment horizontal="center" vertical="center"/>
    </xf>
    <xf numFmtId="0" fontId="70" fillId="0" borderId="12" xfId="1" applyFont="1" applyBorder="1" applyAlignment="1">
      <alignment horizontal="center" vertical="center"/>
    </xf>
    <xf numFmtId="0" fontId="65" fillId="0" borderId="0" xfId="1" applyFont="1" applyAlignment="1">
      <alignment horizontal="center" vertical="center"/>
    </xf>
    <xf numFmtId="0" fontId="2" fillId="0" borderId="19" xfId="1" applyFont="1" applyBorder="1" applyAlignment="1">
      <alignment horizontal="center" vertical="center"/>
    </xf>
    <xf numFmtId="0" fontId="2" fillId="0" borderId="0" xfId="1" applyFont="1" applyAlignment="1">
      <alignment horizontal="center" vertical="center"/>
    </xf>
    <xf numFmtId="0" fontId="2" fillId="0" borderId="12" xfId="1" applyFont="1" applyBorder="1" applyAlignment="1">
      <alignment horizontal="center" vertical="center"/>
    </xf>
    <xf numFmtId="0" fontId="15" fillId="4" borderId="40" xfId="0" applyFont="1" applyFill="1" applyBorder="1" applyAlignment="1">
      <alignment horizontal="center" vertical="center"/>
    </xf>
    <xf numFmtId="0" fontId="17" fillId="4" borderId="35" xfId="0" applyFont="1" applyFill="1" applyBorder="1" applyAlignment="1">
      <alignment horizontal="center" vertical="center" wrapText="1"/>
    </xf>
    <xf numFmtId="0" fontId="40" fillId="4" borderId="35" xfId="0" applyFont="1" applyFill="1" applyBorder="1" applyAlignment="1">
      <alignment horizontal="center" vertical="center"/>
    </xf>
    <xf numFmtId="0" fontId="74" fillId="0" borderId="35" xfId="0" applyFont="1" applyBorder="1" applyAlignment="1">
      <alignment horizontal="center" vertical="center" shrinkToFit="1"/>
    </xf>
    <xf numFmtId="0" fontId="78" fillId="5" borderId="35" xfId="0" applyFont="1" applyFill="1" applyBorder="1" applyAlignment="1">
      <alignment horizontal="center" vertical="center" shrinkToFit="1"/>
    </xf>
    <xf numFmtId="0" fontId="79" fillId="7" borderId="35" xfId="0" applyFont="1" applyFill="1" applyBorder="1" applyAlignment="1">
      <alignment horizontal="center" vertical="center" shrinkToFit="1"/>
    </xf>
    <xf numFmtId="0" fontId="15" fillId="5" borderId="35" xfId="0" applyFont="1" applyFill="1" applyBorder="1" applyAlignment="1">
      <alignment horizontal="center" vertical="center" shrinkToFit="1"/>
    </xf>
    <xf numFmtId="0" fontId="15" fillId="7" borderId="35" xfId="0" applyFont="1" applyFill="1" applyBorder="1" applyAlignment="1">
      <alignment horizontal="center" vertical="center" shrinkToFit="1"/>
    </xf>
    <xf numFmtId="14" fontId="74" fillId="0" borderId="35" xfId="3" applyNumberFormat="1" applyFont="1" applyBorder="1" applyAlignment="1">
      <alignment horizontal="center" vertical="center" shrinkToFit="1"/>
    </xf>
    <xf numFmtId="14" fontId="79" fillId="7" borderId="35" xfId="3" applyNumberFormat="1" applyFont="1" applyFill="1" applyBorder="1" applyAlignment="1">
      <alignment horizontal="center" vertical="center" shrinkToFit="1"/>
    </xf>
    <xf numFmtId="14" fontId="79" fillId="7" borderId="35" xfId="0" applyNumberFormat="1" applyFont="1" applyFill="1" applyBorder="1" applyAlignment="1">
      <alignment horizontal="center" vertical="center" shrinkToFit="1"/>
    </xf>
    <xf numFmtId="0" fontId="15" fillId="7" borderId="35" xfId="0" applyFont="1" applyFill="1" applyBorder="1" applyAlignment="1">
      <alignment vertical="center" shrinkToFit="1"/>
    </xf>
    <xf numFmtId="14" fontId="25" fillId="7" borderId="35" xfId="3" applyNumberFormat="1" applyFont="1" applyFill="1" applyBorder="1" applyAlignment="1">
      <alignment horizontal="center" vertical="center" shrinkToFit="1"/>
    </xf>
    <xf numFmtId="0" fontId="15" fillId="7" borderId="35" xfId="0" applyFont="1" applyFill="1" applyBorder="1" applyAlignment="1">
      <alignment horizontal="left" vertical="center" shrinkToFit="1"/>
    </xf>
    <xf numFmtId="0" fontId="15" fillId="0" borderId="0" xfId="0" applyFont="1" applyAlignment="1">
      <alignment vertical="center" shrinkToFit="1"/>
    </xf>
    <xf numFmtId="0" fontId="15" fillId="7" borderId="0" xfId="0" applyFont="1" applyFill="1" applyAlignment="1">
      <alignment horizontal="center" vertical="center" shrinkToFit="1"/>
    </xf>
    <xf numFmtId="1" fontId="1" fillId="0" borderId="0" xfId="1" applyNumberFormat="1" applyAlignment="1">
      <alignment vertical="center"/>
    </xf>
    <xf numFmtId="0" fontId="4" fillId="0" borderId="0" xfId="1" applyFont="1" applyAlignment="1">
      <alignment horizontal="center" vertical="center"/>
    </xf>
    <xf numFmtId="0" fontId="5" fillId="0" borderId="2" xfId="1" applyFont="1" applyBorder="1" applyAlignment="1">
      <alignment horizontal="center" vertical="center"/>
    </xf>
    <xf numFmtId="0" fontId="9" fillId="0" borderId="1" xfId="0" applyFont="1" applyBorder="1" applyAlignment="1">
      <alignment vertical="center" wrapText="1"/>
    </xf>
    <xf numFmtId="0" fontId="26" fillId="0" borderId="87" xfId="7" applyBorder="1" applyAlignment="1">
      <alignment vertical="center"/>
    </xf>
    <xf numFmtId="0" fontId="9" fillId="0" borderId="87" xfId="0" applyFont="1" applyBorder="1" applyAlignment="1">
      <alignment vertical="center" wrapText="1"/>
    </xf>
    <xf numFmtId="0" fontId="9" fillId="0" borderId="87" xfId="0" applyFont="1" applyBorder="1" applyAlignment="1">
      <alignment vertical="top" wrapText="1"/>
    </xf>
    <xf numFmtId="0" fontId="9" fillId="0" borderId="88" xfId="0" applyFont="1" applyBorder="1" applyAlignment="1">
      <alignment vertical="top" wrapText="1"/>
    </xf>
    <xf numFmtId="0" fontId="80" fillId="0" borderId="33" xfId="7" applyFont="1" applyBorder="1" applyAlignment="1">
      <alignment horizontal="center" vertical="center"/>
    </xf>
    <xf numFmtId="0" fontId="5" fillId="0" borderId="0" xfId="1" applyFont="1" applyAlignment="1">
      <alignment horizontal="center" vertical="center"/>
    </xf>
    <xf numFmtId="0" fontId="81" fillId="0" borderId="89" xfId="2" applyFont="1" applyBorder="1" applyAlignment="1">
      <alignment vertical="center"/>
    </xf>
    <xf numFmtId="0" fontId="9" fillId="0" borderId="90" xfId="2" applyFont="1" applyBorder="1" applyAlignment="1">
      <alignment vertical="center"/>
    </xf>
    <xf numFmtId="0" fontId="81" fillId="0" borderId="91" xfId="2" applyFont="1" applyBorder="1" applyAlignment="1">
      <alignment vertical="center"/>
    </xf>
    <xf numFmtId="0" fontId="9" fillId="0" borderId="92" xfId="2" applyFont="1" applyBorder="1" applyAlignment="1">
      <alignment vertical="center"/>
    </xf>
    <xf numFmtId="0" fontId="9" fillId="0" borderId="93" xfId="2" applyFont="1" applyBorder="1" applyAlignment="1">
      <alignment vertical="center"/>
    </xf>
    <xf numFmtId="0" fontId="82" fillId="0" borderId="33" xfId="0" applyFont="1" applyBorder="1" applyAlignment="1">
      <alignment horizontal="center" vertical="center"/>
    </xf>
    <xf numFmtId="0" fontId="55" fillId="0" borderId="19" xfId="1" applyFont="1" applyBorder="1" applyAlignment="1">
      <alignment horizontal="right" vertical="center"/>
    </xf>
    <xf numFmtId="0" fontId="55" fillId="0" borderId="12" xfId="1" applyFont="1" applyBorder="1" applyAlignment="1">
      <alignment horizontal="center" vertical="center"/>
    </xf>
    <xf numFmtId="0" fontId="6" fillId="0" borderId="89" xfId="1" applyFont="1" applyBorder="1" applyAlignment="1">
      <alignment vertical="center"/>
    </xf>
    <xf numFmtId="0" fontId="13" fillId="0" borderId="0" xfId="1" applyFont="1" applyAlignment="1">
      <alignment vertical="center"/>
    </xf>
    <xf numFmtId="0" fontId="6" fillId="0" borderId="90" xfId="1" applyFont="1" applyBorder="1" applyAlignment="1">
      <alignment vertical="center"/>
    </xf>
    <xf numFmtId="0" fontId="6" fillId="0" borderId="91" xfId="1" applyFont="1" applyBorder="1" applyAlignment="1">
      <alignment vertical="center"/>
    </xf>
    <xf numFmtId="0" fontId="13" fillId="0" borderId="92" xfId="1" applyFont="1" applyBorder="1" applyAlignment="1">
      <alignment vertical="center"/>
    </xf>
    <xf numFmtId="0" fontId="6" fillId="0" borderId="92" xfId="1" applyFont="1" applyBorder="1" applyAlignment="1">
      <alignment vertical="center"/>
    </xf>
    <xf numFmtId="0" fontId="6" fillId="0" borderId="93" xfId="1" applyFont="1" applyBorder="1" applyAlignment="1">
      <alignment vertical="center"/>
    </xf>
    <xf numFmtId="14" fontId="85" fillId="0" borderId="0" xfId="30" applyNumberFormat="1" applyFont="1" applyAlignment="1">
      <alignment horizontal="center" vertical="center" shrinkToFit="1"/>
    </xf>
    <xf numFmtId="3" fontId="85" fillId="0" borderId="0" xfId="30" applyNumberFormat="1" applyFont="1" applyAlignment="1">
      <alignment horizontal="center" vertical="center" shrinkToFit="1"/>
    </xf>
    <xf numFmtId="0" fontId="86" fillId="0" borderId="0" xfId="30" applyFont="1" applyAlignment="1">
      <alignment horizontal="center" vertical="center"/>
    </xf>
    <xf numFmtId="0" fontId="86" fillId="0" borderId="0" xfId="30" applyFont="1" applyAlignment="1">
      <alignment horizontal="center" vertical="center" shrinkToFit="1"/>
    </xf>
    <xf numFmtId="0" fontId="86" fillId="0" borderId="0" xfId="30" applyFont="1" applyAlignment="1">
      <alignment vertical="center"/>
    </xf>
    <xf numFmtId="0" fontId="86" fillId="0" borderId="0" xfId="30" applyFont="1" applyAlignment="1">
      <alignment vertical="center" shrinkToFit="1"/>
    </xf>
    <xf numFmtId="3" fontId="86" fillId="0" borderId="0" xfId="30" applyNumberFormat="1" applyFont="1" applyAlignment="1">
      <alignment horizontal="right" vertical="center"/>
    </xf>
    <xf numFmtId="3" fontId="87" fillId="0" borderId="0" xfId="30" applyNumberFormat="1" applyFont="1" applyAlignment="1">
      <alignment horizontal="center" vertical="center"/>
    </xf>
    <xf numFmtId="0" fontId="86" fillId="0" borderId="0" xfId="30" applyFont="1" applyAlignment="1">
      <alignment horizontal="right" vertical="center"/>
    </xf>
    <xf numFmtId="3" fontId="87" fillId="9" borderId="55" xfId="30" applyNumberFormat="1" applyFont="1" applyFill="1" applyBorder="1" applyAlignment="1">
      <alignment horizontal="center" vertical="center" wrapText="1"/>
    </xf>
    <xf numFmtId="0" fontId="25" fillId="7" borderId="97" xfId="30" applyFont="1" applyFill="1" applyBorder="1" applyAlignment="1">
      <alignment horizontal="center" vertical="center"/>
    </xf>
    <xf numFmtId="3" fontId="25" fillId="7" borderId="35" xfId="32" applyNumberFormat="1" applyFont="1" applyFill="1" applyBorder="1" applyAlignment="1">
      <alignment vertical="center" shrinkToFit="1"/>
    </xf>
    <xf numFmtId="0" fontId="25" fillId="7" borderId="35" xfId="30" applyFont="1" applyFill="1" applyBorder="1" applyAlignment="1">
      <alignment horizontal="center" vertical="center"/>
    </xf>
    <xf numFmtId="0" fontId="86" fillId="7" borderId="35" xfId="30" applyFont="1" applyFill="1" applyBorder="1" applyAlignment="1">
      <alignment horizontal="center" vertical="center"/>
    </xf>
    <xf numFmtId="0" fontId="25" fillId="7" borderId="35" xfId="30" applyFont="1" applyFill="1" applyBorder="1" applyAlignment="1">
      <alignment horizontal="center" vertical="center" shrinkToFit="1"/>
    </xf>
    <xf numFmtId="0" fontId="25" fillId="12" borderId="97" xfId="30" applyFont="1" applyFill="1" applyBorder="1" applyAlignment="1">
      <alignment horizontal="center" vertical="center"/>
    </xf>
    <xf numFmtId="0" fontId="86" fillId="12" borderId="35" xfId="30" applyFont="1" applyFill="1" applyBorder="1" applyAlignment="1">
      <alignment horizontal="center" vertical="center"/>
    </xf>
    <xf numFmtId="0" fontId="25" fillId="12" borderId="35" xfId="30" applyFont="1" applyFill="1" applyBorder="1" applyAlignment="1">
      <alignment horizontal="center" vertical="center" shrinkToFit="1"/>
    </xf>
    <xf numFmtId="0" fontId="25" fillId="12" borderId="35" xfId="30" applyFont="1" applyFill="1" applyBorder="1" applyAlignment="1">
      <alignment horizontal="center" vertical="center"/>
    </xf>
    <xf numFmtId="3" fontId="25" fillId="12" borderId="35" xfId="32" applyNumberFormat="1" applyFont="1" applyFill="1" applyBorder="1" applyAlignment="1">
      <alignment horizontal="right" vertical="center" shrinkToFit="1"/>
    </xf>
    <xf numFmtId="3" fontId="25" fillId="12" borderId="35" xfId="32" applyNumberFormat="1" applyFont="1" applyFill="1" applyBorder="1" applyAlignment="1">
      <alignment vertical="center" shrinkToFit="1"/>
    </xf>
    <xf numFmtId="0" fontId="25" fillId="12" borderId="97" xfId="33" applyFont="1" applyFill="1" applyBorder="1" applyAlignment="1">
      <alignment horizontal="center" vertical="center" shrinkToFit="1"/>
    </xf>
    <xf numFmtId="0" fontId="25" fillId="12" borderId="35" xfId="33" applyFont="1" applyFill="1" applyBorder="1" applyAlignment="1">
      <alignment horizontal="center" vertical="center" shrinkToFit="1"/>
    </xf>
    <xf numFmtId="3" fontId="25" fillId="12" borderId="35" xfId="35" applyNumberFormat="1" applyFont="1" applyFill="1" applyBorder="1" applyAlignment="1">
      <alignment horizontal="right" vertical="center" shrinkToFit="1"/>
    </xf>
    <xf numFmtId="3" fontId="25" fillId="12" borderId="35" xfId="32" applyNumberFormat="1" applyFont="1" applyFill="1" applyBorder="1" applyAlignment="1">
      <alignment vertical="center"/>
    </xf>
    <xf numFmtId="3" fontId="86" fillId="12" borderId="35" xfId="32" applyNumberFormat="1" applyFont="1" applyFill="1" applyBorder="1" applyAlignment="1">
      <alignment vertical="center"/>
    </xf>
    <xf numFmtId="0" fontId="25" fillId="12" borderId="98" xfId="30" applyFont="1" applyFill="1" applyBorder="1" applyAlignment="1">
      <alignment horizontal="center" vertical="center" shrinkToFit="1"/>
    </xf>
    <xf numFmtId="3" fontId="25" fillId="7" borderId="35" xfId="32" applyNumberFormat="1" applyFont="1" applyFill="1" applyBorder="1" applyAlignment="1">
      <alignment horizontal="right" vertical="center" shrinkToFit="1"/>
    </xf>
    <xf numFmtId="0" fontId="25" fillId="13" borderId="35" xfId="30" applyFont="1" applyFill="1" applyBorder="1" applyAlignment="1">
      <alignment horizontal="center" vertical="center" shrinkToFit="1"/>
    </xf>
    <xf numFmtId="3" fontId="25" fillId="13" borderId="35" xfId="32" applyNumberFormat="1" applyFont="1" applyFill="1" applyBorder="1" applyAlignment="1">
      <alignment horizontal="right" vertical="center" shrinkToFit="1"/>
    </xf>
    <xf numFmtId="0" fontId="25" fillId="0" borderId="102" xfId="30" applyFont="1" applyBorder="1" applyAlignment="1">
      <alignment horizontal="center" vertical="center" shrinkToFit="1"/>
    </xf>
    <xf numFmtId="0" fontId="25" fillId="0" borderId="103" xfId="30" applyFont="1" applyBorder="1" applyAlignment="1">
      <alignment horizontal="center" vertical="center" shrinkToFit="1"/>
    </xf>
    <xf numFmtId="0" fontId="25" fillId="13" borderId="103" xfId="30" applyFont="1" applyFill="1" applyBorder="1" applyAlignment="1">
      <alignment horizontal="center" vertical="center" shrinkToFit="1"/>
    </xf>
    <xf numFmtId="0" fontId="90" fillId="7" borderId="103" xfId="30" quotePrefix="1" applyFont="1" applyFill="1" applyBorder="1" applyAlignment="1">
      <alignment horizontal="center" vertical="center" wrapText="1" shrinkToFit="1"/>
    </xf>
    <xf numFmtId="3" fontId="90" fillId="7" borderId="103" xfId="30" quotePrefix="1" applyNumberFormat="1" applyFont="1" applyFill="1" applyBorder="1" applyAlignment="1">
      <alignment horizontal="center" vertical="center" wrapText="1" shrinkToFit="1"/>
    </xf>
    <xf numFmtId="0" fontId="25" fillId="13" borderId="104" xfId="30" applyFont="1" applyFill="1" applyBorder="1" applyAlignment="1">
      <alignment horizontal="center" vertical="center" shrinkToFit="1"/>
    </xf>
    <xf numFmtId="0" fontId="79" fillId="7" borderId="35" xfId="3" applyNumberFormat="1" applyFont="1" applyFill="1" applyBorder="1" applyAlignment="1">
      <alignment horizontal="center" vertical="center" shrinkToFit="1"/>
    </xf>
    <xf numFmtId="0" fontId="15" fillId="7" borderId="35" xfId="3" applyNumberFormat="1" applyFont="1" applyFill="1" applyBorder="1" applyAlignment="1">
      <alignment horizontal="center" vertical="center" shrinkToFit="1"/>
    </xf>
    <xf numFmtId="0" fontId="74" fillId="0" borderId="35" xfId="3" applyNumberFormat="1" applyFont="1" applyBorder="1" applyAlignment="1">
      <alignment horizontal="center" vertical="center" shrinkToFit="1"/>
    </xf>
    <xf numFmtId="14" fontId="74" fillId="0" borderId="35" xfId="0" applyNumberFormat="1" applyFont="1" applyBorder="1" applyAlignment="1">
      <alignment horizontal="center" vertical="center" shrinkToFit="1"/>
    </xf>
    <xf numFmtId="0" fontId="50" fillId="0" borderId="26" xfId="1" applyFont="1" applyBorder="1" applyAlignment="1">
      <alignment horizontal="center" vertical="center"/>
    </xf>
    <xf numFmtId="0" fontId="85" fillId="0" borderId="0" xfId="30" applyFont="1" applyAlignment="1">
      <alignment horizontal="center" vertical="center"/>
    </xf>
    <xf numFmtId="0" fontId="85" fillId="0" borderId="0" xfId="30" applyFont="1" applyAlignment="1">
      <alignment horizontal="center" vertical="center" shrinkToFit="1"/>
    </xf>
    <xf numFmtId="0" fontId="85" fillId="0" borderId="0" xfId="30" applyFont="1" applyAlignment="1">
      <alignment vertical="center"/>
    </xf>
    <xf numFmtId="0" fontId="85" fillId="0" borderId="0" xfId="30" applyFont="1" applyAlignment="1">
      <alignment vertical="center" shrinkToFit="1"/>
    </xf>
    <xf numFmtId="3" fontId="85" fillId="0" borderId="0" xfId="30" applyNumberFormat="1" applyFont="1" applyAlignment="1">
      <alignment horizontal="right" vertical="center"/>
    </xf>
    <xf numFmtId="3" fontId="85" fillId="0" borderId="0" xfId="30" applyNumberFormat="1" applyFont="1" applyAlignment="1">
      <alignment vertical="center"/>
    </xf>
    <xf numFmtId="3" fontId="85" fillId="0" borderId="0" xfId="30" applyNumberFormat="1" applyFont="1" applyAlignment="1">
      <alignment horizontal="center" vertical="center"/>
    </xf>
    <xf numFmtId="0" fontId="55" fillId="0" borderId="0" xfId="1" applyFont="1" applyAlignment="1">
      <alignment horizontal="left" vertical="center"/>
    </xf>
    <xf numFmtId="0" fontId="6" fillId="0" borderId="0" xfId="1" applyFont="1" applyAlignment="1">
      <alignment vertical="center"/>
    </xf>
    <xf numFmtId="0" fontId="57" fillId="0" borderId="25" xfId="1" applyFont="1" applyBorder="1" applyAlignment="1">
      <alignment horizontal="distributed" vertical="center" indent="1"/>
    </xf>
    <xf numFmtId="0" fontId="57" fillId="0" borderId="0" xfId="1" applyFont="1" applyAlignment="1">
      <alignment horizontal="center" vertical="center"/>
    </xf>
    <xf numFmtId="0" fontId="26" fillId="0" borderId="0" xfId="7" applyAlignment="1">
      <alignment vertical="center"/>
    </xf>
    <xf numFmtId="0" fontId="57" fillId="0" borderId="0" xfId="1" applyFont="1" applyAlignment="1">
      <alignment horizontal="right" vertical="center"/>
    </xf>
    <xf numFmtId="0" fontId="57" fillId="0" borderId="25" xfId="1" applyFont="1" applyBorder="1" applyAlignment="1">
      <alignment horizontal="distributed" vertical="center" wrapText="1" indent="1"/>
    </xf>
    <xf numFmtId="0" fontId="9" fillId="0" borderId="0" xfId="2" applyFont="1" applyAlignment="1">
      <alignment vertical="center"/>
    </xf>
    <xf numFmtId="0" fontId="2" fillId="0" borderId="0" xfId="1" applyFont="1" applyAlignment="1">
      <alignment vertical="center"/>
    </xf>
    <xf numFmtId="0" fontId="50" fillId="0" borderId="7" xfId="1" applyFont="1" applyBorder="1" applyAlignment="1">
      <alignment horizontal="center" vertical="center" wrapText="1"/>
    </xf>
    <xf numFmtId="0" fontId="50" fillId="0" borderId="58" xfId="1" applyFont="1" applyBorder="1" applyAlignment="1">
      <alignment horizontal="center" vertical="center" wrapText="1"/>
    </xf>
    <xf numFmtId="0" fontId="65" fillId="0" borderId="7" xfId="1" applyFont="1" applyBorder="1" applyAlignment="1">
      <alignment horizontal="center" vertical="center"/>
    </xf>
    <xf numFmtId="0" fontId="50" fillId="0" borderId="57" xfId="1" applyFont="1" applyBorder="1" applyAlignment="1">
      <alignment horizontal="center" vertical="center"/>
    </xf>
    <xf numFmtId="0" fontId="57" fillId="0" borderId="37" xfId="1" applyFont="1" applyBorder="1" applyAlignment="1">
      <alignment horizontal="distributed" vertical="center" indent="1"/>
    </xf>
    <xf numFmtId="0" fontId="9" fillId="0" borderId="0" xfId="0" applyFont="1" applyAlignment="1">
      <alignment vertical="center"/>
    </xf>
    <xf numFmtId="0" fontId="9" fillId="0" borderId="0" xfId="0" applyFont="1" applyAlignment="1">
      <alignment vertical="center" wrapText="1"/>
    </xf>
    <xf numFmtId="176" fontId="25" fillId="12" borderId="35" xfId="30" applyNumberFormat="1" applyFont="1" applyFill="1" applyBorder="1" applyAlignment="1">
      <alignment horizontal="center" vertical="center" shrinkToFit="1"/>
    </xf>
    <xf numFmtId="177" fontId="25" fillId="0" borderId="35" xfId="32" applyNumberFormat="1" applyFont="1" applyBorder="1" applyAlignment="1">
      <alignment horizontal="center" vertical="center"/>
    </xf>
    <xf numFmtId="177" fontId="25" fillId="0" borderId="21" xfId="32" applyNumberFormat="1" applyFont="1" applyBorder="1" applyAlignment="1">
      <alignment horizontal="center" vertical="center"/>
    </xf>
    <xf numFmtId="176" fontId="25" fillId="7" borderId="35" xfId="30" applyNumberFormat="1" applyFont="1" applyFill="1" applyBorder="1" applyAlignment="1">
      <alignment horizontal="center" vertical="center" shrinkToFit="1"/>
    </xf>
    <xf numFmtId="177" fontId="25" fillId="0" borderId="98" xfId="32" applyNumberFormat="1" applyFont="1" applyBorder="1" applyAlignment="1">
      <alignment horizontal="center" vertical="center"/>
    </xf>
    <xf numFmtId="176" fontId="25" fillId="13" borderId="35" xfId="30" applyNumberFormat="1" applyFont="1" applyFill="1" applyBorder="1" applyAlignment="1">
      <alignment horizontal="center" vertical="center" shrinkToFit="1"/>
    </xf>
    <xf numFmtId="177" fontId="25" fillId="13" borderId="35" xfId="32" applyNumberFormat="1" applyFont="1" applyFill="1" applyBorder="1" applyAlignment="1">
      <alignment horizontal="center" vertical="center"/>
    </xf>
    <xf numFmtId="177" fontId="25" fillId="13" borderId="98" xfId="32" applyNumberFormat="1" applyFont="1" applyFill="1" applyBorder="1" applyAlignment="1">
      <alignment horizontal="center" vertical="center"/>
    </xf>
    <xf numFmtId="177" fontId="68" fillId="4" borderId="35" xfId="32" applyNumberFormat="1" applyFont="1" applyFill="1" applyBorder="1" applyAlignment="1">
      <alignment horizontal="center" vertical="center"/>
    </xf>
    <xf numFmtId="177" fontId="85" fillId="0" borderId="0" xfId="30" applyNumberFormat="1" applyFont="1" applyAlignment="1">
      <alignment vertical="center"/>
    </xf>
    <xf numFmtId="178" fontId="25" fillId="12" borderId="35" xfId="34" applyNumberFormat="1" applyFont="1" applyFill="1" applyBorder="1" applyAlignment="1">
      <alignment horizontal="center" vertical="center" shrinkToFit="1"/>
    </xf>
    <xf numFmtId="177" fontId="25" fillId="7" borderId="35" xfId="32" applyNumberFormat="1" applyFont="1" applyFill="1" applyBorder="1" applyAlignment="1">
      <alignment horizontal="center" vertical="center"/>
    </xf>
    <xf numFmtId="177" fontId="68" fillId="11" borderId="35" xfId="32" applyNumberFormat="1" applyFont="1" applyFill="1" applyBorder="1" applyAlignment="1">
      <alignment horizontal="center" vertical="center"/>
    </xf>
    <xf numFmtId="177" fontId="25" fillId="7" borderId="98" xfId="32" applyNumberFormat="1" applyFont="1" applyFill="1" applyBorder="1" applyAlignment="1">
      <alignment horizontal="center" vertical="center"/>
    </xf>
    <xf numFmtId="178" fontId="25" fillId="12" borderId="98" xfId="34" applyNumberFormat="1" applyFont="1" applyFill="1" applyBorder="1" applyAlignment="1">
      <alignment horizontal="center" vertical="center" shrinkToFit="1"/>
    </xf>
    <xf numFmtId="179" fontId="74" fillId="0" borderId="35" xfId="0" applyNumberFormat="1" applyFont="1" applyBorder="1" applyAlignment="1">
      <alignment horizontal="center" vertical="center" shrinkToFit="1"/>
    </xf>
    <xf numFmtId="180" fontId="79" fillId="7" borderId="35" xfId="0" applyNumberFormat="1" applyFont="1" applyFill="1" applyBorder="1" applyAlignment="1">
      <alignment horizontal="center" vertical="center" shrinkToFit="1"/>
    </xf>
    <xf numFmtId="41" fontId="79" fillId="7" borderId="35" xfId="3" applyFont="1" applyFill="1" applyBorder="1" applyAlignment="1">
      <alignment horizontal="center" vertical="center" shrinkToFit="1"/>
    </xf>
    <xf numFmtId="180" fontId="79" fillId="7" borderId="35" xfId="3" applyNumberFormat="1" applyFont="1" applyFill="1" applyBorder="1" applyAlignment="1">
      <alignment horizontal="center" vertical="center" shrinkToFit="1"/>
    </xf>
    <xf numFmtId="41" fontId="25" fillId="7" borderId="35" xfId="3" applyFont="1" applyFill="1" applyBorder="1" applyAlignment="1">
      <alignment horizontal="center" vertical="center" shrinkToFit="1"/>
    </xf>
    <xf numFmtId="180" fontId="15" fillId="7" borderId="35" xfId="0" applyNumberFormat="1" applyFont="1" applyFill="1" applyBorder="1" applyAlignment="1">
      <alignment horizontal="right" vertical="center" shrinkToFit="1"/>
    </xf>
    <xf numFmtId="41" fontId="25" fillId="7" borderId="35" xfId="3" applyFont="1" applyFill="1" applyBorder="1" applyAlignment="1">
      <alignment vertical="center" shrinkToFit="1"/>
    </xf>
    <xf numFmtId="41" fontId="25" fillId="7" borderId="35" xfId="3" applyFont="1" applyFill="1" applyBorder="1" applyAlignment="1">
      <alignment horizontal="left" vertical="center" shrinkToFit="1"/>
    </xf>
    <xf numFmtId="41" fontId="77" fillId="0" borderId="0" xfId="1" applyNumberFormat="1" applyFont="1" applyAlignment="1">
      <alignment vertical="center"/>
    </xf>
    <xf numFmtId="41" fontId="5" fillId="0" borderId="33" xfId="3" applyFont="1" applyBorder="1" applyAlignment="1">
      <alignment vertical="center"/>
    </xf>
    <xf numFmtId="181" fontId="6" fillId="0" borderId="0" xfId="1" applyNumberFormat="1" applyFont="1" applyAlignment="1">
      <alignment vertical="center"/>
    </xf>
    <xf numFmtId="182" fontId="13" fillId="0" borderId="0" xfId="1" applyNumberFormat="1" applyFont="1" applyAlignment="1">
      <alignment vertical="center"/>
    </xf>
    <xf numFmtId="183" fontId="13" fillId="0" borderId="0" xfId="1" applyNumberFormat="1" applyFont="1" applyAlignment="1">
      <alignment vertical="center"/>
    </xf>
    <xf numFmtId="41" fontId="28" fillId="0" borderId="0" xfId="8" applyFont="1" applyAlignment="1">
      <alignment horizontal="center" vertical="center"/>
    </xf>
    <xf numFmtId="41" fontId="29" fillId="0" borderId="0" xfId="8" applyFont="1" applyAlignment="1">
      <alignment vertical="center"/>
    </xf>
    <xf numFmtId="41" fontId="29" fillId="0" borderId="0" xfId="8" applyFont="1" applyAlignment="1">
      <alignment vertical="center" wrapText="1"/>
    </xf>
    <xf numFmtId="41" fontId="29" fillId="0" borderId="0" xfId="8" applyFont="1" applyAlignment="1">
      <alignment horizontal="left" vertical="center"/>
    </xf>
    <xf numFmtId="41" fontId="30" fillId="0" borderId="0" xfId="8" applyFont="1" applyAlignment="1">
      <alignment horizontal="justify" vertical="center"/>
    </xf>
    <xf numFmtId="41" fontId="30" fillId="0" borderId="0" xfId="8" applyFont="1" applyAlignment="1">
      <alignment vertical="center"/>
    </xf>
    <xf numFmtId="41" fontId="29" fillId="0" borderId="0" xfId="8" applyFont="1" applyAlignment="1">
      <alignment horizontal="center" vertical="center"/>
    </xf>
    <xf numFmtId="181" fontId="29" fillId="0" borderId="0" xfId="8" applyNumberFormat="1" applyFont="1" applyAlignment="1">
      <alignment horizontal="center" vertical="center"/>
    </xf>
    <xf numFmtId="41" fontId="5" fillId="0" borderId="68" xfId="3" applyFont="1" applyBorder="1" applyAlignment="1">
      <alignment vertical="center"/>
    </xf>
    <xf numFmtId="180" fontId="39" fillId="0" borderId="33" xfId="2" applyNumberFormat="1" applyFont="1" applyBorder="1" applyAlignment="1">
      <alignment horizontal="center" vertical="center"/>
    </xf>
    <xf numFmtId="180" fontId="9" fillId="0" borderId="0" xfId="2" applyNumberFormat="1" applyFont="1" applyAlignment="1">
      <alignment vertical="center"/>
    </xf>
    <xf numFmtId="41" fontId="9" fillId="8" borderId="0" xfId="2" applyNumberFormat="1" applyFont="1" applyFill="1" applyAlignment="1">
      <alignment vertical="center"/>
    </xf>
    <xf numFmtId="184" fontId="65" fillId="0" borderId="0" xfId="1" applyNumberFormat="1" applyFont="1" applyAlignment="1">
      <alignment vertical="center"/>
    </xf>
    <xf numFmtId="185" fontId="50" fillId="0" borderId="24" xfId="1" applyNumberFormat="1" applyFont="1" applyBorder="1" applyAlignment="1">
      <alignment horizontal="center" vertical="center"/>
    </xf>
    <xf numFmtId="186" fontId="50" fillId="0" borderId="24" xfId="1" applyNumberFormat="1" applyFont="1" applyBorder="1" applyAlignment="1">
      <alignment vertical="center"/>
    </xf>
    <xf numFmtId="187" fontId="50" fillId="0" borderId="63" xfId="1" applyNumberFormat="1" applyFont="1" applyBorder="1" applyAlignment="1">
      <alignment vertical="center"/>
    </xf>
    <xf numFmtId="187" fontId="67" fillId="0" borderId="7" xfId="1" applyNumberFormat="1" applyFont="1" applyBorder="1" applyAlignment="1">
      <alignment horizontal="center" vertical="center"/>
    </xf>
    <xf numFmtId="186" fontId="67" fillId="0" borderId="24" xfId="1" applyNumberFormat="1" applyFont="1" applyBorder="1" applyAlignment="1">
      <alignment vertical="center"/>
    </xf>
    <xf numFmtId="187" fontId="67" fillId="0" borderId="42" xfId="1" applyNumberFormat="1" applyFont="1" applyBorder="1" applyAlignment="1">
      <alignment vertical="center"/>
    </xf>
    <xf numFmtId="185" fontId="50" fillId="0" borderId="7" xfId="1" applyNumberFormat="1" applyFont="1" applyBorder="1" applyAlignment="1">
      <alignment horizontal="center" vertical="center"/>
    </xf>
    <xf numFmtId="187" fontId="50" fillId="0" borderId="7" xfId="1" applyNumberFormat="1" applyFont="1" applyBorder="1" applyAlignment="1">
      <alignment horizontal="center" vertical="center"/>
    </xf>
    <xf numFmtId="185" fontId="50" fillId="0" borderId="24" xfId="1" applyNumberFormat="1" applyFont="1" applyBorder="1" applyAlignment="1">
      <alignment vertical="center"/>
    </xf>
    <xf numFmtId="187" fontId="50" fillId="0" borderId="42" xfId="1" applyNumberFormat="1" applyFont="1" applyBorder="1" applyAlignment="1">
      <alignment vertical="center"/>
    </xf>
    <xf numFmtId="188" fontId="50" fillId="0" borderId="7" xfId="1" applyNumberFormat="1" applyFont="1" applyBorder="1" applyAlignment="1">
      <alignment vertical="center"/>
    </xf>
    <xf numFmtId="185" fontId="50" fillId="0" borderId="42" xfId="1" applyNumberFormat="1" applyFont="1" applyBorder="1" applyAlignment="1">
      <alignment vertical="center"/>
    </xf>
    <xf numFmtId="185" fontId="50" fillId="0" borderId="7" xfId="1" applyNumberFormat="1" applyFont="1" applyBorder="1" applyAlignment="1">
      <alignment vertical="center"/>
    </xf>
    <xf numFmtId="180" fontId="6" fillId="0" borderId="0" xfId="1" applyNumberFormat="1" applyFont="1" applyAlignment="1">
      <alignment vertical="center"/>
    </xf>
    <xf numFmtId="180" fontId="11" fillId="0" borderId="33" xfId="0" applyNumberFormat="1" applyFont="1" applyBorder="1" applyAlignment="1">
      <alignment horizontal="center" vertical="center"/>
    </xf>
    <xf numFmtId="180" fontId="9" fillId="0" borderId="0" xfId="0" applyNumberFormat="1" applyFont="1" applyAlignment="1">
      <alignment vertical="center"/>
    </xf>
    <xf numFmtId="41" fontId="18" fillId="2" borderId="0" xfId="0" applyNumberFormat="1" applyFont="1" applyFill="1" applyAlignment="1">
      <alignment vertical="center"/>
    </xf>
    <xf numFmtId="0" fontId="89" fillId="10" borderId="43" xfId="31" applyFont="1" applyFill="1" applyBorder="1" applyAlignment="1">
      <alignment horizontal="center" vertical="center"/>
    </xf>
    <xf numFmtId="0" fontId="0" fillId="0" borderId="24" xfId="0" applyBorder="1" applyAlignment="1"/>
    <xf numFmtId="3" fontId="87" fillId="9" borderId="113" xfId="30" applyNumberFormat="1" applyFont="1" applyFill="1" applyBorder="1" applyAlignment="1">
      <alignment horizontal="center" vertical="center" wrapText="1"/>
    </xf>
    <xf numFmtId="0" fontId="0" fillId="0" borderId="101" xfId="0" applyBorder="1" applyAlignment="1"/>
    <xf numFmtId="0" fontId="91" fillId="13" borderId="105" xfId="30" applyFont="1" applyFill="1" applyBorder="1" applyAlignment="1">
      <alignment horizontal="center" vertical="center"/>
    </xf>
    <xf numFmtId="0" fontId="0" fillId="0" borderId="106" xfId="0" applyBorder="1" applyAlignment="1"/>
    <xf numFmtId="0" fontId="0" fillId="0" borderId="107" xfId="0" applyBorder="1" applyAlignment="1"/>
    <xf numFmtId="0" fontId="86" fillId="9" borderId="108" xfId="30" applyFont="1" applyFill="1" applyBorder="1" applyAlignment="1">
      <alignment horizontal="center" vertical="center"/>
    </xf>
    <xf numFmtId="0" fontId="0" fillId="0" borderId="96" xfId="0" applyBorder="1" applyAlignment="1"/>
    <xf numFmtId="0" fontId="86" fillId="9" borderId="108" xfId="30" applyFont="1" applyFill="1" applyBorder="1" applyAlignment="1">
      <alignment horizontal="center" vertical="center" shrinkToFit="1"/>
    </xf>
    <xf numFmtId="0" fontId="86" fillId="9" borderId="114" xfId="30" applyFont="1" applyFill="1" applyBorder="1" applyAlignment="1">
      <alignment horizontal="center" vertical="center" shrinkToFit="1"/>
    </xf>
    <xf numFmtId="0" fontId="0" fillId="0" borderId="100" xfId="0" applyBorder="1" applyAlignment="1"/>
    <xf numFmtId="0" fontId="88" fillId="10" borderId="37" xfId="31" applyFont="1" applyFill="1" applyBorder="1" applyAlignment="1">
      <alignment horizontal="center" vertical="center"/>
    </xf>
    <xf numFmtId="0" fontId="0" fillId="0" borderId="23" xfId="0" applyBorder="1" applyAlignment="1"/>
    <xf numFmtId="0" fontId="86" fillId="9" borderId="115" xfId="30" applyFont="1" applyFill="1" applyBorder="1" applyAlignment="1">
      <alignment horizontal="center" vertical="center"/>
    </xf>
    <xf numFmtId="0" fontId="0" fillId="0" borderId="95" xfId="0" applyBorder="1" applyAlignment="1"/>
    <xf numFmtId="0" fontId="89" fillId="10" borderId="109" xfId="31" applyFont="1" applyFill="1" applyBorder="1" applyAlignment="1">
      <alignment horizontal="center" vertical="center"/>
    </xf>
    <xf numFmtId="0" fontId="0" fillId="0" borderId="32" xfId="0" applyBorder="1" applyAlignment="1"/>
    <xf numFmtId="0" fontId="84" fillId="0" borderId="0" xfId="30" applyFont="1" applyAlignment="1">
      <alignment horizontal="center" vertical="center"/>
    </xf>
    <xf numFmtId="0" fontId="85" fillId="0" borderId="0" xfId="30" applyFont="1" applyAlignment="1">
      <alignment horizontal="center" vertical="center"/>
    </xf>
    <xf numFmtId="0" fontId="85" fillId="0" borderId="0" xfId="30" applyFont="1" applyAlignment="1">
      <alignment horizontal="center" vertical="center" shrinkToFit="1"/>
    </xf>
    <xf numFmtId="0" fontId="85" fillId="0" borderId="0" xfId="30" applyFont="1" applyAlignment="1">
      <alignment vertical="center"/>
    </xf>
    <xf numFmtId="0" fontId="85" fillId="0" borderId="0" xfId="30" applyFont="1" applyAlignment="1">
      <alignment vertical="center" shrinkToFit="1"/>
    </xf>
    <xf numFmtId="3" fontId="85" fillId="0" borderId="0" xfId="30" applyNumberFormat="1" applyFont="1" applyAlignment="1">
      <alignment horizontal="right" vertical="center"/>
    </xf>
    <xf numFmtId="3" fontId="85" fillId="0" borderId="0" xfId="30" applyNumberFormat="1" applyFont="1" applyAlignment="1">
      <alignment vertical="center"/>
    </xf>
    <xf numFmtId="3" fontId="85" fillId="0" borderId="0" xfId="30" applyNumberFormat="1" applyFont="1" applyAlignment="1">
      <alignment horizontal="center" vertical="center"/>
    </xf>
    <xf numFmtId="0" fontId="88" fillId="10" borderId="43" xfId="31" applyFont="1" applyFill="1" applyBorder="1" applyAlignment="1">
      <alignment horizontal="center" vertical="center"/>
    </xf>
    <xf numFmtId="3" fontId="87" fillId="9" borderId="112" xfId="30" applyNumberFormat="1" applyFont="1" applyFill="1" applyBorder="1" applyAlignment="1">
      <alignment horizontal="center" vertical="center" wrapText="1"/>
    </xf>
    <xf numFmtId="0" fontId="0" fillId="0" borderId="99" xfId="0" applyBorder="1" applyAlignment="1"/>
    <xf numFmtId="3" fontId="87" fillId="9" borderId="94" xfId="30" applyNumberFormat="1" applyFont="1" applyFill="1" applyBorder="1" applyAlignment="1">
      <alignment horizontal="center" vertical="center" wrapText="1"/>
    </xf>
    <xf numFmtId="0" fontId="0" fillId="0" borderId="110" xfId="0" applyBorder="1" applyAlignment="1"/>
    <xf numFmtId="0" fontId="0" fillId="0" borderId="111" xfId="0" applyBorder="1" applyAlignment="1"/>
    <xf numFmtId="0" fontId="16" fillId="0" borderId="2" xfId="0" applyFont="1" applyBorder="1" applyAlignment="1">
      <alignment horizontal="left" vertical="center"/>
    </xf>
    <xf numFmtId="0" fontId="0" fillId="0" borderId="2" xfId="0" applyBorder="1" applyAlignment="1"/>
    <xf numFmtId="0" fontId="61" fillId="0" borderId="2" xfId="1" applyFont="1" applyBorder="1" applyAlignment="1">
      <alignment horizontal="center" vertical="center" wrapText="1"/>
    </xf>
    <xf numFmtId="0" fontId="57" fillId="0" borderId="83" xfId="1" applyFont="1" applyBorder="1" applyAlignment="1">
      <alignment horizontal="center" vertical="center"/>
    </xf>
    <xf numFmtId="0" fontId="0" fillId="0" borderId="18" xfId="0" applyBorder="1" applyAlignment="1"/>
    <xf numFmtId="0" fontId="0" fillId="0" borderId="36" xfId="0" applyBorder="1" applyAlignment="1"/>
    <xf numFmtId="0" fontId="55" fillId="0" borderId="0" xfId="1" applyFont="1" applyAlignment="1">
      <alignment horizontal="left" vertical="center"/>
    </xf>
    <xf numFmtId="0" fontId="6" fillId="0" borderId="0" xfId="1" applyFont="1" applyAlignment="1">
      <alignment vertical="center"/>
    </xf>
    <xf numFmtId="0" fontId="57" fillId="0" borderId="0" xfId="1" quotePrefix="1" applyFont="1" applyAlignment="1">
      <alignment horizontal="center" vertical="center"/>
    </xf>
    <xf numFmtId="0" fontId="55" fillId="0" borderId="0" xfId="1" applyFont="1" applyAlignment="1">
      <alignment horizontal="center" vertical="center"/>
    </xf>
    <xf numFmtId="0" fontId="57" fillId="0" borderId="73" xfId="1" applyFont="1" applyBorder="1" applyAlignment="1">
      <alignment horizontal="left" vertical="distributed" wrapText="1" indent="1"/>
    </xf>
    <xf numFmtId="0" fontId="0" fillId="0" borderId="12" xfId="0" applyBorder="1" applyAlignment="1"/>
    <xf numFmtId="184" fontId="57" fillId="0" borderId="7" xfId="1" applyNumberFormat="1" applyFont="1" applyBorder="1" applyAlignment="1">
      <alignment horizontal="left" vertical="center" indent="1"/>
    </xf>
    <xf numFmtId="0" fontId="0" fillId="0" borderId="9" xfId="0" applyBorder="1" applyAlignment="1"/>
    <xf numFmtId="0" fontId="0" fillId="0" borderId="6" xfId="0" applyBorder="1" applyAlignment="1"/>
    <xf numFmtId="184" fontId="57" fillId="0" borderId="42" xfId="1" applyNumberFormat="1" applyFont="1" applyBorder="1" applyAlignment="1">
      <alignment horizontal="left" vertical="center" indent="1"/>
    </xf>
    <xf numFmtId="0" fontId="0" fillId="0" borderId="10" xfId="0" applyBorder="1" applyAlignment="1"/>
    <xf numFmtId="0" fontId="57" fillId="0" borderId="7" xfId="1" applyFont="1" applyBorder="1" applyAlignment="1">
      <alignment horizontal="distributed" vertical="center" indent="1"/>
    </xf>
    <xf numFmtId="189" fontId="57" fillId="0" borderId="73" xfId="1" applyNumberFormat="1" applyFont="1" applyBorder="1" applyAlignment="1">
      <alignment horizontal="center" vertical="center"/>
    </xf>
    <xf numFmtId="190" fontId="57" fillId="0" borderId="42" xfId="1" applyNumberFormat="1" applyFont="1" applyBorder="1" applyAlignment="1">
      <alignment horizontal="center" vertical="center" shrinkToFit="1"/>
    </xf>
    <xf numFmtId="0" fontId="57" fillId="0" borderId="0" xfId="1" applyFont="1" applyAlignment="1">
      <alignment horizontal="center" vertical="center"/>
    </xf>
    <xf numFmtId="0" fontId="57" fillId="0" borderId="7" xfId="1" applyFont="1" applyBorder="1" applyAlignment="1">
      <alignment horizontal="distributed" vertical="center" wrapText="1" indent="1"/>
    </xf>
    <xf numFmtId="0" fontId="57" fillId="0" borderId="73" xfId="1" applyFont="1" applyBorder="1" applyAlignment="1">
      <alignment horizontal="center" vertical="center"/>
    </xf>
    <xf numFmtId="0" fontId="59" fillId="0" borderId="73" xfId="1" applyFont="1" applyBorder="1" applyAlignment="1">
      <alignment horizontal="left" vertical="center"/>
    </xf>
    <xf numFmtId="0" fontId="83" fillId="0" borderId="116" xfId="1" applyFont="1" applyBorder="1" applyAlignment="1">
      <alignment horizontal="center" vertical="center"/>
    </xf>
    <xf numFmtId="0" fontId="0" fillId="0" borderId="117" xfId="0" applyBorder="1" applyAlignment="1"/>
    <xf numFmtId="0" fontId="0" fillId="0" borderId="118" xfId="0" applyBorder="1" applyAlignment="1"/>
    <xf numFmtId="0" fontId="58" fillId="0" borderId="24" xfId="1" applyFont="1" applyBorder="1" applyAlignment="1">
      <alignment horizontal="center" vertical="center" shrinkToFit="1"/>
    </xf>
    <xf numFmtId="0" fontId="0" fillId="0" borderId="16" xfId="0" applyBorder="1" applyAlignment="1"/>
    <xf numFmtId="0" fontId="0" fillId="0" borderId="14" xfId="0" applyBorder="1" applyAlignment="1"/>
    <xf numFmtId="0" fontId="57" fillId="0" borderId="25" xfId="1" applyFont="1" applyBorder="1" applyAlignment="1">
      <alignment horizontal="distributed" vertical="distributed" wrapText="1" indent="1"/>
    </xf>
    <xf numFmtId="0" fontId="57" fillId="0" borderId="7" xfId="1" applyFont="1" applyBorder="1" applyAlignment="1">
      <alignment horizontal="distributed" vertical="distributed" wrapText="1" indent="1"/>
    </xf>
    <xf numFmtId="0" fontId="0" fillId="0" borderId="11" xfId="0" applyBorder="1" applyAlignment="1"/>
    <xf numFmtId="0" fontId="0" fillId="0" borderId="15" xfId="0" applyBorder="1" applyAlignment="1"/>
    <xf numFmtId="0" fontId="57" fillId="0" borderId="82" xfId="1" applyFont="1" applyBorder="1" applyAlignment="1">
      <alignment horizontal="left" vertical="center" indent="1" shrinkToFit="1"/>
    </xf>
    <xf numFmtId="0" fontId="0" fillId="0" borderId="17" xfId="0" applyBorder="1" applyAlignment="1"/>
    <xf numFmtId="0" fontId="57" fillId="0" borderId="25" xfId="1" applyFont="1" applyBorder="1" applyAlignment="1">
      <alignment horizontal="distributed" vertical="center" indent="1"/>
    </xf>
    <xf numFmtId="0" fontId="57" fillId="0" borderId="81" xfId="1" applyFont="1" applyBorder="1" applyAlignment="1">
      <alignment horizontal="left" vertical="center" indent="1"/>
    </xf>
    <xf numFmtId="0" fontId="58" fillId="0" borderId="82" xfId="1" applyFont="1" applyBorder="1" applyAlignment="1">
      <alignment horizontal="center" vertical="center" shrinkToFit="1"/>
    </xf>
    <xf numFmtId="0" fontId="58" fillId="0" borderId="81" xfId="1" applyFont="1" applyBorder="1" applyAlignment="1">
      <alignment horizontal="center" vertical="center" shrinkToFit="1"/>
    </xf>
    <xf numFmtId="0" fontId="57" fillId="0" borderId="44" xfId="1" applyFont="1" applyBorder="1" applyAlignment="1">
      <alignment horizontal="left" vertical="center" wrapText="1" indent="1" shrinkToFit="1"/>
    </xf>
    <xf numFmtId="0" fontId="0" fillId="0" borderId="4" xfId="0" applyBorder="1" applyAlignment="1"/>
    <xf numFmtId="0" fontId="0" fillId="0" borderId="5" xfId="0" applyBorder="1" applyAlignment="1"/>
    <xf numFmtId="0" fontId="58" fillId="0" borderId="28" xfId="1" applyFont="1" applyBorder="1" applyAlignment="1">
      <alignment horizontal="center" vertical="center" shrinkToFit="1"/>
    </xf>
    <xf numFmtId="41" fontId="29" fillId="0" borderId="0" xfId="8" applyFont="1" applyAlignment="1">
      <alignment vertical="center"/>
    </xf>
    <xf numFmtId="0" fontId="26" fillId="0" borderId="0" xfId="7" applyAlignment="1">
      <alignment vertical="center"/>
    </xf>
    <xf numFmtId="41" fontId="27" fillId="0" borderId="0" xfId="8" applyFont="1" applyAlignment="1">
      <alignment horizontal="center" vertical="center"/>
    </xf>
    <xf numFmtId="41" fontId="31" fillId="0" borderId="55" xfId="8" applyFont="1" applyBorder="1" applyAlignment="1">
      <alignment horizontal="center" vertical="center" wrapText="1"/>
    </xf>
    <xf numFmtId="0" fontId="0" fillId="0" borderId="74" xfId="0" applyBorder="1" applyAlignment="1"/>
    <xf numFmtId="41" fontId="30" fillId="0" borderId="0" xfId="8" applyFont="1" applyAlignment="1">
      <alignment vertical="center"/>
    </xf>
    <xf numFmtId="180" fontId="31" fillId="0" borderId="73" xfId="8" applyNumberFormat="1" applyFont="1" applyBorder="1" applyAlignment="1">
      <alignment horizontal="center" vertical="center"/>
    </xf>
    <xf numFmtId="41" fontId="29" fillId="0" borderId="0" xfId="8" applyFont="1" applyAlignment="1">
      <alignment vertical="center" wrapText="1"/>
    </xf>
    <xf numFmtId="41" fontId="30" fillId="0" borderId="0" xfId="8" applyFont="1" applyAlignment="1">
      <alignment vertical="center" shrinkToFit="1"/>
    </xf>
    <xf numFmtId="41" fontId="29" fillId="0" borderId="0" xfId="8" applyFont="1" applyAlignment="1">
      <alignment horizontal="left" vertical="center" shrinkToFit="1"/>
    </xf>
    <xf numFmtId="180" fontId="31" fillId="0" borderId="76" xfId="8" applyNumberFormat="1" applyFont="1" applyBorder="1" applyAlignment="1">
      <alignment horizontal="center" vertical="center"/>
    </xf>
    <xf numFmtId="0" fontId="0" fillId="0" borderId="77" xfId="0" applyBorder="1" applyAlignment="1"/>
    <xf numFmtId="0" fontId="0" fillId="0" borderId="19" xfId="0" applyBorder="1" applyAlignment="1"/>
    <xf numFmtId="0" fontId="0" fillId="0" borderId="21" xfId="0" applyBorder="1" applyAlignment="1"/>
    <xf numFmtId="0" fontId="0" fillId="0" borderId="22" xfId="0" applyBorder="1" applyAlignment="1"/>
    <xf numFmtId="180" fontId="29" fillId="0" borderId="76" xfId="8" applyNumberFormat="1" applyFont="1" applyBorder="1" applyAlignment="1">
      <alignment horizontal="left" vertical="center" wrapText="1"/>
    </xf>
    <xf numFmtId="0" fontId="0" fillId="0" borderId="29" xfId="0" applyBorder="1" applyAlignment="1"/>
    <xf numFmtId="181" fontId="29" fillId="0" borderId="0" xfId="8" applyNumberFormat="1" applyFont="1" applyAlignment="1">
      <alignment horizontal="center" vertical="center"/>
    </xf>
    <xf numFmtId="192" fontId="29" fillId="0" borderId="0" xfId="8" applyNumberFormat="1" applyFont="1" applyAlignment="1">
      <alignment horizontal="left" vertical="center" indent="1"/>
    </xf>
    <xf numFmtId="41" fontId="31" fillId="0" borderId="55" xfId="8" applyFont="1" applyBorder="1" applyAlignment="1">
      <alignment horizontal="center" vertical="center"/>
    </xf>
    <xf numFmtId="0" fontId="0" fillId="0" borderId="75" xfId="0" applyBorder="1" applyAlignment="1"/>
    <xf numFmtId="41" fontId="29" fillId="0" borderId="0" xfId="8" applyFont="1" applyAlignment="1">
      <alignment horizontal="left" vertical="center" wrapText="1"/>
    </xf>
    <xf numFmtId="180" fontId="29" fillId="0" borderId="41" xfId="8" applyNumberFormat="1" applyFont="1" applyBorder="1" applyAlignment="1">
      <alignment horizontal="center" vertical="center"/>
    </xf>
    <xf numFmtId="180" fontId="33" fillId="0" borderId="78" xfId="8" applyNumberFormat="1" applyFont="1" applyBorder="1" applyAlignment="1">
      <alignment horizontal="center" vertical="center"/>
    </xf>
    <xf numFmtId="0" fontId="0" fillId="0" borderId="79" xfId="0" applyBorder="1" applyAlignment="1"/>
    <xf numFmtId="41" fontId="30" fillId="0" borderId="0" xfId="8" applyFont="1" applyAlignment="1">
      <alignment horizontal="right" vertical="center"/>
    </xf>
    <xf numFmtId="0" fontId="51" fillId="0" borderId="45" xfId="7" applyFont="1" applyBorder="1" applyAlignment="1">
      <alignment horizontal="center" vertical="center"/>
    </xf>
    <xf numFmtId="0" fontId="0" fillId="0" borderId="72" xfId="0" applyBorder="1" applyAlignment="1"/>
    <xf numFmtId="41" fontId="29" fillId="0" borderId="0" xfId="8" applyFont="1" applyAlignment="1">
      <alignment horizontal="left" vertical="center"/>
    </xf>
    <xf numFmtId="180" fontId="26" fillId="0" borderId="35" xfId="7" applyNumberFormat="1" applyBorder="1" applyAlignment="1">
      <alignment horizontal="center" vertical="center"/>
    </xf>
    <xf numFmtId="0" fontId="0" fillId="0" borderId="40" xfId="0" applyBorder="1" applyAlignment="1"/>
    <xf numFmtId="180" fontId="51" fillId="0" borderId="33" xfId="7" applyNumberFormat="1" applyFont="1" applyBorder="1" applyAlignment="1">
      <alignment horizontal="center" vertical="center"/>
    </xf>
    <xf numFmtId="0" fontId="0" fillId="0" borderId="69" xfId="0" applyBorder="1" applyAlignment="1"/>
    <xf numFmtId="0" fontId="26" fillId="0" borderId="35" xfId="7" applyBorder="1" applyAlignment="1">
      <alignment horizontal="center" vertical="center"/>
    </xf>
    <xf numFmtId="191" fontId="26" fillId="0" borderId="40" xfId="7" applyNumberFormat="1" applyBorder="1" applyAlignment="1">
      <alignment vertical="center"/>
    </xf>
    <xf numFmtId="0" fontId="26" fillId="0" borderId="40" xfId="7" applyBorder="1" applyAlignment="1">
      <alignment horizontal="center" vertical="center"/>
    </xf>
    <xf numFmtId="0" fontId="70" fillId="0" borderId="0" xfId="1" applyFont="1" applyAlignment="1">
      <alignment horizontal="left" vertical="center"/>
    </xf>
    <xf numFmtId="0" fontId="70" fillId="0" borderId="73" xfId="1" applyFont="1" applyBorder="1" applyAlignment="1">
      <alignment horizontal="center" vertical="center"/>
    </xf>
    <xf numFmtId="0" fontId="57" fillId="0" borderId="82" xfId="1" applyFont="1" applyBorder="1" applyAlignment="1">
      <alignment horizontal="left" vertical="center" indent="1"/>
    </xf>
    <xf numFmtId="0" fontId="64" fillId="0" borderId="82" xfId="1" applyFont="1" applyBorder="1" applyAlignment="1">
      <alignment horizontal="center" vertical="center" shrinkToFit="1"/>
    </xf>
    <xf numFmtId="0" fontId="70" fillId="0" borderId="7" xfId="1" applyFont="1" applyBorder="1" applyAlignment="1">
      <alignment horizontal="distributed" vertical="center" wrapText="1" indent="1"/>
    </xf>
    <xf numFmtId="0" fontId="70" fillId="0" borderId="0" xfId="1" applyFont="1" applyAlignment="1">
      <alignment horizontal="center" vertical="center"/>
    </xf>
    <xf numFmtId="0" fontId="69" fillId="0" borderId="73" xfId="1" applyFont="1" applyBorder="1" applyAlignment="1">
      <alignment horizontal="left" vertical="distributed" wrapText="1" indent="1"/>
    </xf>
    <xf numFmtId="184" fontId="70" fillId="0" borderId="7" xfId="1" applyNumberFormat="1" applyFont="1" applyBorder="1" applyAlignment="1">
      <alignment horizontal="left" vertical="center" indent="1"/>
    </xf>
    <xf numFmtId="0" fontId="71" fillId="0" borderId="7" xfId="1" applyFont="1" applyBorder="1" applyAlignment="1">
      <alignment horizontal="distributed" vertical="center" indent="1"/>
    </xf>
    <xf numFmtId="189" fontId="70" fillId="0" borderId="73" xfId="1" applyNumberFormat="1" applyFont="1" applyBorder="1" applyAlignment="1">
      <alignment horizontal="center" vertical="center"/>
    </xf>
    <xf numFmtId="0" fontId="70" fillId="0" borderId="7" xfId="1" applyFont="1" applyBorder="1" applyAlignment="1">
      <alignment horizontal="distributed" vertical="center" indent="1"/>
    </xf>
    <xf numFmtId="0" fontId="72" fillId="0" borderId="73" xfId="1" applyFont="1" applyBorder="1" applyAlignment="1">
      <alignment horizontal="left" vertical="center"/>
    </xf>
    <xf numFmtId="0" fontId="57" fillId="0" borderId="0" xfId="1" applyFont="1" applyAlignment="1">
      <alignment horizontal="right" vertical="center"/>
    </xf>
    <xf numFmtId="0" fontId="57" fillId="0" borderId="25" xfId="1" applyFont="1" applyBorder="1" applyAlignment="1">
      <alignment horizontal="distributed" vertical="center" wrapText="1" indent="1"/>
    </xf>
    <xf numFmtId="190" fontId="57" fillId="0" borderId="42" xfId="1" applyNumberFormat="1" applyFont="1" applyBorder="1" applyAlignment="1">
      <alignment horizontal="left" vertical="center" shrinkToFit="1"/>
    </xf>
    <xf numFmtId="0" fontId="57" fillId="0" borderId="42" xfId="1" applyFont="1" applyBorder="1" applyAlignment="1">
      <alignment horizontal="left" vertical="center" indent="1"/>
    </xf>
    <xf numFmtId="0" fontId="57" fillId="0" borderId="7" xfId="1" applyFont="1" applyBorder="1" applyAlignment="1">
      <alignment horizontal="center" vertical="center" shrinkToFit="1"/>
    </xf>
    <xf numFmtId="41" fontId="58" fillId="0" borderId="81" xfId="1" applyNumberFormat="1" applyFont="1" applyBorder="1" applyAlignment="1">
      <alignment horizontal="center" vertical="center" shrinkToFit="1"/>
    </xf>
    <xf numFmtId="0" fontId="12" fillId="0" borderId="41" xfId="0" applyFont="1" applyBorder="1" applyAlignment="1">
      <alignment horizontal="left" vertical="center"/>
    </xf>
    <xf numFmtId="0" fontId="80" fillId="0" borderId="116" xfId="7" applyFont="1" applyBorder="1" applyAlignment="1">
      <alignment horizontal="center" vertical="center"/>
    </xf>
    <xf numFmtId="31" fontId="9" fillId="8" borderId="8" xfId="2" applyNumberFormat="1" applyFont="1" applyFill="1" applyBorder="1" applyAlignment="1">
      <alignment horizontal="left" vertical="center" indent="1"/>
    </xf>
    <xf numFmtId="0" fontId="9" fillId="8" borderId="37" xfId="2" applyFont="1" applyFill="1" applyBorder="1" applyAlignment="1">
      <alignment horizontal="distributed" vertical="center" indent="1"/>
    </xf>
    <xf numFmtId="0" fontId="0" fillId="0" borderId="3" xfId="0" applyBorder="1" applyAlignment="1"/>
    <xf numFmtId="0" fontId="9" fillId="8" borderId="7" xfId="2" applyFont="1" applyFill="1" applyBorder="1" applyAlignment="1">
      <alignment horizontal="left" vertical="center" wrapText="1" indent="1"/>
    </xf>
    <xf numFmtId="0" fontId="9" fillId="8" borderId="25" xfId="2" applyFont="1" applyFill="1" applyBorder="1" applyAlignment="1">
      <alignment horizontal="distributed" vertical="center" indent="1"/>
    </xf>
    <xf numFmtId="0" fontId="9" fillId="8" borderId="7" xfId="2" applyFont="1" applyFill="1" applyBorder="1" applyAlignment="1">
      <alignment horizontal="left" vertical="center" indent="1"/>
    </xf>
    <xf numFmtId="0" fontId="9" fillId="8" borderId="25" xfId="2" applyFont="1" applyFill="1" applyBorder="1" applyAlignment="1">
      <alignment horizontal="distributed" vertical="center" wrapText="1" indent="1"/>
    </xf>
    <xf numFmtId="181" fontId="36" fillId="0" borderId="73" xfId="2" applyNumberFormat="1" applyFont="1" applyBorder="1" applyAlignment="1">
      <alignment horizontal="center" vertical="center"/>
    </xf>
    <xf numFmtId="0" fontId="9" fillId="0" borderId="0" xfId="2" applyFont="1" applyAlignment="1">
      <alignment vertical="center"/>
    </xf>
    <xf numFmtId="31" fontId="35" fillId="8" borderId="0" xfId="2" applyNumberFormat="1" applyFont="1" applyFill="1" applyAlignment="1">
      <alignment horizontal="left" vertical="center" wrapText="1"/>
    </xf>
    <xf numFmtId="0" fontId="23" fillId="8" borderId="22" xfId="2" applyFont="1" applyFill="1" applyBorder="1" applyAlignment="1">
      <alignment horizontal="center" vertical="center"/>
    </xf>
    <xf numFmtId="0" fontId="9" fillId="8" borderId="43" xfId="2" applyFont="1" applyFill="1" applyBorder="1" applyAlignment="1">
      <alignment horizontal="left" vertical="center" indent="1"/>
    </xf>
    <xf numFmtId="0" fontId="93" fillId="0" borderId="0" xfId="1" applyFont="1" applyAlignment="1">
      <alignment horizontal="left" vertical="center"/>
    </xf>
    <xf numFmtId="0" fontId="2" fillId="0" borderId="0" xfId="1" applyFont="1" applyAlignment="1">
      <alignment vertical="center"/>
    </xf>
    <xf numFmtId="0" fontId="63" fillId="0" borderId="35" xfId="1" applyFont="1" applyBorder="1" applyAlignment="1">
      <alignment horizontal="center" vertical="center" wrapText="1"/>
    </xf>
    <xf numFmtId="0" fontId="0" fillId="0" borderId="39" xfId="0" applyBorder="1" applyAlignment="1"/>
    <xf numFmtId="0" fontId="65" fillId="0" borderId="25" xfId="1" applyFont="1" applyBorder="1" applyAlignment="1">
      <alignment horizontal="center" vertical="center" wrapText="1"/>
    </xf>
    <xf numFmtId="3" fontId="67" fillId="0" borderId="7" xfId="25" quotePrefix="1" applyNumberFormat="1" applyFont="1" applyBorder="1" applyAlignment="1">
      <alignment horizontal="center" vertical="center" wrapText="1"/>
    </xf>
    <xf numFmtId="184" fontId="65" fillId="0" borderId="42" xfId="1" applyNumberFormat="1" applyFont="1" applyBorder="1" applyAlignment="1">
      <alignment horizontal="left" vertical="center" indent="1"/>
    </xf>
    <xf numFmtId="0" fontId="65" fillId="0" borderId="37" xfId="1" applyFont="1" applyBorder="1" applyAlignment="1">
      <alignment horizontal="center" vertical="center"/>
    </xf>
    <xf numFmtId="0" fontId="65" fillId="0" borderId="9" xfId="1" applyFont="1" applyBorder="1" applyAlignment="1">
      <alignment horizontal="distributed" vertical="center" justifyLastLine="1"/>
    </xf>
    <xf numFmtId="0" fontId="65" fillId="0" borderId="81" xfId="1" applyFont="1" applyBorder="1" applyAlignment="1">
      <alignment horizontal="left" vertical="center" shrinkToFit="1"/>
    </xf>
    <xf numFmtId="41" fontId="67" fillId="0" borderId="7" xfId="3" applyFont="1" applyBorder="1" applyAlignment="1">
      <alignment horizontal="right" vertical="center"/>
    </xf>
    <xf numFmtId="0" fontId="65" fillId="0" borderId="7" xfId="1" applyFont="1" applyBorder="1" applyAlignment="1">
      <alignment horizontal="center" vertical="center"/>
    </xf>
    <xf numFmtId="0" fontId="50" fillId="0" borderId="57" xfId="1" applyFont="1" applyBorder="1" applyAlignment="1">
      <alignment horizontal="center" vertical="center"/>
    </xf>
    <xf numFmtId="0" fontId="0" fillId="0" borderId="59" xfId="0" applyBorder="1" applyAlignment="1"/>
    <xf numFmtId="0" fontId="0" fillId="0" borderId="60" xfId="0" applyBorder="1" applyAlignment="1"/>
    <xf numFmtId="186" fontId="67" fillId="0" borderId="7" xfId="1" applyNumberFormat="1" applyFont="1" applyBorder="1" applyAlignment="1">
      <alignment horizontal="center" vertical="center"/>
    </xf>
    <xf numFmtId="185" fontId="50" fillId="0" borderId="86" xfId="1" applyNumberFormat="1" applyFont="1" applyBorder="1" applyAlignment="1">
      <alignment vertical="center"/>
    </xf>
    <xf numFmtId="0" fontId="50" fillId="0" borderId="7" xfId="1" quotePrefix="1" applyFont="1" applyBorder="1" applyAlignment="1">
      <alignment horizontal="center" vertical="center" wrapText="1"/>
    </xf>
    <xf numFmtId="0" fontId="50" fillId="0" borderId="58" xfId="1" applyFont="1" applyBorder="1" applyAlignment="1">
      <alignment horizontal="center" vertical="center" wrapText="1"/>
    </xf>
    <xf numFmtId="0" fontId="65" fillId="0" borderId="42" xfId="1" applyFont="1" applyBorder="1" applyAlignment="1">
      <alignment horizontal="left" vertical="center" indent="1" shrinkToFit="1"/>
    </xf>
    <xf numFmtId="185" fontId="50" fillId="0" borderId="7" xfId="1" applyNumberFormat="1" applyFont="1" applyBorder="1" applyAlignment="1">
      <alignment vertical="center"/>
    </xf>
    <xf numFmtId="0" fontId="50" fillId="0" borderId="60" xfId="1" applyFont="1" applyBorder="1" applyAlignment="1">
      <alignment horizontal="center" vertical="center" wrapText="1"/>
    </xf>
    <xf numFmtId="189" fontId="65" fillId="0" borderId="42" xfId="1" applyNumberFormat="1" applyFont="1" applyBorder="1" applyAlignment="1">
      <alignment horizontal="left" vertical="center" indent="1"/>
    </xf>
    <xf numFmtId="3" fontId="66" fillId="0" borderId="62" xfId="25" quotePrefix="1" applyNumberFormat="1" applyFont="1" applyBorder="1" applyAlignment="1">
      <alignment horizontal="center" vertical="center" wrapText="1"/>
    </xf>
    <xf numFmtId="0" fontId="0" fillId="0" borderId="70" xfId="0" applyBorder="1" applyAlignment="1"/>
    <xf numFmtId="0" fontId="0" fillId="0" borderId="71" xfId="0" applyBorder="1" applyAlignment="1"/>
    <xf numFmtId="0" fontId="65" fillId="0" borderId="12" xfId="1" applyFont="1" applyBorder="1" applyAlignment="1">
      <alignment horizontal="center" vertical="center"/>
    </xf>
    <xf numFmtId="194" fontId="65" fillId="0" borderId="80" xfId="1" applyNumberFormat="1" applyFont="1" applyBorder="1" applyAlignment="1">
      <alignment horizontal="center" vertical="center"/>
    </xf>
    <xf numFmtId="0" fontId="0" fillId="0" borderId="20" xfId="0" applyBorder="1" applyAlignment="1"/>
    <xf numFmtId="0" fontId="50" fillId="0" borderId="7" xfId="1" applyFont="1" applyBorder="1" applyAlignment="1">
      <alignment horizontal="center" vertical="center" wrapText="1"/>
    </xf>
    <xf numFmtId="185" fontId="50" fillId="0" borderId="84" xfId="1" applyNumberFormat="1" applyFont="1" applyBorder="1" applyAlignment="1">
      <alignment vertical="center"/>
    </xf>
    <xf numFmtId="0" fontId="0" fillId="0" borderId="67" xfId="0" applyBorder="1" applyAlignment="1"/>
    <xf numFmtId="188" fontId="50" fillId="0" borderId="7" xfId="1" applyNumberFormat="1" applyFont="1" applyBorder="1" applyAlignment="1">
      <alignment horizontal="center" vertical="center"/>
    </xf>
    <xf numFmtId="41" fontId="50" fillId="0" borderId="7" xfId="3" applyFont="1" applyBorder="1" applyAlignment="1">
      <alignment horizontal="right" vertical="center"/>
    </xf>
    <xf numFmtId="0" fontId="65" fillId="0" borderId="44" xfId="1" applyFont="1" applyBorder="1" applyAlignment="1">
      <alignment horizontal="left" vertical="center" wrapText="1" indent="1" shrinkToFit="1"/>
    </xf>
    <xf numFmtId="0" fontId="65" fillId="0" borderId="42" xfId="1" applyFont="1" applyBorder="1" applyAlignment="1">
      <alignment horizontal="center" vertical="center" wrapText="1"/>
    </xf>
    <xf numFmtId="0" fontId="65" fillId="0" borderId="38" xfId="1" applyFont="1" applyBorder="1" applyAlignment="1">
      <alignment horizontal="left"/>
    </xf>
    <xf numFmtId="193" fontId="65" fillId="0" borderId="42" xfId="1" applyNumberFormat="1" applyFont="1" applyBorder="1" applyAlignment="1">
      <alignment horizontal="left" vertical="center" indent="1"/>
    </xf>
    <xf numFmtId="185" fontId="50" fillId="0" borderId="7" xfId="1" applyNumberFormat="1" applyFont="1" applyBorder="1" applyAlignment="1">
      <alignment horizontal="center" vertical="center"/>
    </xf>
    <xf numFmtId="0" fontId="92" fillId="0" borderId="81" xfId="1" applyFont="1" applyBorder="1" applyAlignment="1">
      <alignment horizontal="left" vertical="center" shrinkToFit="1"/>
    </xf>
    <xf numFmtId="0" fontId="65" fillId="0" borderId="25" xfId="1" applyFont="1" applyBorder="1" applyAlignment="1">
      <alignment horizontal="center" vertical="center"/>
    </xf>
    <xf numFmtId="180" fontId="50" fillId="0" borderId="62" xfId="1" applyNumberFormat="1" applyFont="1" applyBorder="1" applyAlignment="1">
      <alignment horizontal="right" vertical="center"/>
    </xf>
    <xf numFmtId="0" fontId="65" fillId="0" borderId="7" xfId="1" applyFont="1" applyBorder="1" applyAlignment="1">
      <alignment horizontal="center" vertical="center" wrapText="1"/>
    </xf>
    <xf numFmtId="0" fontId="50" fillId="0" borderId="26" xfId="1" applyFont="1" applyBorder="1" applyAlignment="1">
      <alignment horizontal="center" vertical="center" wrapText="1"/>
    </xf>
    <xf numFmtId="0" fontId="0" fillId="0" borderId="65" xfId="0" applyBorder="1" applyAlignment="1"/>
    <xf numFmtId="0" fontId="0" fillId="0" borderId="27" xfId="0" applyBorder="1" applyAlignment="1"/>
    <xf numFmtId="180" fontId="50" fillId="0" borderId="7" xfId="1" applyNumberFormat="1" applyFont="1" applyBorder="1" applyAlignment="1">
      <alignment horizontal="right" vertical="center"/>
    </xf>
    <xf numFmtId="0" fontId="0" fillId="0" borderId="66" xfId="0" applyBorder="1" applyAlignment="1"/>
    <xf numFmtId="0" fontId="0" fillId="0" borderId="31" xfId="0" applyBorder="1" applyAlignment="1"/>
    <xf numFmtId="0" fontId="0" fillId="0" borderId="30" xfId="0" applyBorder="1" applyAlignment="1"/>
    <xf numFmtId="0" fontId="50" fillId="0" borderId="85" xfId="1" applyFont="1" applyBorder="1" applyAlignment="1">
      <alignment horizontal="center" vertical="center"/>
    </xf>
    <xf numFmtId="0" fontId="65" fillId="0" borderId="19" xfId="1" applyFont="1" applyBorder="1" applyAlignment="1">
      <alignment horizontal="left"/>
    </xf>
    <xf numFmtId="0" fontId="0" fillId="0" borderId="13" xfId="0" applyBorder="1" applyAlignment="1"/>
    <xf numFmtId="0" fontId="65" fillId="0" borderId="42" xfId="1" applyFont="1" applyBorder="1" applyAlignment="1">
      <alignment horizontal="left" vertical="center" wrapText="1" indent="2"/>
    </xf>
    <xf numFmtId="186" fontId="50" fillId="0" borderId="62" xfId="1" applyNumberFormat="1" applyFont="1" applyBorder="1" applyAlignment="1">
      <alignment horizontal="center" vertical="center"/>
    </xf>
    <xf numFmtId="0" fontId="57" fillId="0" borderId="7" xfId="1" applyFont="1" applyBorder="1" applyAlignment="1">
      <alignment horizontal="center" vertical="center" wrapText="1"/>
    </xf>
    <xf numFmtId="0" fontId="54" fillId="0" borderId="73" xfId="1" applyFont="1" applyBorder="1" applyAlignment="1">
      <alignment horizontal="center" vertical="center"/>
    </xf>
    <xf numFmtId="190" fontId="57" fillId="0" borderId="42" xfId="1" applyNumberFormat="1" applyFont="1" applyBorder="1" applyAlignment="1">
      <alignment horizontal="center" vertical="center"/>
    </xf>
    <xf numFmtId="184" fontId="57" fillId="0" borderId="7" xfId="1" applyNumberFormat="1" applyFont="1" applyBorder="1" applyAlignment="1">
      <alignment horizontal="center" vertical="center"/>
    </xf>
    <xf numFmtId="181" fontId="54" fillId="0" borderId="73" xfId="1" applyNumberFormat="1" applyFont="1" applyBorder="1" applyAlignment="1">
      <alignment horizontal="center" vertical="center"/>
    </xf>
    <xf numFmtId="184" fontId="57" fillId="0" borderId="42" xfId="1" applyNumberFormat="1" applyFont="1" applyBorder="1" applyAlignment="1">
      <alignment horizontal="center" vertical="center"/>
    </xf>
    <xf numFmtId="0" fontId="2" fillId="0" borderId="73" xfId="1" applyFont="1" applyBorder="1" applyAlignment="1">
      <alignment horizontal="center" vertical="center"/>
    </xf>
    <xf numFmtId="0" fontId="57" fillId="0" borderId="44" xfId="1" applyFont="1" applyBorder="1" applyAlignment="1">
      <alignment horizontal="left" vertical="center" indent="1" shrinkToFit="1"/>
    </xf>
    <xf numFmtId="196" fontId="58" fillId="0" borderId="28" xfId="1" applyNumberFormat="1" applyFont="1" applyBorder="1" applyAlignment="1">
      <alignment horizontal="center" vertical="center" shrinkToFit="1"/>
    </xf>
    <xf numFmtId="0" fontId="57" fillId="0" borderId="37" xfId="1" applyFont="1" applyBorder="1" applyAlignment="1">
      <alignment horizontal="distributed" vertical="center" indent="1"/>
    </xf>
    <xf numFmtId="0" fontId="57" fillId="0" borderId="7" xfId="1" applyFont="1" applyBorder="1" applyAlignment="1">
      <alignment horizontal="center" vertical="center"/>
    </xf>
    <xf numFmtId="0" fontId="57" fillId="0" borderId="42" xfId="1" applyFont="1" applyBorder="1" applyAlignment="1">
      <alignment horizontal="left" vertical="center" indent="1" shrinkToFit="1"/>
    </xf>
    <xf numFmtId="195" fontId="58" fillId="0" borderId="24" xfId="1" applyNumberFormat="1" applyFont="1" applyBorder="1" applyAlignment="1">
      <alignment horizontal="center" vertical="center" shrinkToFit="1"/>
    </xf>
    <xf numFmtId="0" fontId="18" fillId="2" borderId="7" xfId="0" applyFont="1" applyFill="1" applyBorder="1" applyAlignment="1">
      <alignment horizontal="distributed" vertical="center" wrapText="1" indent="1"/>
    </xf>
    <xf numFmtId="31" fontId="18" fillId="2" borderId="7" xfId="0" applyNumberFormat="1" applyFont="1" applyFill="1" applyBorder="1" applyAlignment="1">
      <alignment horizontal="center" vertical="center"/>
    </xf>
    <xf numFmtId="0" fontId="18" fillId="2" borderId="37" xfId="0" applyFont="1" applyFill="1" applyBorder="1" applyAlignment="1">
      <alignment horizontal="distributed" vertical="center" indent="1"/>
    </xf>
    <xf numFmtId="0" fontId="18" fillId="2" borderId="42" xfId="0" applyFont="1" applyFill="1" applyBorder="1" applyAlignment="1">
      <alignment horizontal="left" vertical="center" wrapText="1" indent="1"/>
    </xf>
    <xf numFmtId="0" fontId="18" fillId="2" borderId="25" xfId="0" applyFont="1" applyFill="1" applyBorder="1" applyAlignment="1">
      <alignment horizontal="distributed" vertical="center" indent="1"/>
    </xf>
    <xf numFmtId="0" fontId="18" fillId="2" borderId="42" xfId="0" applyFont="1" applyFill="1" applyBorder="1" applyAlignment="1">
      <alignment horizontal="center" vertical="center"/>
    </xf>
    <xf numFmtId="0" fontId="18" fillId="2" borderId="42" xfId="0" applyFont="1" applyFill="1" applyBorder="1" applyAlignment="1">
      <alignment horizontal="left" vertical="center" indent="1"/>
    </xf>
    <xf numFmtId="0" fontId="18" fillId="2" borderId="25" xfId="0" applyFont="1" applyFill="1" applyBorder="1" applyAlignment="1">
      <alignment horizontal="distributed" vertical="center" wrapText="1" indent="1"/>
    </xf>
    <xf numFmtId="31" fontId="18" fillId="2" borderId="42" xfId="0" applyNumberFormat="1" applyFont="1" applyFill="1" applyBorder="1" applyAlignment="1">
      <alignment horizontal="center" vertical="center"/>
    </xf>
    <xf numFmtId="0" fontId="9" fillId="0" borderId="0" xfId="0" applyFont="1" applyAlignment="1">
      <alignment vertical="center" wrapText="1"/>
    </xf>
    <xf numFmtId="0" fontId="9" fillId="0" borderId="0" xfId="0" applyFont="1" applyAlignment="1">
      <alignment vertical="center"/>
    </xf>
    <xf numFmtId="0" fontId="23" fillId="2" borderId="2"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4" xfId="0" applyFont="1" applyFill="1" applyBorder="1" applyAlignment="1">
      <alignment horizontal="left" vertical="center" indent="1"/>
    </xf>
    <xf numFmtId="181" fontId="5" fillId="0" borderId="73" xfId="0" applyNumberFormat="1" applyFont="1" applyBorder="1" applyAlignment="1">
      <alignment horizontal="center" vertical="center"/>
    </xf>
    <xf numFmtId="31" fontId="19" fillId="2" borderId="0" xfId="0" applyNumberFormat="1" applyFont="1" applyFill="1" applyAlignment="1">
      <alignment horizontal="left" vertical="center" wrapText="1"/>
    </xf>
    <xf numFmtId="0" fontId="8" fillId="0" borderId="49" xfId="2" applyBorder="1" applyAlignment="1">
      <alignment horizontal="center" vertical="center"/>
    </xf>
    <xf numFmtId="0" fontId="0" fillId="0" borderId="49" xfId="0" applyBorder="1" applyAlignment="1"/>
  </cellXfs>
  <cellStyles count="36">
    <cellStyle name="MonthTitle" xfId="14" xr:uid="{00000000-0005-0000-0000-00000E000000}"/>
    <cellStyle name="YearDisplay" xfId="15" xr:uid="{00000000-0005-0000-0000-00000F000000}"/>
    <cellStyle name="강조 텍스트" xfId="16" xr:uid="{00000000-0005-0000-0000-000010000000}"/>
    <cellStyle name="날짜 번호" xfId="18" xr:uid="{00000000-0005-0000-0000-000012000000}"/>
    <cellStyle name="백분율 2" xfId="6" xr:uid="{00000000-0005-0000-0000-000006000000}"/>
    <cellStyle name="쉼표 [0]" xfId="3" builtinId="6"/>
    <cellStyle name="쉼표 [0] 10 2" xfId="35" xr:uid="{00000000-0005-0000-0000-000023000000}"/>
    <cellStyle name="쉼표 [0] 10 2 2" xfId="34" xr:uid="{00000000-0005-0000-0000-000022000000}"/>
    <cellStyle name="쉼표 [0] 173" xfId="8" xr:uid="{00000000-0005-0000-0000-000008000000}"/>
    <cellStyle name="쉼표 [0] 173 2" xfId="22" xr:uid="{00000000-0005-0000-0000-000016000000}"/>
    <cellStyle name="쉼표 [0] 2" xfId="5" xr:uid="{00000000-0005-0000-0000-000005000000}"/>
    <cellStyle name="쉼표 [0] 2 2" xfId="11" xr:uid="{00000000-0005-0000-0000-00000B000000}"/>
    <cellStyle name="쉼표 [0] 2 2 2" xfId="23" xr:uid="{00000000-0005-0000-0000-000017000000}"/>
    <cellStyle name="쉼표 [0] 2 2 3" xfId="28" xr:uid="{00000000-0005-0000-0000-00001C000000}"/>
    <cellStyle name="쉼표 [0] 2 3" xfId="21" xr:uid="{00000000-0005-0000-0000-000015000000}"/>
    <cellStyle name="쉼표 [0] 2 4" xfId="27" xr:uid="{00000000-0005-0000-0000-00001B000000}"/>
    <cellStyle name="쉼표 [0] 3" xfId="12" xr:uid="{00000000-0005-0000-0000-00000C000000}"/>
    <cellStyle name="쉼표 [0] 3 2" xfId="24" xr:uid="{00000000-0005-0000-0000-000018000000}"/>
    <cellStyle name="쉼표 [0] 3 2 2" xfId="32" xr:uid="{00000000-0005-0000-0000-000020000000}"/>
    <cellStyle name="쉼표 [0] 3 3" xfId="29" xr:uid="{00000000-0005-0000-0000-00001D000000}"/>
    <cellStyle name="쉼표 [0] 4" xfId="20" xr:uid="{00000000-0005-0000-0000-000014000000}"/>
    <cellStyle name="쉼표 [0] 5" xfId="26" xr:uid="{00000000-0005-0000-0000-00001A000000}"/>
    <cellStyle name="요일" xfId="17" xr:uid="{00000000-0005-0000-0000-000011000000}"/>
    <cellStyle name="표준" xfId="0" builtinId="0"/>
    <cellStyle name="표준 2" xfId="2" xr:uid="{00000000-0005-0000-0000-000002000000}"/>
    <cellStyle name="표준 2 2" xfId="13" xr:uid="{00000000-0005-0000-0000-00000D000000}"/>
    <cellStyle name="표준 2 3" xfId="19" xr:uid="{00000000-0005-0000-0000-000013000000}"/>
    <cellStyle name="표준 2 4" xfId="7" xr:uid="{00000000-0005-0000-0000-000007000000}"/>
    <cellStyle name="표준 3" xfId="4" xr:uid="{00000000-0005-0000-0000-000004000000}"/>
    <cellStyle name="표준 3 2" xfId="25" xr:uid="{00000000-0005-0000-0000-000019000000}"/>
    <cellStyle name="표준 4 2 2" xfId="30" xr:uid="{00000000-0005-0000-0000-00001E000000}"/>
    <cellStyle name="표준 44" xfId="1" xr:uid="{00000000-0005-0000-0000-000001000000}"/>
    <cellStyle name="표준 7" xfId="31" xr:uid="{00000000-0005-0000-0000-00001F000000}"/>
    <cellStyle name="표준_07년1차추경(교실증개축) 2" xfId="33" xr:uid="{00000000-0005-0000-0000-000021000000}"/>
    <cellStyle name="표준_사용내역검토조서" xfId="9" xr:uid="{00000000-0005-0000-0000-000009000000}"/>
    <cellStyle name="표준_제경비정산(설악여중외 1교)" xfId="10" xr:uid="{00000000-0005-0000-0000-00000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22" fmlaLink="$L$11" fmlaRange="$R$10:$R$11" noThreeD="1"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2" dropStyle="combo" dx="22" fmlaLink="$L$11" fmlaRange="$R$10:$R$11"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28575</xdr:rowOff>
        </xdr:from>
        <xdr:to>
          <xdr:col>4</xdr:col>
          <xdr:colOff>219075</xdr:colOff>
          <xdr:row>0</xdr:row>
          <xdr:rowOff>533400</xdr:rowOff>
        </xdr:to>
        <xdr:sp macro="" textlink="">
          <xdr:nvSpPr>
            <xdr:cNvPr id="5121" name="Button 1025"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100" b="0" i="0" u="none" strike="noStrike" baseline="0">
                  <a:solidFill>
                    <a:srgbClr val="000000"/>
                  </a:solidFill>
                  <a:latin typeface="HY헤드라인M"/>
                  <a:ea typeface="HY헤드라인M"/>
                </a:rPr>
                <a:t>연번 재설정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0</xdr:row>
          <xdr:rowOff>19050</xdr:rowOff>
        </xdr:from>
        <xdr:to>
          <xdr:col>10</xdr:col>
          <xdr:colOff>609600</xdr:colOff>
          <xdr:row>0</xdr:row>
          <xdr:rowOff>542925</xdr:rowOff>
        </xdr:to>
        <xdr:sp macro="" textlink="">
          <xdr:nvSpPr>
            <xdr:cNvPr id="5126" name="Button 1030"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ko-KR" altLang="en-US" sz="2200" b="0" i="0" u="none" strike="noStrike" baseline="0">
                  <a:solidFill>
                    <a:srgbClr val="000000"/>
                  </a:solidFill>
                  <a:latin typeface="HY헤드라인M"/>
                  <a:ea typeface="HY헤드라인M"/>
                </a:rPr>
                <a:t>각종 서류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874059</xdr:colOff>
      <xdr:row>16</xdr:row>
      <xdr:rowOff>986119</xdr:rowOff>
    </xdr:from>
    <xdr:to>
      <xdr:col>22</xdr:col>
      <xdr:colOff>202344</xdr:colOff>
      <xdr:row>21</xdr:row>
      <xdr:rowOff>32676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7507941" y="6869207"/>
          <a:ext cx="4572638" cy="1276528"/>
        </a:xfrm>
        <a:prstGeom prst="rect">
          <a:avLst/>
        </a:prstGeom>
        <a:ln>
          <a:prstDash val="solid"/>
        </a:ln>
      </xdr:spPr>
    </xdr:pic>
    <xdr:clientData/>
  </xdr:twoCellAnchor>
  <xdr:twoCellAnchor editAs="oneCell">
    <xdr:from>
      <xdr:col>1</xdr:col>
      <xdr:colOff>145677</xdr:colOff>
      <xdr:row>14</xdr:row>
      <xdr:rowOff>369793</xdr:rowOff>
    </xdr:from>
    <xdr:to>
      <xdr:col>8</xdr:col>
      <xdr:colOff>308196</xdr:colOff>
      <xdr:row>16</xdr:row>
      <xdr:rowOff>1043662</xdr:rowOff>
    </xdr:to>
    <xdr:pic>
      <xdr:nvPicPr>
        <xdr:cNvPr id="4" name="그림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333501" y="5602940"/>
          <a:ext cx="4219048" cy="132381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10</xdr:col>
          <xdr:colOff>1276350</xdr:colOff>
          <xdr:row>10</xdr:row>
          <xdr:rowOff>28575</xdr:rowOff>
        </xdr:from>
        <xdr:to>
          <xdr:col>12</xdr:col>
          <xdr:colOff>57150</xdr:colOff>
          <xdr:row>10</xdr:row>
          <xdr:rowOff>400050</xdr:rowOff>
        </xdr:to>
        <xdr:sp macro="" textlink="">
          <xdr:nvSpPr>
            <xdr:cNvPr id="22531" name="Drop Down 3" hidden="1">
              <a:extLst>
                <a:ext uri="{63B3BB69-23CF-44E3-9099-C40C66FF867C}">
                  <a14:compatExt spid="_x0000_s22531"/>
                </a:ext>
                <a:ext uri="{FF2B5EF4-FFF2-40B4-BE49-F238E27FC236}">
                  <a16:creationId xmlns:a16="http://schemas.microsoft.com/office/drawing/2014/main" id="{00000000-0008-0000-03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0</xdr:row>
          <xdr:rowOff>19050</xdr:rowOff>
        </xdr:from>
        <xdr:to>
          <xdr:col>10</xdr:col>
          <xdr:colOff>19050</xdr:colOff>
          <xdr:row>0</xdr:row>
          <xdr:rowOff>457200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300-0000045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581025</xdr:colOff>
          <xdr:row>0</xdr:row>
          <xdr:rowOff>38100</xdr:rowOff>
        </xdr:from>
        <xdr:to>
          <xdr:col>10</xdr:col>
          <xdr:colOff>180975</xdr:colOff>
          <xdr:row>0</xdr:row>
          <xdr:rowOff>419100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1085850</xdr:colOff>
      <xdr:row>14</xdr:row>
      <xdr:rowOff>438150</xdr:rowOff>
    </xdr:from>
    <xdr:to>
      <xdr:col>8</xdr:col>
      <xdr:colOff>419738</xdr:colOff>
      <xdr:row>16</xdr:row>
      <xdr:rowOff>914578</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085850" y="5524500"/>
          <a:ext cx="4572638" cy="1276528"/>
        </a:xfrm>
        <a:prstGeom prst="rect">
          <a:avLst/>
        </a:prstGeom>
        <a:ln>
          <a:prstDash val="solid"/>
        </a:ln>
      </xdr:spPr>
    </xdr:pic>
    <xdr:clientData/>
  </xdr:twoCellAnchor>
  <xdr:twoCellAnchor editAs="oneCell">
    <xdr:from>
      <xdr:col>11</xdr:col>
      <xdr:colOff>542925</xdr:colOff>
      <xdr:row>14</xdr:row>
      <xdr:rowOff>447675</xdr:rowOff>
    </xdr:from>
    <xdr:to>
      <xdr:col>16</xdr:col>
      <xdr:colOff>75673</xdr:colOff>
      <xdr:row>16</xdr:row>
      <xdr:rowOff>971385</xdr:rowOff>
    </xdr:to>
    <xdr:pic>
      <xdr:nvPicPr>
        <xdr:cNvPr id="3" name="그림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8486775" y="5534025"/>
          <a:ext cx="4219048" cy="132381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10</xdr:col>
          <xdr:colOff>1276350</xdr:colOff>
          <xdr:row>10</xdr:row>
          <xdr:rowOff>28575</xdr:rowOff>
        </xdr:from>
        <xdr:to>
          <xdr:col>12</xdr:col>
          <xdr:colOff>57150</xdr:colOff>
          <xdr:row>10</xdr:row>
          <xdr:rowOff>400050</xdr:rowOff>
        </xdr:to>
        <xdr:sp macro="" textlink="">
          <xdr:nvSpPr>
            <xdr:cNvPr id="54273" name="Drop Down 3" hidden="1">
              <a:extLst>
                <a:ext uri="{63B3BB69-23CF-44E3-9099-C40C66FF867C}">
                  <a14:compatExt spid="_x0000_s54273"/>
                </a:ext>
                <a:ext uri="{FF2B5EF4-FFF2-40B4-BE49-F238E27FC236}">
                  <a16:creationId xmlns:a16="http://schemas.microsoft.com/office/drawing/2014/main" id="{00000000-0008-0000-07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0</xdr:row>
          <xdr:rowOff>19050</xdr:rowOff>
        </xdr:from>
        <xdr:to>
          <xdr:col>10</xdr:col>
          <xdr:colOff>19050</xdr:colOff>
          <xdr:row>0</xdr:row>
          <xdr:rowOff>457200</xdr:rowOff>
        </xdr:to>
        <xdr:sp macro="" textlink="">
          <xdr:nvSpPr>
            <xdr:cNvPr id="54274" name="Button 4" hidden="1">
              <a:extLst>
                <a:ext uri="{63B3BB69-23CF-44E3-9099-C40C66FF867C}">
                  <a14:compatExt spid="_x0000_s54274"/>
                </a:ext>
                <a:ext uri="{FF2B5EF4-FFF2-40B4-BE49-F238E27FC236}">
                  <a16:creationId xmlns:a16="http://schemas.microsoft.com/office/drawing/2014/main" id="{00000000-0008-0000-0700-000002D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0</xdr:colOff>
      <xdr:row>21</xdr:row>
      <xdr:rowOff>268941</xdr:rowOff>
    </xdr:from>
    <xdr:to>
      <xdr:col>8</xdr:col>
      <xdr:colOff>516109</xdr:colOff>
      <xdr:row>23</xdr:row>
      <xdr:rowOff>1231704</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87824" y="6925235"/>
          <a:ext cx="4572638" cy="1276528"/>
        </a:xfrm>
        <a:prstGeom prst="rect">
          <a:avLst/>
        </a:prstGeom>
        <a:ln>
          <a:prstDash val="solid"/>
        </a:ln>
      </xdr:spPr>
    </xdr:pic>
    <xdr:clientData/>
  </xdr:twoCellAnchor>
  <xdr:twoCellAnchor editAs="oneCell">
    <xdr:from>
      <xdr:col>10</xdr:col>
      <xdr:colOff>974912</xdr:colOff>
      <xdr:row>21</xdr:row>
      <xdr:rowOff>168089</xdr:rowOff>
    </xdr:from>
    <xdr:to>
      <xdr:col>14</xdr:col>
      <xdr:colOff>16842</xdr:colOff>
      <xdr:row>23</xdr:row>
      <xdr:rowOff>1178134</xdr:rowOff>
    </xdr:to>
    <xdr:pic>
      <xdr:nvPicPr>
        <xdr:cNvPr id="3" name="그림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7608794" y="6824383"/>
          <a:ext cx="4219048" cy="132381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19050</xdr:rowOff>
        </xdr:from>
        <xdr:to>
          <xdr:col>10</xdr:col>
          <xdr:colOff>19050</xdr:colOff>
          <xdr:row>0</xdr:row>
          <xdr:rowOff>457200</xdr:rowOff>
        </xdr:to>
        <xdr:sp macro="" textlink="">
          <xdr:nvSpPr>
            <xdr:cNvPr id="44034" name="Button 4"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57150</xdr:rowOff>
        </xdr:from>
        <xdr:to>
          <xdr:col>11</xdr:col>
          <xdr:colOff>495300</xdr:colOff>
          <xdr:row>0</xdr:row>
          <xdr:rowOff>495300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590550</xdr:colOff>
      <xdr:row>22</xdr:row>
      <xdr:rowOff>66675</xdr:rowOff>
    </xdr:from>
    <xdr:to>
      <xdr:col>10</xdr:col>
      <xdr:colOff>229238</xdr:colOff>
      <xdr:row>26</xdr:row>
      <xdr:rowOff>285928</xdr:rowOff>
    </xdr:to>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71575" y="8858250"/>
          <a:ext cx="4572638" cy="1276528"/>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11</xdr:col>
          <xdr:colOff>381000</xdr:colOff>
          <xdr:row>0</xdr:row>
          <xdr:rowOff>447675</xdr:rowOff>
        </xdr:from>
        <xdr:to>
          <xdr:col>15</xdr:col>
          <xdr:colOff>19050</xdr:colOff>
          <xdr:row>1</xdr:row>
          <xdr:rowOff>447675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A00-0000019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89647</xdr:colOff>
      <xdr:row>17</xdr:row>
      <xdr:rowOff>145676</xdr:rowOff>
    </xdr:from>
    <xdr:to>
      <xdr:col>10</xdr:col>
      <xdr:colOff>706609</xdr:colOff>
      <xdr:row>18</xdr:row>
      <xdr:rowOff>1231704</xdr:rowOff>
    </xdr:to>
    <xdr:pic>
      <xdr:nvPicPr>
        <xdr:cNvPr id="2" name="그림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43000" y="6084794"/>
          <a:ext cx="4572638" cy="1276528"/>
        </a:xfrm>
        <a:prstGeom prst="rect">
          <a:avLst/>
        </a:prstGeom>
        <a:ln>
          <a:prstDash val="solid"/>
        </a:ln>
      </xdr:spPr>
    </xdr:pic>
    <xdr:clientData/>
  </xdr:twoCellAnchor>
  <xdr:twoCellAnchor editAs="oneCell">
    <xdr:from>
      <xdr:col>16</xdr:col>
      <xdr:colOff>44824</xdr:colOff>
      <xdr:row>18</xdr:row>
      <xdr:rowOff>112059</xdr:rowOff>
    </xdr:from>
    <xdr:to>
      <xdr:col>21</xdr:col>
      <xdr:colOff>532313</xdr:colOff>
      <xdr:row>18</xdr:row>
      <xdr:rowOff>1435869</xdr:rowOff>
    </xdr:to>
    <xdr:pic>
      <xdr:nvPicPr>
        <xdr:cNvPr id="3" name="그림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8124265" y="6241677"/>
          <a:ext cx="4219048" cy="132381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9</xdr:col>
          <xdr:colOff>123825</xdr:colOff>
          <xdr:row>0</xdr:row>
          <xdr:rowOff>76200</xdr:rowOff>
        </xdr:from>
        <xdr:to>
          <xdr:col>11</xdr:col>
          <xdr:colOff>561975</xdr:colOff>
          <xdr:row>0</xdr:row>
          <xdr:rowOff>495300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B00-000001A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0</xdr:row>
          <xdr:rowOff>38100</xdr:rowOff>
        </xdr:from>
        <xdr:to>
          <xdr:col>12</xdr:col>
          <xdr:colOff>38100</xdr:colOff>
          <xdr:row>0</xdr:row>
          <xdr:rowOff>495300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ko-KR" altLang="en-US" sz="2000" b="0" i="0" u="none" strike="noStrike" baseline="0">
                  <a:solidFill>
                    <a:srgbClr val="000000"/>
                  </a:solidFill>
                  <a:latin typeface="HY헤드라인M"/>
                  <a:ea typeface="HY헤드라인M"/>
                </a:rPr>
                <a:t>돌아가기</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9</xdr:col>
      <xdr:colOff>647238</xdr:colOff>
      <xdr:row>9</xdr:row>
      <xdr:rowOff>18883</xdr:rowOff>
    </xdr:to>
    <xdr:pic>
      <xdr:nvPicPr>
        <xdr:cNvPr id="3" name="그림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4057650" y="1076325"/>
          <a:ext cx="3695238" cy="1333333"/>
        </a:xfrm>
        <a:prstGeom prst="rect">
          <a:avLst/>
        </a:prstGeom>
        <a:ln>
          <a:prstDash val="solid"/>
        </a:ln>
      </xdr:spPr>
    </xdr:pic>
    <xdr:clientData/>
  </xdr:twoCellAnchor>
  <xdr:twoCellAnchor editAs="oneCell">
    <xdr:from>
      <xdr:col>4</xdr:col>
      <xdr:colOff>723900</xdr:colOff>
      <xdr:row>9</xdr:row>
      <xdr:rowOff>9525</xdr:rowOff>
    </xdr:from>
    <xdr:to>
      <xdr:col>9</xdr:col>
      <xdr:colOff>695325</xdr:colOff>
      <xdr:row>16</xdr:row>
      <xdr:rowOff>132181</xdr:rowOff>
    </xdr:to>
    <xdr:pic>
      <xdr:nvPicPr>
        <xdr:cNvPr id="5" name="그림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a:stretch>
          <a:fillRect/>
        </a:stretch>
      </xdr:blipFill>
      <xdr:spPr>
        <a:xfrm>
          <a:off x="4019550" y="2400300"/>
          <a:ext cx="3781425" cy="1322806"/>
        </a:xfrm>
        <a:prstGeom prst="rect">
          <a:avLst/>
        </a:prstGeom>
        <a:ln>
          <a:prstDash val="solid"/>
        </a:ln>
      </xdr:spPr>
    </xdr:pic>
    <xdr:clientData/>
  </xdr:twoCellAnchor>
  <xdr:twoCellAnchor editAs="oneCell">
    <xdr:from>
      <xdr:col>5</xdr:col>
      <xdr:colOff>95250</xdr:colOff>
      <xdr:row>17</xdr:row>
      <xdr:rowOff>66676</xdr:rowOff>
    </xdr:from>
    <xdr:to>
      <xdr:col>10</xdr:col>
      <xdr:colOff>28575</xdr:colOff>
      <xdr:row>24</xdr:row>
      <xdr:rowOff>130240</xdr:rowOff>
    </xdr:to>
    <xdr:pic>
      <xdr:nvPicPr>
        <xdr:cNvPr id="6" name="그림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3"/>
        <a:stretch>
          <a:fillRect/>
        </a:stretch>
      </xdr:blipFill>
      <xdr:spPr>
        <a:xfrm>
          <a:off x="4152900" y="3829051"/>
          <a:ext cx="3743325" cy="1263714"/>
        </a:xfrm>
        <a:prstGeom prst="rect">
          <a:avLst/>
        </a:prstGeom>
        <a:ln>
          <a:prstDash val="solid"/>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tabColor theme="9" tint="0.59999389629810485"/>
    <pageSetUpPr fitToPage="1"/>
  </sheetPr>
  <dimension ref="A1:AH1082"/>
  <sheetViews>
    <sheetView tabSelected="1" view="pageBreakPreview" zoomScale="55" zoomScaleNormal="90" zoomScaleSheetLayoutView="55" workbookViewId="0">
      <pane ySplit="6" topLeftCell="A918" activePane="bottomLeft" state="frozen"/>
      <selection sqref="A1:R1"/>
      <selection pane="bottomLeft" activeCell="E942" sqref="E942"/>
    </sheetView>
  </sheetViews>
  <sheetFormatPr defaultColWidth="9" defaultRowHeight="13.5"/>
  <cols>
    <col min="1" max="1" width="7.125" style="239" customWidth="1"/>
    <col min="2" max="2" width="5.375" style="239" customWidth="1"/>
    <col min="3" max="3" width="7.125" style="239" customWidth="1"/>
    <col min="4" max="4" width="10.875" style="240" customWidth="1"/>
    <col min="5" max="5" width="44.875" style="241" customWidth="1"/>
    <col min="6" max="6" width="12.875" style="242" bestFit="1" customWidth="1"/>
    <col min="7" max="7" width="15.5" style="239" customWidth="1"/>
    <col min="8" max="8" width="17.5" style="239" customWidth="1"/>
    <col min="9" max="10" width="17.625" style="239" customWidth="1"/>
    <col min="11" max="11" width="17.625" style="243" customWidth="1"/>
    <col min="12" max="17" width="17.625" style="244" customWidth="1"/>
    <col min="18" max="19" width="10.625" style="245" customWidth="1"/>
    <col min="20" max="20" width="25" style="240" customWidth="1"/>
    <col min="21" max="21" width="9" style="241" customWidth="1"/>
    <col min="22" max="29" width="13" style="241" hidden="1" customWidth="1"/>
    <col min="30" max="45" width="9" style="241" customWidth="1"/>
    <col min="46" max="16384" width="9" style="241"/>
  </cols>
  <sheetData>
    <row r="1" spans="1:34" ht="36" customHeight="1">
      <c r="A1" s="338" t="s">
        <v>0</v>
      </c>
      <c r="B1" s="339"/>
      <c r="C1" s="339"/>
      <c r="D1" s="340"/>
      <c r="E1" s="341"/>
      <c r="F1" s="342"/>
      <c r="G1" s="339"/>
      <c r="H1" s="339"/>
      <c r="I1" s="339"/>
      <c r="J1" s="339"/>
      <c r="K1" s="343"/>
      <c r="L1" s="344"/>
      <c r="M1" s="344"/>
      <c r="N1" s="344"/>
      <c r="O1" s="344"/>
      <c r="P1" s="344"/>
      <c r="Q1" s="344"/>
      <c r="R1" s="345"/>
      <c r="S1" s="345"/>
      <c r="T1" s="340"/>
    </row>
    <row r="2" spans="1:34">
      <c r="E2" s="244"/>
      <c r="F2" s="244"/>
      <c r="G2" s="244"/>
      <c r="H2" s="244"/>
      <c r="I2" s="244"/>
      <c r="J2" s="244"/>
      <c r="K2" s="244"/>
      <c r="R2" s="245" t="s">
        <v>1</v>
      </c>
      <c r="T2" s="198" t="s">
        <v>2</v>
      </c>
    </row>
    <row r="3" spans="1:34">
      <c r="T3" s="199"/>
    </row>
    <row r="4" spans="1:34" ht="31.5" customHeight="1" thickBot="1">
      <c r="A4" s="200"/>
      <c r="B4" s="200"/>
      <c r="C4" s="200"/>
      <c r="D4" s="201"/>
      <c r="E4" s="202"/>
      <c r="F4" s="203"/>
      <c r="G4" s="200"/>
      <c r="H4" s="200"/>
      <c r="I4" s="200"/>
      <c r="J4" s="200"/>
      <c r="K4" s="204"/>
      <c r="L4" s="204"/>
      <c r="M4" s="204"/>
      <c r="N4" s="204"/>
      <c r="O4" s="204"/>
      <c r="P4" s="204"/>
      <c r="Q4" s="204"/>
      <c r="R4" s="205"/>
      <c r="S4" s="205"/>
      <c r="T4" s="206" t="s">
        <v>3</v>
      </c>
    </row>
    <row r="5" spans="1:34" ht="17.25" customHeight="1" thickTop="1" thickBot="1">
      <c r="A5" s="334" t="s">
        <v>4</v>
      </c>
      <c r="B5" s="327" t="s">
        <v>5</v>
      </c>
      <c r="C5" s="327" t="s">
        <v>6</v>
      </c>
      <c r="D5" s="329" t="s">
        <v>7</v>
      </c>
      <c r="E5" s="327" t="s">
        <v>8</v>
      </c>
      <c r="F5" s="329" t="s">
        <v>9</v>
      </c>
      <c r="G5" s="327" t="s">
        <v>10</v>
      </c>
      <c r="H5" s="327" t="s">
        <v>11</v>
      </c>
      <c r="I5" s="327" t="s">
        <v>12</v>
      </c>
      <c r="J5" s="327" t="s">
        <v>13</v>
      </c>
      <c r="K5" s="349" t="s">
        <v>14</v>
      </c>
      <c r="L5" s="350"/>
      <c r="M5" s="350"/>
      <c r="N5" s="350"/>
      <c r="O5" s="350"/>
      <c r="P5" s="350"/>
      <c r="Q5" s="351"/>
      <c r="R5" s="347" t="s">
        <v>15</v>
      </c>
      <c r="S5" s="322" t="s">
        <v>16</v>
      </c>
      <c r="T5" s="330" t="s">
        <v>17</v>
      </c>
      <c r="V5" s="332" t="s">
        <v>5</v>
      </c>
      <c r="W5" s="346" t="s">
        <v>6</v>
      </c>
      <c r="X5" s="346" t="s">
        <v>18</v>
      </c>
      <c r="Y5" s="346" t="s">
        <v>8</v>
      </c>
      <c r="Z5" s="346" t="s">
        <v>19</v>
      </c>
      <c r="AA5" s="320" t="s">
        <v>20</v>
      </c>
      <c r="AB5" s="320" t="s">
        <v>15</v>
      </c>
      <c r="AC5" s="336" t="s">
        <v>21</v>
      </c>
    </row>
    <row r="6" spans="1:34" ht="33.75" customHeight="1" thickTop="1" thickBot="1">
      <c r="A6" s="335"/>
      <c r="B6" s="328"/>
      <c r="C6" s="328"/>
      <c r="D6" s="328"/>
      <c r="E6" s="328"/>
      <c r="F6" s="328"/>
      <c r="G6" s="328"/>
      <c r="H6" s="328"/>
      <c r="I6" s="328"/>
      <c r="J6" s="328"/>
      <c r="K6" s="207" t="s">
        <v>22</v>
      </c>
      <c r="L6" s="207" t="s">
        <v>23</v>
      </c>
      <c r="M6" s="207" t="s">
        <v>24</v>
      </c>
      <c r="N6" s="207" t="s">
        <v>25</v>
      </c>
      <c r="O6" s="207" t="s">
        <v>26</v>
      </c>
      <c r="P6" s="207" t="s">
        <v>27</v>
      </c>
      <c r="Q6" s="207" t="s">
        <v>28</v>
      </c>
      <c r="R6" s="348"/>
      <c r="S6" s="323"/>
      <c r="T6" s="331"/>
      <c r="V6" s="333"/>
      <c r="W6" s="321"/>
      <c r="X6" s="321"/>
      <c r="Y6" s="321"/>
      <c r="Z6" s="321"/>
      <c r="AA6" s="321"/>
      <c r="AB6" s="321"/>
      <c r="AC6" s="337"/>
    </row>
    <row r="7" spans="1:34" ht="36" hidden="1" customHeight="1" thickTop="1">
      <c r="A7" s="213" t="s">
        <v>29</v>
      </c>
      <c r="B7" s="214" t="s">
        <v>30</v>
      </c>
      <c r="C7" s="214" t="s">
        <v>31</v>
      </c>
      <c r="D7" s="215" t="s">
        <v>32</v>
      </c>
      <c r="E7" s="216" t="s">
        <v>33</v>
      </c>
      <c r="F7" s="215" t="s">
        <v>34</v>
      </c>
      <c r="G7" s="262" t="s">
        <v>35</v>
      </c>
      <c r="H7" s="262" t="s">
        <v>36</v>
      </c>
      <c r="I7" s="262" t="s">
        <v>37</v>
      </c>
      <c r="J7" s="262">
        <f>SUM(J8:J10)</f>
        <v>0</v>
      </c>
      <c r="K7" s="217">
        <v>10560</v>
      </c>
      <c r="L7" s="218"/>
      <c r="M7" s="218"/>
      <c r="N7" s="218"/>
      <c r="O7" s="218"/>
      <c r="P7" s="218"/>
      <c r="Q7" s="218">
        <f>SUM(K7:P7)</f>
        <v>10560</v>
      </c>
      <c r="R7" s="263" t="s">
        <v>38</v>
      </c>
      <c r="S7" s="264" t="s">
        <v>39</v>
      </c>
      <c r="T7" s="228"/>
    </row>
    <row r="8" spans="1:34" ht="26.1" hidden="1" customHeight="1">
      <c r="A8" s="208"/>
      <c r="B8" s="211"/>
      <c r="C8" s="211"/>
      <c r="D8" s="212"/>
      <c r="E8" s="210" t="str">
        <f>IFERROR(VLOOKUP($T8,공사현장대장!$A$5:$T$330,4),"")</f>
        <v/>
      </c>
      <c r="F8" s="212"/>
      <c r="G8" s="265"/>
      <c r="H8" s="265"/>
      <c r="I8" s="265"/>
      <c r="J8" s="265" t="str">
        <f>IFERROR(ROUND(VLOOKUP($T8,공사현장대장!$A$5:$T$330,9)/1000,0),"")</f>
        <v/>
      </c>
      <c r="K8" s="225"/>
      <c r="L8" s="209"/>
      <c r="M8" s="209"/>
      <c r="N8" s="209"/>
      <c r="O8" s="209"/>
      <c r="P8" s="209"/>
      <c r="Q8" s="209"/>
      <c r="R8" s="263" t="s">
        <v>38</v>
      </c>
      <c r="S8" s="266" t="s">
        <v>39</v>
      </c>
      <c r="T8" s="229"/>
    </row>
    <row r="9" spans="1:34" ht="26.1" hidden="1" customHeight="1">
      <c r="A9" s="208"/>
      <c r="B9" s="211"/>
      <c r="C9" s="211"/>
      <c r="D9" s="212"/>
      <c r="E9" s="210" t="str">
        <f>IFERROR(VLOOKUP($T9,공사현장대장!$A$5:$T$330,4),"")</f>
        <v/>
      </c>
      <c r="F9" s="212"/>
      <c r="G9" s="265"/>
      <c r="H9" s="265"/>
      <c r="I9" s="265"/>
      <c r="J9" s="265" t="str">
        <f>IFERROR(ROUND(VLOOKUP($T9,공사현장대장!$A$5:$T$330,9)/1000,0),"")</f>
        <v/>
      </c>
      <c r="K9" s="225"/>
      <c r="L9" s="209"/>
      <c r="M9" s="209"/>
      <c r="N9" s="209"/>
      <c r="O9" s="209"/>
      <c r="P9" s="209"/>
      <c r="Q9" s="209"/>
      <c r="R9" s="263" t="s">
        <v>38</v>
      </c>
      <c r="S9" s="266" t="s">
        <v>39</v>
      </c>
      <c r="T9" s="229"/>
    </row>
    <row r="10" spans="1:34" ht="26.1" hidden="1" customHeight="1">
      <c r="A10" s="208"/>
      <c r="B10" s="211"/>
      <c r="C10" s="211"/>
      <c r="D10" s="212"/>
      <c r="E10" s="210" t="str">
        <f>IFERROR(VLOOKUP($T10,공사현장대장!$A$5:$T$330,4),"")</f>
        <v/>
      </c>
      <c r="F10" s="212"/>
      <c r="G10" s="265"/>
      <c r="H10" s="265"/>
      <c r="I10" s="265"/>
      <c r="J10" s="265" t="str">
        <f>IFERROR(ROUND(VLOOKUP($T10,공사현장대장!$A$5:$T$330,9)/1000,0),"")</f>
        <v/>
      </c>
      <c r="K10" s="225"/>
      <c r="L10" s="209"/>
      <c r="M10" s="209"/>
      <c r="N10" s="209"/>
      <c r="O10" s="209"/>
      <c r="P10" s="209"/>
      <c r="Q10" s="209"/>
      <c r="R10" s="263" t="s">
        <v>38</v>
      </c>
      <c r="S10" s="266" t="s">
        <v>39</v>
      </c>
      <c r="T10" s="229"/>
    </row>
    <row r="11" spans="1:34" ht="30.75" hidden="1" customHeight="1">
      <c r="A11" s="324" t="s">
        <v>40</v>
      </c>
      <c r="B11" s="325"/>
      <c r="C11" s="325"/>
      <c r="D11" s="325"/>
      <c r="E11" s="326"/>
      <c r="F11" s="226"/>
      <c r="G11" s="267"/>
      <c r="H11" s="267"/>
      <c r="I11" s="267"/>
      <c r="J11" s="267"/>
      <c r="K11" s="227">
        <f t="shared" ref="K11:Q11" si="0">SUM(K7-SUM(K8:K10))</f>
        <v>10560</v>
      </c>
      <c r="L11" s="227">
        <f t="shared" si="0"/>
        <v>0</v>
      </c>
      <c r="M11" s="227">
        <f t="shared" si="0"/>
        <v>0</v>
      </c>
      <c r="N11" s="227">
        <f t="shared" si="0"/>
        <v>0</v>
      </c>
      <c r="O11" s="227">
        <f t="shared" si="0"/>
        <v>0</v>
      </c>
      <c r="P11" s="227">
        <f t="shared" si="0"/>
        <v>0</v>
      </c>
      <c r="Q11" s="227">
        <f t="shared" si="0"/>
        <v>10560</v>
      </c>
      <c r="R11" s="268" t="s">
        <v>38</v>
      </c>
      <c r="S11" s="269" t="s">
        <v>39</v>
      </c>
      <c r="T11" s="230"/>
    </row>
    <row r="12" spans="1:34" ht="26.1" hidden="1" customHeight="1">
      <c r="A12" s="213" t="s">
        <v>29</v>
      </c>
      <c r="B12" s="214" t="s">
        <v>30</v>
      </c>
      <c r="C12" s="214" t="s">
        <v>31</v>
      </c>
      <c r="D12" s="215" t="s">
        <v>32</v>
      </c>
      <c r="E12" s="216" t="s">
        <v>33</v>
      </c>
      <c r="F12" s="215" t="s">
        <v>34</v>
      </c>
      <c r="G12" s="262" t="s">
        <v>35</v>
      </c>
      <c r="H12" s="262" t="s">
        <v>36</v>
      </c>
      <c r="I12" s="262" t="s">
        <v>37</v>
      </c>
      <c r="J12" s="262">
        <f>SUM(J13:J15)</f>
        <v>0</v>
      </c>
      <c r="K12" s="217"/>
      <c r="L12" s="218">
        <v>197746</v>
      </c>
      <c r="M12" s="218"/>
      <c r="N12" s="218"/>
      <c r="O12" s="218"/>
      <c r="P12" s="218"/>
      <c r="Q12" s="218">
        <f>SUM(K12:P12)</f>
        <v>197746</v>
      </c>
      <c r="R12" s="270" t="s">
        <v>41</v>
      </c>
      <c r="S12" s="266" t="s">
        <v>39</v>
      </c>
      <c r="T12" s="229"/>
      <c r="V12" s="241" t="str">
        <f>B12</f>
        <v>유</v>
      </c>
      <c r="W12" s="241" t="str">
        <f>C12</f>
        <v>공립</v>
      </c>
      <c r="X12" s="241" t="str">
        <f>D12</f>
        <v>남산유</v>
      </c>
      <c r="Y12" s="241" t="str">
        <f>E12</f>
        <v>조리실환기설비개선</v>
      </c>
      <c r="Z12" s="241" t="str">
        <f>F12</f>
        <v>66㎡</v>
      </c>
      <c r="AA12" s="244">
        <f>Q12</f>
        <v>197746</v>
      </c>
      <c r="AB12" s="271" t="str">
        <f>R12</f>
        <v>1회추경</v>
      </c>
      <c r="AC12" s="241">
        <v>420</v>
      </c>
      <c r="AH12" s="241" t="s">
        <v>42</v>
      </c>
    </row>
    <row r="13" spans="1:34" ht="26.1" hidden="1" customHeight="1">
      <c r="A13" s="208"/>
      <c r="B13" s="211"/>
      <c r="C13" s="211"/>
      <c r="D13" s="212"/>
      <c r="E13" s="210" t="str">
        <f>IFERROR(VLOOKUP($T13,공사현장대장!$A$5:$T$330,4),"")</f>
        <v/>
      </c>
      <c r="F13" s="212"/>
      <c r="G13" s="265"/>
      <c r="H13" s="265"/>
      <c r="I13" s="265"/>
      <c r="J13" s="265" t="str">
        <f>IFERROR(ROUND(VLOOKUP($T13,공사현장대장!$A$5:$T$330,9)/1000,0),"")</f>
        <v/>
      </c>
      <c r="K13" s="225"/>
      <c r="L13" s="209"/>
      <c r="M13" s="209"/>
      <c r="N13" s="209"/>
      <c r="O13" s="209"/>
      <c r="P13" s="209"/>
      <c r="Q13" s="209"/>
      <c r="R13" s="263" t="s">
        <v>41</v>
      </c>
      <c r="S13" s="266" t="s">
        <v>39</v>
      </c>
      <c r="T13" s="229"/>
      <c r="AA13" s="244"/>
      <c r="AB13" s="271"/>
    </row>
    <row r="14" spans="1:34" ht="26.1" hidden="1" customHeight="1">
      <c r="A14" s="208"/>
      <c r="B14" s="211"/>
      <c r="C14" s="211"/>
      <c r="D14" s="212"/>
      <c r="E14" s="210" t="str">
        <f>IFERROR(VLOOKUP($T14,공사현장대장!$A$5:$T$330,4),"")</f>
        <v/>
      </c>
      <c r="F14" s="212"/>
      <c r="G14" s="265"/>
      <c r="H14" s="265"/>
      <c r="I14" s="265"/>
      <c r="J14" s="265" t="str">
        <f>IFERROR(ROUND(VLOOKUP($T14,공사현장대장!$A$5:$T$330,9)/1000,0),"")</f>
        <v/>
      </c>
      <c r="K14" s="225"/>
      <c r="L14" s="209"/>
      <c r="M14" s="209"/>
      <c r="N14" s="209"/>
      <c r="O14" s="209"/>
      <c r="P14" s="209"/>
      <c r="Q14" s="209"/>
      <c r="R14" s="263" t="s">
        <v>41</v>
      </c>
      <c r="S14" s="266" t="s">
        <v>39</v>
      </c>
      <c r="T14" s="229"/>
      <c r="AA14" s="244"/>
      <c r="AB14" s="271"/>
    </row>
    <row r="15" spans="1:34" ht="26.1" hidden="1" customHeight="1">
      <c r="A15" s="208"/>
      <c r="B15" s="211"/>
      <c r="C15" s="211"/>
      <c r="D15" s="212"/>
      <c r="E15" s="210" t="str">
        <f>IFERROR(VLOOKUP($T15,공사현장대장!$A$5:$T$330,4),"")</f>
        <v/>
      </c>
      <c r="F15" s="212"/>
      <c r="G15" s="265"/>
      <c r="H15" s="265"/>
      <c r="I15" s="265"/>
      <c r="J15" s="265" t="str">
        <f>IFERROR(ROUND(VLOOKUP($T15,공사현장대장!$A$5:$T$330,9)/1000,0),"")</f>
        <v/>
      </c>
      <c r="K15" s="225"/>
      <c r="L15" s="209"/>
      <c r="M15" s="209"/>
      <c r="N15" s="209"/>
      <c r="O15" s="209"/>
      <c r="P15" s="209"/>
      <c r="Q15" s="209"/>
      <c r="R15" s="263" t="s">
        <v>41</v>
      </c>
      <c r="S15" s="266" t="s">
        <v>39</v>
      </c>
      <c r="T15" s="229"/>
      <c r="AA15" s="244"/>
      <c r="AB15" s="271"/>
    </row>
    <row r="16" spans="1:34" ht="26.1" hidden="1" customHeight="1">
      <c r="A16" s="324" t="s">
        <v>40</v>
      </c>
      <c r="B16" s="325"/>
      <c r="C16" s="325"/>
      <c r="D16" s="325"/>
      <c r="E16" s="326"/>
      <c r="F16" s="226"/>
      <c r="G16" s="267"/>
      <c r="H16" s="267"/>
      <c r="I16" s="267"/>
      <c r="J16" s="267"/>
      <c r="K16" s="227">
        <f t="shared" ref="K16:Q16" si="1">SUM(K12-SUM(K13:K15))</f>
        <v>0</v>
      </c>
      <c r="L16" s="227">
        <f t="shared" si="1"/>
        <v>197746</v>
      </c>
      <c r="M16" s="227">
        <f t="shared" si="1"/>
        <v>0</v>
      </c>
      <c r="N16" s="227">
        <f t="shared" si="1"/>
        <v>0</v>
      </c>
      <c r="O16" s="227">
        <f t="shared" si="1"/>
        <v>0</v>
      </c>
      <c r="P16" s="227">
        <f t="shared" si="1"/>
        <v>0</v>
      </c>
      <c r="Q16" s="227">
        <f t="shared" si="1"/>
        <v>197746</v>
      </c>
      <c r="R16" s="268" t="s">
        <v>41</v>
      </c>
      <c r="S16" s="269" t="s">
        <v>39</v>
      </c>
      <c r="T16" s="230"/>
      <c r="AA16" s="244"/>
      <c r="AB16" s="271"/>
    </row>
    <row r="17" spans="1:20" ht="26.1" customHeight="1" thickTop="1">
      <c r="A17" s="213" t="s">
        <v>29</v>
      </c>
      <c r="B17" s="214" t="s">
        <v>30</v>
      </c>
      <c r="C17" s="214" t="s">
        <v>31</v>
      </c>
      <c r="D17" s="215" t="s">
        <v>43</v>
      </c>
      <c r="E17" s="216" t="s">
        <v>44</v>
      </c>
      <c r="F17" s="215" t="s">
        <v>45</v>
      </c>
      <c r="G17" s="262" t="s">
        <v>46</v>
      </c>
      <c r="H17" s="262" t="s">
        <v>47</v>
      </c>
      <c r="I17" s="262" t="s">
        <v>48</v>
      </c>
      <c r="J17" s="262">
        <f>SUM(J18:J20)</f>
        <v>0</v>
      </c>
      <c r="K17" s="217"/>
      <c r="L17" s="218"/>
      <c r="M17" s="218"/>
      <c r="N17" s="218"/>
      <c r="O17" s="218"/>
      <c r="P17" s="218">
        <v>5770</v>
      </c>
      <c r="Q17" s="218">
        <f>SUM(K17:P17)</f>
        <v>5770</v>
      </c>
      <c r="R17" s="263" t="s">
        <v>38</v>
      </c>
      <c r="S17" s="266" t="s">
        <v>49</v>
      </c>
      <c r="T17" s="229"/>
    </row>
    <row r="18" spans="1:20" ht="26.1" customHeight="1">
      <c r="A18" s="208"/>
      <c r="B18" s="211"/>
      <c r="C18" s="211"/>
      <c r="D18" s="212"/>
      <c r="E18" s="210" t="str">
        <f>IFERROR(VLOOKUP($T18,공사현장대장!$A$5:$T$330,4),"")</f>
        <v/>
      </c>
      <c r="F18" s="212"/>
      <c r="G18" s="265"/>
      <c r="H18" s="265"/>
      <c r="I18" s="265"/>
      <c r="J18" s="265" t="str">
        <f>IFERROR(ROUND(VLOOKUP($T18,공사현장대장!$A$5:$T$330,9)/1000,0),"")</f>
        <v/>
      </c>
      <c r="K18" s="225"/>
      <c r="L18" s="209"/>
      <c r="M18" s="209"/>
      <c r="N18" s="209"/>
      <c r="O18" s="209"/>
      <c r="P18" s="209"/>
      <c r="Q18" s="209"/>
      <c r="R18" s="263" t="s">
        <v>38</v>
      </c>
      <c r="S18" s="266" t="s">
        <v>49</v>
      </c>
      <c r="T18" s="229"/>
    </row>
    <row r="19" spans="1:20" ht="26.1" customHeight="1">
      <c r="A19" s="208"/>
      <c r="B19" s="211"/>
      <c r="C19" s="211"/>
      <c r="D19" s="212"/>
      <c r="E19" s="210" t="str">
        <f>IFERROR(VLOOKUP($T19,공사현장대장!$A$5:$T$330,4),"")</f>
        <v/>
      </c>
      <c r="F19" s="212"/>
      <c r="G19" s="265"/>
      <c r="H19" s="265"/>
      <c r="I19" s="265"/>
      <c r="J19" s="265" t="str">
        <f>IFERROR(ROUND(VLOOKUP($T19,공사현장대장!$A$5:$T$330,9)/1000,0),"")</f>
        <v/>
      </c>
      <c r="K19" s="225"/>
      <c r="L19" s="209"/>
      <c r="M19" s="209"/>
      <c r="N19" s="209"/>
      <c r="O19" s="209"/>
      <c r="P19" s="209"/>
      <c r="Q19" s="209"/>
      <c r="R19" s="263" t="s">
        <v>38</v>
      </c>
      <c r="S19" s="266" t="s">
        <v>49</v>
      </c>
      <c r="T19" s="229"/>
    </row>
    <row r="20" spans="1:20" ht="26.1" customHeight="1">
      <c r="A20" s="208"/>
      <c r="B20" s="211"/>
      <c r="C20" s="211"/>
      <c r="D20" s="212"/>
      <c r="E20" s="210" t="str">
        <f>IFERROR(VLOOKUP($T20,공사현장대장!$A$5:$T$330,4),"")</f>
        <v/>
      </c>
      <c r="F20" s="212"/>
      <c r="G20" s="265"/>
      <c r="H20" s="265"/>
      <c r="I20" s="265"/>
      <c r="J20" s="265" t="str">
        <f>IFERROR(ROUND(VLOOKUP($T20,공사현장대장!$A$5:$T$330,9)/1000,0),"")</f>
        <v/>
      </c>
      <c r="K20" s="225"/>
      <c r="L20" s="209"/>
      <c r="M20" s="209"/>
      <c r="N20" s="209"/>
      <c r="O20" s="209"/>
      <c r="P20" s="209"/>
      <c r="Q20" s="209"/>
      <c r="R20" s="263" t="s">
        <v>38</v>
      </c>
      <c r="S20" s="266" t="s">
        <v>49</v>
      </c>
      <c r="T20" s="229"/>
    </row>
    <row r="21" spans="1:20" ht="26.1" customHeight="1">
      <c r="A21" s="324" t="s">
        <v>40</v>
      </c>
      <c r="B21" s="325"/>
      <c r="C21" s="325"/>
      <c r="D21" s="325"/>
      <c r="E21" s="326"/>
      <c r="F21" s="226"/>
      <c r="G21" s="267"/>
      <c r="H21" s="267"/>
      <c r="I21" s="267"/>
      <c r="J21" s="267"/>
      <c r="K21" s="227">
        <f t="shared" ref="K21:Q21" si="2">SUM(K17-SUM(K18:K20))</f>
        <v>0</v>
      </c>
      <c r="L21" s="227">
        <f t="shared" si="2"/>
        <v>0</v>
      </c>
      <c r="M21" s="227">
        <f t="shared" si="2"/>
        <v>0</v>
      </c>
      <c r="N21" s="227">
        <f t="shared" si="2"/>
        <v>0</v>
      </c>
      <c r="O21" s="227">
        <f t="shared" si="2"/>
        <v>0</v>
      </c>
      <c r="P21" s="227">
        <f t="shared" si="2"/>
        <v>5770</v>
      </c>
      <c r="Q21" s="227">
        <f t="shared" si="2"/>
        <v>5770</v>
      </c>
      <c r="R21" s="268" t="s">
        <v>38</v>
      </c>
      <c r="S21" s="269" t="s">
        <v>49</v>
      </c>
      <c r="T21" s="230"/>
    </row>
    <row r="22" spans="1:20" ht="26.1" hidden="1" customHeight="1">
      <c r="A22" s="213" t="s">
        <v>29</v>
      </c>
      <c r="B22" s="214" t="s">
        <v>50</v>
      </c>
      <c r="C22" s="214" t="s">
        <v>31</v>
      </c>
      <c r="D22" s="215" t="s">
        <v>51</v>
      </c>
      <c r="E22" s="216" t="s">
        <v>52</v>
      </c>
      <c r="F22" s="215" t="s">
        <v>53</v>
      </c>
      <c r="G22" s="262" t="s">
        <v>46</v>
      </c>
      <c r="H22" s="262" t="s">
        <v>54</v>
      </c>
      <c r="I22" s="262" t="s">
        <v>55</v>
      </c>
      <c r="J22" s="262">
        <f>SUM(J23:J25)</f>
        <v>0</v>
      </c>
      <c r="K22" s="217"/>
      <c r="L22" s="218"/>
      <c r="M22" s="218"/>
      <c r="N22" s="218"/>
      <c r="O22" s="218"/>
      <c r="P22" s="218">
        <v>18900</v>
      </c>
      <c r="Q22" s="218">
        <f>SUM(K22:P22)</f>
        <v>18900</v>
      </c>
      <c r="R22" s="263" t="s">
        <v>38</v>
      </c>
      <c r="S22" s="266" t="s">
        <v>49</v>
      </c>
      <c r="T22" s="229"/>
    </row>
    <row r="23" spans="1:20" ht="26.1" hidden="1" customHeight="1">
      <c r="A23" s="208"/>
      <c r="B23" s="211"/>
      <c r="C23" s="211"/>
      <c r="D23" s="212"/>
      <c r="E23" s="210" t="str">
        <f>IFERROR(VLOOKUP($T23,공사현장대장!$A$5:$T$330,4),"")</f>
        <v/>
      </c>
      <c r="F23" s="212"/>
      <c r="G23" s="265"/>
      <c r="H23" s="265"/>
      <c r="I23" s="265"/>
      <c r="J23" s="265" t="str">
        <f>IFERROR(ROUND(VLOOKUP($T23,공사현장대장!$A$5:$T$330,9)/1000,0),"")</f>
        <v/>
      </c>
      <c r="K23" s="225"/>
      <c r="L23" s="209"/>
      <c r="M23" s="209"/>
      <c r="N23" s="209"/>
      <c r="O23" s="209"/>
      <c r="P23" s="209"/>
      <c r="Q23" s="209"/>
      <c r="R23" s="263" t="s">
        <v>38</v>
      </c>
      <c r="S23" s="266" t="s">
        <v>49</v>
      </c>
      <c r="T23" s="229"/>
    </row>
    <row r="24" spans="1:20" ht="26.1" hidden="1" customHeight="1">
      <c r="A24" s="208"/>
      <c r="B24" s="211"/>
      <c r="C24" s="211"/>
      <c r="D24" s="212"/>
      <c r="E24" s="210" t="str">
        <f>IFERROR(VLOOKUP($T24,공사현장대장!$A$5:$T$330,4),"")</f>
        <v/>
      </c>
      <c r="F24" s="212"/>
      <c r="G24" s="265"/>
      <c r="H24" s="265"/>
      <c r="I24" s="265"/>
      <c r="J24" s="265" t="str">
        <f>IFERROR(ROUND(VLOOKUP($T24,공사현장대장!$A$5:$T$330,9)/1000,0),"")</f>
        <v/>
      </c>
      <c r="K24" s="225"/>
      <c r="L24" s="209"/>
      <c r="M24" s="209"/>
      <c r="N24" s="209"/>
      <c r="O24" s="209"/>
      <c r="P24" s="209"/>
      <c r="Q24" s="209"/>
      <c r="R24" s="263" t="s">
        <v>38</v>
      </c>
      <c r="S24" s="266" t="s">
        <v>49</v>
      </c>
      <c r="T24" s="229"/>
    </row>
    <row r="25" spans="1:20" ht="26.1" hidden="1" customHeight="1">
      <c r="A25" s="208"/>
      <c r="B25" s="211"/>
      <c r="C25" s="211"/>
      <c r="D25" s="212"/>
      <c r="E25" s="210" t="str">
        <f>IFERROR(VLOOKUP($T25,공사현장대장!$A$5:$T$330,4),"")</f>
        <v/>
      </c>
      <c r="F25" s="212"/>
      <c r="G25" s="265"/>
      <c r="H25" s="265"/>
      <c r="I25" s="265"/>
      <c r="J25" s="265" t="str">
        <f>IFERROR(ROUND(VLOOKUP($T25,공사현장대장!$A$5:$T$330,9)/1000,0),"")</f>
        <v/>
      </c>
      <c r="K25" s="225"/>
      <c r="L25" s="209"/>
      <c r="M25" s="209"/>
      <c r="N25" s="209"/>
      <c r="O25" s="209"/>
      <c r="P25" s="209"/>
      <c r="Q25" s="209"/>
      <c r="R25" s="263" t="s">
        <v>38</v>
      </c>
      <c r="S25" s="266" t="s">
        <v>49</v>
      </c>
      <c r="T25" s="229"/>
    </row>
    <row r="26" spans="1:20" ht="26.1" hidden="1" customHeight="1">
      <c r="A26" s="324" t="s">
        <v>40</v>
      </c>
      <c r="B26" s="325"/>
      <c r="C26" s="325"/>
      <c r="D26" s="325"/>
      <c r="E26" s="326"/>
      <c r="F26" s="226"/>
      <c r="G26" s="267"/>
      <c r="H26" s="267"/>
      <c r="I26" s="267"/>
      <c r="J26" s="267"/>
      <c r="K26" s="227">
        <f t="shared" ref="K26:Q26" si="3">SUM(K22-SUM(K23:K25))</f>
        <v>0</v>
      </c>
      <c r="L26" s="227">
        <f t="shared" si="3"/>
        <v>0</v>
      </c>
      <c r="M26" s="227">
        <f t="shared" si="3"/>
        <v>0</v>
      </c>
      <c r="N26" s="227">
        <f t="shared" si="3"/>
        <v>0</v>
      </c>
      <c r="O26" s="227">
        <f t="shared" si="3"/>
        <v>0</v>
      </c>
      <c r="P26" s="227">
        <f t="shared" si="3"/>
        <v>18900</v>
      </c>
      <c r="Q26" s="227">
        <f t="shared" si="3"/>
        <v>18900</v>
      </c>
      <c r="R26" s="268" t="s">
        <v>38</v>
      </c>
      <c r="S26" s="269" t="s">
        <v>49</v>
      </c>
      <c r="T26" s="230"/>
    </row>
    <row r="27" spans="1:20" ht="26.1" hidden="1" customHeight="1">
      <c r="A27" s="213" t="s">
        <v>29</v>
      </c>
      <c r="B27" s="214" t="s">
        <v>50</v>
      </c>
      <c r="C27" s="214" t="s">
        <v>31</v>
      </c>
      <c r="D27" s="215" t="s">
        <v>51</v>
      </c>
      <c r="E27" s="216" t="s">
        <v>56</v>
      </c>
      <c r="F27" s="215" t="s">
        <v>57</v>
      </c>
      <c r="G27" s="262" t="s">
        <v>46</v>
      </c>
      <c r="H27" s="262" t="s">
        <v>54</v>
      </c>
      <c r="I27" s="262" t="s">
        <v>55</v>
      </c>
      <c r="J27" s="262">
        <f>SUM(J28:J30)</f>
        <v>0</v>
      </c>
      <c r="K27" s="217"/>
      <c r="L27" s="218"/>
      <c r="M27" s="218"/>
      <c r="N27" s="218"/>
      <c r="O27" s="218"/>
      <c r="P27" s="218">
        <v>22750</v>
      </c>
      <c r="Q27" s="218">
        <f>SUM(K27:P27)</f>
        <v>22750</v>
      </c>
      <c r="R27" s="263" t="s">
        <v>38</v>
      </c>
      <c r="S27" s="266" t="s">
        <v>49</v>
      </c>
      <c r="T27" s="229"/>
    </row>
    <row r="28" spans="1:20" ht="26.1" hidden="1" customHeight="1">
      <c r="A28" s="208"/>
      <c r="B28" s="211"/>
      <c r="C28" s="211"/>
      <c r="D28" s="212"/>
      <c r="E28" s="210" t="str">
        <f>IFERROR(VLOOKUP($T28,공사현장대장!$A$5:$T$330,4),"")</f>
        <v/>
      </c>
      <c r="F28" s="212"/>
      <c r="G28" s="265"/>
      <c r="H28" s="265"/>
      <c r="I28" s="265"/>
      <c r="J28" s="265" t="str">
        <f>IFERROR(ROUND(VLOOKUP($T28,공사현장대장!$A$5:$T$330,9)/1000,0),"")</f>
        <v/>
      </c>
      <c r="K28" s="225"/>
      <c r="L28" s="209"/>
      <c r="M28" s="209"/>
      <c r="N28" s="209"/>
      <c r="O28" s="209"/>
      <c r="P28" s="209"/>
      <c r="Q28" s="209"/>
      <c r="R28" s="263" t="s">
        <v>38</v>
      </c>
      <c r="S28" s="266" t="s">
        <v>49</v>
      </c>
      <c r="T28" s="229"/>
    </row>
    <row r="29" spans="1:20" ht="26.1" hidden="1" customHeight="1">
      <c r="A29" s="208"/>
      <c r="B29" s="211"/>
      <c r="C29" s="211"/>
      <c r="D29" s="212"/>
      <c r="E29" s="210" t="str">
        <f>IFERROR(VLOOKUP($T29,공사현장대장!$A$5:$T$330,4),"")</f>
        <v/>
      </c>
      <c r="F29" s="212"/>
      <c r="G29" s="265"/>
      <c r="H29" s="265"/>
      <c r="I29" s="265"/>
      <c r="J29" s="265" t="str">
        <f>IFERROR(ROUND(VLOOKUP($T29,공사현장대장!$A$5:$T$330,9)/1000,0),"")</f>
        <v/>
      </c>
      <c r="K29" s="225"/>
      <c r="L29" s="209"/>
      <c r="M29" s="209"/>
      <c r="N29" s="209"/>
      <c r="O29" s="209"/>
      <c r="P29" s="209"/>
      <c r="Q29" s="209"/>
      <c r="R29" s="263" t="s">
        <v>38</v>
      </c>
      <c r="S29" s="266" t="s">
        <v>49</v>
      </c>
      <c r="T29" s="229"/>
    </row>
    <row r="30" spans="1:20" ht="26.1" hidden="1" customHeight="1">
      <c r="A30" s="208"/>
      <c r="B30" s="211"/>
      <c r="C30" s="211"/>
      <c r="D30" s="212"/>
      <c r="E30" s="210" t="str">
        <f>IFERROR(VLOOKUP($T30,공사현장대장!$A$5:$T$330,4),"")</f>
        <v/>
      </c>
      <c r="F30" s="212"/>
      <c r="G30" s="265"/>
      <c r="H30" s="265"/>
      <c r="I30" s="265"/>
      <c r="J30" s="265" t="str">
        <f>IFERROR(ROUND(VLOOKUP($T30,공사현장대장!$A$5:$T$330,9)/1000,0),"")</f>
        <v/>
      </c>
      <c r="K30" s="225"/>
      <c r="L30" s="209"/>
      <c r="M30" s="209"/>
      <c r="N30" s="209"/>
      <c r="O30" s="209"/>
      <c r="P30" s="209"/>
      <c r="Q30" s="209"/>
      <c r="R30" s="263" t="s">
        <v>38</v>
      </c>
      <c r="S30" s="266" t="s">
        <v>49</v>
      </c>
      <c r="T30" s="229"/>
    </row>
    <row r="31" spans="1:20" ht="26.1" hidden="1" customHeight="1">
      <c r="A31" s="324" t="s">
        <v>40</v>
      </c>
      <c r="B31" s="325"/>
      <c r="C31" s="325"/>
      <c r="D31" s="325"/>
      <c r="E31" s="326"/>
      <c r="F31" s="226"/>
      <c r="G31" s="267"/>
      <c r="H31" s="267"/>
      <c r="I31" s="267"/>
      <c r="J31" s="267"/>
      <c r="K31" s="227">
        <f t="shared" ref="K31:Q31" si="4">SUM(K27-SUM(K28:K30))</f>
        <v>0</v>
      </c>
      <c r="L31" s="227">
        <f t="shared" si="4"/>
        <v>0</v>
      </c>
      <c r="M31" s="227">
        <f t="shared" si="4"/>
        <v>0</v>
      </c>
      <c r="N31" s="227">
        <f t="shared" si="4"/>
        <v>0</v>
      </c>
      <c r="O31" s="227">
        <f t="shared" si="4"/>
        <v>0</v>
      </c>
      <c r="P31" s="227">
        <f t="shared" si="4"/>
        <v>22750</v>
      </c>
      <c r="Q31" s="227">
        <f t="shared" si="4"/>
        <v>22750</v>
      </c>
      <c r="R31" s="268" t="s">
        <v>38</v>
      </c>
      <c r="S31" s="269" t="s">
        <v>49</v>
      </c>
      <c r="T31" s="230"/>
    </row>
    <row r="32" spans="1:20" ht="26.1" hidden="1" customHeight="1">
      <c r="A32" s="213" t="s">
        <v>29</v>
      </c>
      <c r="B32" s="214" t="s">
        <v>50</v>
      </c>
      <c r="C32" s="214" t="s">
        <v>31</v>
      </c>
      <c r="D32" s="215" t="s">
        <v>51</v>
      </c>
      <c r="E32" s="216" t="s">
        <v>58</v>
      </c>
      <c r="F32" s="215" t="s">
        <v>59</v>
      </c>
      <c r="G32" s="262" t="s">
        <v>46</v>
      </c>
      <c r="H32" s="262" t="s">
        <v>54</v>
      </c>
      <c r="I32" s="262" t="s">
        <v>55</v>
      </c>
      <c r="J32" s="262">
        <f>SUM(J33:J35)</f>
        <v>0</v>
      </c>
      <c r="K32" s="217"/>
      <c r="L32" s="218"/>
      <c r="M32" s="218"/>
      <c r="N32" s="218"/>
      <c r="O32" s="218"/>
      <c r="P32" s="218">
        <v>19250</v>
      </c>
      <c r="Q32" s="218">
        <f>SUM(K32:P32)</f>
        <v>19250</v>
      </c>
      <c r="R32" s="263" t="s">
        <v>38</v>
      </c>
      <c r="S32" s="266" t="s">
        <v>49</v>
      </c>
      <c r="T32" s="229"/>
    </row>
    <row r="33" spans="1:29" ht="26.1" hidden="1" customHeight="1">
      <c r="A33" s="208"/>
      <c r="B33" s="211"/>
      <c r="C33" s="211"/>
      <c r="D33" s="212"/>
      <c r="E33" s="210" t="str">
        <f>IFERROR(VLOOKUP($T33,공사현장대장!$A$5:$T$330,4),"")</f>
        <v/>
      </c>
      <c r="F33" s="212"/>
      <c r="G33" s="265"/>
      <c r="H33" s="265"/>
      <c r="I33" s="265"/>
      <c r="J33" s="265" t="str">
        <f>IFERROR(ROUND(VLOOKUP($T33,공사현장대장!$A$5:$T$330,9)/1000,0),"")</f>
        <v/>
      </c>
      <c r="K33" s="225"/>
      <c r="L33" s="209"/>
      <c r="M33" s="209"/>
      <c r="N33" s="209"/>
      <c r="O33" s="209"/>
      <c r="P33" s="209"/>
      <c r="Q33" s="209"/>
      <c r="R33" s="263" t="s">
        <v>38</v>
      </c>
      <c r="S33" s="266" t="s">
        <v>49</v>
      </c>
      <c r="T33" s="229"/>
    </row>
    <row r="34" spans="1:29" ht="26.1" hidden="1" customHeight="1">
      <c r="A34" s="208"/>
      <c r="B34" s="211"/>
      <c r="C34" s="211"/>
      <c r="D34" s="212"/>
      <c r="E34" s="210" t="str">
        <f>IFERROR(VLOOKUP($T34,공사현장대장!$A$5:$T$330,4),"")</f>
        <v/>
      </c>
      <c r="F34" s="212"/>
      <c r="G34" s="265"/>
      <c r="H34" s="265"/>
      <c r="I34" s="265"/>
      <c r="J34" s="265" t="str">
        <f>IFERROR(ROUND(VLOOKUP($T34,공사현장대장!$A$5:$T$330,9)/1000,0),"")</f>
        <v/>
      </c>
      <c r="K34" s="225"/>
      <c r="L34" s="209"/>
      <c r="M34" s="209"/>
      <c r="N34" s="209"/>
      <c r="O34" s="209"/>
      <c r="P34" s="209"/>
      <c r="Q34" s="209"/>
      <c r="R34" s="263" t="s">
        <v>38</v>
      </c>
      <c r="S34" s="266" t="s">
        <v>49</v>
      </c>
      <c r="T34" s="229"/>
    </row>
    <row r="35" spans="1:29" ht="26.1" hidden="1" customHeight="1">
      <c r="A35" s="208"/>
      <c r="B35" s="211"/>
      <c r="C35" s="211"/>
      <c r="D35" s="212"/>
      <c r="E35" s="210" t="str">
        <f>IFERROR(VLOOKUP($T35,공사현장대장!$A$5:$T$330,4),"")</f>
        <v/>
      </c>
      <c r="F35" s="212"/>
      <c r="G35" s="265"/>
      <c r="H35" s="265"/>
      <c r="I35" s="265"/>
      <c r="J35" s="265" t="str">
        <f>IFERROR(ROUND(VLOOKUP($T35,공사현장대장!$A$5:$T$330,9)/1000,0),"")</f>
        <v/>
      </c>
      <c r="K35" s="225"/>
      <c r="L35" s="209"/>
      <c r="M35" s="209"/>
      <c r="N35" s="209"/>
      <c r="O35" s="209"/>
      <c r="P35" s="209"/>
      <c r="Q35" s="209"/>
      <c r="R35" s="263" t="s">
        <v>38</v>
      </c>
      <c r="S35" s="266" t="s">
        <v>49</v>
      </c>
      <c r="T35" s="229"/>
    </row>
    <row r="36" spans="1:29" ht="26.1" hidden="1" customHeight="1">
      <c r="A36" s="324" t="s">
        <v>40</v>
      </c>
      <c r="B36" s="325"/>
      <c r="C36" s="325"/>
      <c r="D36" s="325"/>
      <c r="E36" s="326"/>
      <c r="F36" s="226"/>
      <c r="G36" s="267"/>
      <c r="H36" s="267"/>
      <c r="I36" s="267"/>
      <c r="J36" s="267"/>
      <c r="K36" s="227">
        <f t="shared" ref="K36:Q36" si="5">SUM(K32-SUM(K33:K35))</f>
        <v>0</v>
      </c>
      <c r="L36" s="227">
        <f t="shared" si="5"/>
        <v>0</v>
      </c>
      <c r="M36" s="227">
        <f t="shared" si="5"/>
        <v>0</v>
      </c>
      <c r="N36" s="227">
        <f t="shared" si="5"/>
        <v>0</v>
      </c>
      <c r="O36" s="227">
        <f t="shared" si="5"/>
        <v>0</v>
      </c>
      <c r="P36" s="227">
        <f t="shared" si="5"/>
        <v>19250</v>
      </c>
      <c r="Q36" s="227">
        <f t="shared" si="5"/>
        <v>19250</v>
      </c>
      <c r="R36" s="268" t="s">
        <v>38</v>
      </c>
      <c r="S36" s="269" t="s">
        <v>49</v>
      </c>
      <c r="T36" s="230"/>
    </row>
    <row r="37" spans="1:29" ht="26.1" hidden="1" customHeight="1">
      <c r="A37" s="213" t="s">
        <v>29</v>
      </c>
      <c r="B37" s="214" t="s">
        <v>50</v>
      </c>
      <c r="C37" s="214" t="s">
        <v>31</v>
      </c>
      <c r="D37" s="215" t="s">
        <v>51</v>
      </c>
      <c r="E37" s="216" t="s">
        <v>60</v>
      </c>
      <c r="F37" s="215" t="s">
        <v>61</v>
      </c>
      <c r="G37" s="262" t="s">
        <v>46</v>
      </c>
      <c r="H37" s="262" t="s">
        <v>54</v>
      </c>
      <c r="I37" s="262" t="s">
        <v>62</v>
      </c>
      <c r="J37" s="262">
        <f>SUM(J38:J40)</f>
        <v>0</v>
      </c>
      <c r="K37" s="217"/>
      <c r="L37" s="218"/>
      <c r="M37" s="218"/>
      <c r="N37" s="218"/>
      <c r="O37" s="218"/>
      <c r="P37" s="218">
        <v>32585</v>
      </c>
      <c r="Q37" s="218">
        <f>SUM(K37:P37)</f>
        <v>32585</v>
      </c>
      <c r="R37" s="263" t="s">
        <v>38</v>
      </c>
      <c r="S37" s="266" t="s">
        <v>49</v>
      </c>
      <c r="T37" s="229"/>
    </row>
    <row r="38" spans="1:29" ht="26.1" hidden="1" customHeight="1">
      <c r="A38" s="208"/>
      <c r="B38" s="211"/>
      <c r="C38" s="211"/>
      <c r="D38" s="212"/>
      <c r="E38" s="210" t="str">
        <f>IFERROR(VLOOKUP($T38,공사현장대장!$A$5:$T$330,4),"")</f>
        <v/>
      </c>
      <c r="F38" s="212"/>
      <c r="G38" s="265"/>
      <c r="H38" s="265"/>
      <c r="I38" s="265"/>
      <c r="J38" s="265" t="str">
        <f>IFERROR(ROUND(VLOOKUP($T38,공사현장대장!$A$5:$T$330,9)/1000,0),"")</f>
        <v/>
      </c>
      <c r="K38" s="225"/>
      <c r="L38" s="209"/>
      <c r="M38" s="209"/>
      <c r="N38" s="209"/>
      <c r="O38" s="209"/>
      <c r="P38" s="209"/>
      <c r="Q38" s="209"/>
      <c r="R38" s="263" t="s">
        <v>38</v>
      </c>
      <c r="S38" s="266" t="s">
        <v>49</v>
      </c>
      <c r="T38" s="229"/>
    </row>
    <row r="39" spans="1:29" ht="26.1" hidden="1" customHeight="1">
      <c r="A39" s="208"/>
      <c r="B39" s="211"/>
      <c r="C39" s="211"/>
      <c r="D39" s="212"/>
      <c r="E39" s="210" t="str">
        <f>IFERROR(VLOOKUP($T39,공사현장대장!$A$5:$T$330,4),"")</f>
        <v/>
      </c>
      <c r="F39" s="212"/>
      <c r="G39" s="265"/>
      <c r="H39" s="265"/>
      <c r="I39" s="265"/>
      <c r="J39" s="265" t="str">
        <f>IFERROR(ROUND(VLOOKUP($T39,공사현장대장!$A$5:$T$330,9)/1000,0),"")</f>
        <v/>
      </c>
      <c r="K39" s="225"/>
      <c r="L39" s="209"/>
      <c r="M39" s="209"/>
      <c r="N39" s="209"/>
      <c r="O39" s="209"/>
      <c r="P39" s="209"/>
      <c r="Q39" s="209"/>
      <c r="R39" s="263" t="s">
        <v>38</v>
      </c>
      <c r="S39" s="266" t="s">
        <v>49</v>
      </c>
      <c r="T39" s="229"/>
    </row>
    <row r="40" spans="1:29" ht="26.1" hidden="1" customHeight="1">
      <c r="A40" s="208"/>
      <c r="B40" s="211"/>
      <c r="C40" s="211"/>
      <c r="D40" s="212"/>
      <c r="E40" s="210" t="str">
        <f>IFERROR(VLOOKUP($T40,공사현장대장!$A$5:$T$330,4),"")</f>
        <v/>
      </c>
      <c r="F40" s="212"/>
      <c r="G40" s="265"/>
      <c r="H40" s="265"/>
      <c r="I40" s="265"/>
      <c r="J40" s="265" t="str">
        <f>IFERROR(ROUND(VLOOKUP($T40,공사현장대장!$A$5:$T$330,9)/1000,0),"")</f>
        <v/>
      </c>
      <c r="K40" s="225"/>
      <c r="L40" s="209"/>
      <c r="M40" s="209"/>
      <c r="N40" s="209"/>
      <c r="O40" s="209"/>
      <c r="P40" s="209"/>
      <c r="Q40" s="209"/>
      <c r="R40" s="263" t="s">
        <v>38</v>
      </c>
      <c r="S40" s="266" t="s">
        <v>49</v>
      </c>
      <c r="T40" s="229"/>
    </row>
    <row r="41" spans="1:29" ht="26.1" hidden="1" customHeight="1">
      <c r="A41" s="324" t="s">
        <v>40</v>
      </c>
      <c r="B41" s="325"/>
      <c r="C41" s="325"/>
      <c r="D41" s="325"/>
      <c r="E41" s="326"/>
      <c r="F41" s="226"/>
      <c r="G41" s="267"/>
      <c r="H41" s="267"/>
      <c r="I41" s="267"/>
      <c r="J41" s="267"/>
      <c r="K41" s="227">
        <f t="shared" ref="K41:Q41" si="6">SUM(K37-SUM(K38:K40))</f>
        <v>0</v>
      </c>
      <c r="L41" s="227">
        <f t="shared" si="6"/>
        <v>0</v>
      </c>
      <c r="M41" s="227">
        <f t="shared" si="6"/>
        <v>0</v>
      </c>
      <c r="N41" s="227">
        <f t="shared" si="6"/>
        <v>0</v>
      </c>
      <c r="O41" s="227">
        <f t="shared" si="6"/>
        <v>0</v>
      </c>
      <c r="P41" s="227">
        <f t="shared" si="6"/>
        <v>32585</v>
      </c>
      <c r="Q41" s="227">
        <f t="shared" si="6"/>
        <v>32585</v>
      </c>
      <c r="R41" s="268" t="s">
        <v>38</v>
      </c>
      <c r="S41" s="269" t="s">
        <v>49</v>
      </c>
      <c r="T41" s="230"/>
    </row>
    <row r="42" spans="1:29" ht="26.1" customHeight="1">
      <c r="A42" s="213" t="s">
        <v>29</v>
      </c>
      <c r="B42" s="214" t="s">
        <v>50</v>
      </c>
      <c r="C42" s="214" t="s">
        <v>31</v>
      </c>
      <c r="D42" s="215" t="s">
        <v>51</v>
      </c>
      <c r="E42" s="216" t="s">
        <v>63</v>
      </c>
      <c r="F42" s="215" t="s">
        <v>64</v>
      </c>
      <c r="G42" s="262" t="s">
        <v>46</v>
      </c>
      <c r="H42" s="262" t="s">
        <v>65</v>
      </c>
      <c r="I42" s="262" t="s">
        <v>66</v>
      </c>
      <c r="J42" s="262">
        <f>SUM(J43:J45)</f>
        <v>0</v>
      </c>
      <c r="K42" s="218"/>
      <c r="L42" s="218">
        <v>13687</v>
      </c>
      <c r="M42" s="218"/>
      <c r="N42" s="218"/>
      <c r="O42" s="218"/>
      <c r="P42" s="218"/>
      <c r="Q42" s="218">
        <f>SUM(K42:P42)</f>
        <v>13687</v>
      </c>
      <c r="R42" s="263" t="s">
        <v>38</v>
      </c>
      <c r="S42" s="266" t="s">
        <v>49</v>
      </c>
      <c r="T42" s="229"/>
    </row>
    <row r="43" spans="1:29" ht="26.1" customHeight="1">
      <c r="A43" s="208"/>
      <c r="B43" s="211"/>
      <c r="C43" s="211"/>
      <c r="D43" s="212"/>
      <c r="E43" s="210" t="str">
        <f>IFERROR(VLOOKUP($T43,공사현장대장!$A$5:$T$330,4),"")</f>
        <v/>
      </c>
      <c r="F43" s="212"/>
      <c r="G43" s="265"/>
      <c r="H43" s="265"/>
      <c r="I43" s="265"/>
      <c r="J43" s="265" t="str">
        <f>IFERROR(ROUND(VLOOKUP($T43,공사현장대장!$A$5:$T$330,9)/1000,0),"")</f>
        <v/>
      </c>
      <c r="K43" s="225"/>
      <c r="L43" s="209"/>
      <c r="M43" s="209"/>
      <c r="N43" s="209"/>
      <c r="O43" s="209"/>
      <c r="P43" s="209"/>
      <c r="Q43" s="209"/>
      <c r="R43" s="263" t="s">
        <v>38</v>
      </c>
      <c r="S43" s="266" t="s">
        <v>49</v>
      </c>
      <c r="T43" s="229"/>
    </row>
    <row r="44" spans="1:29" ht="26.1" customHeight="1">
      <c r="A44" s="208"/>
      <c r="B44" s="211"/>
      <c r="C44" s="211"/>
      <c r="D44" s="212"/>
      <c r="E44" s="210" t="str">
        <f>IFERROR(VLOOKUP($T44,공사현장대장!$A$5:$T$330,4),"")</f>
        <v/>
      </c>
      <c r="F44" s="212"/>
      <c r="G44" s="265"/>
      <c r="H44" s="265"/>
      <c r="I44" s="265"/>
      <c r="J44" s="265" t="str">
        <f>IFERROR(ROUND(VLOOKUP($T44,공사현장대장!$A$5:$T$330,9)/1000,0),"")</f>
        <v/>
      </c>
      <c r="K44" s="225"/>
      <c r="L44" s="209"/>
      <c r="M44" s="209"/>
      <c r="N44" s="209"/>
      <c r="O44" s="209"/>
      <c r="P44" s="209"/>
      <c r="Q44" s="209"/>
      <c r="R44" s="263" t="s">
        <v>38</v>
      </c>
      <c r="S44" s="266" t="s">
        <v>49</v>
      </c>
      <c r="T44" s="229"/>
    </row>
    <row r="45" spans="1:29" ht="26.1" customHeight="1">
      <c r="A45" s="208"/>
      <c r="B45" s="211"/>
      <c r="C45" s="211"/>
      <c r="D45" s="212"/>
      <c r="E45" s="210" t="str">
        <f>IFERROR(VLOOKUP($T45,공사현장대장!$A$5:$T$330,4),"")</f>
        <v/>
      </c>
      <c r="F45" s="212"/>
      <c r="G45" s="265"/>
      <c r="H45" s="265"/>
      <c r="I45" s="265"/>
      <c r="J45" s="265" t="str">
        <f>IFERROR(ROUND(VLOOKUP($T45,공사현장대장!$A$5:$T$330,9)/1000,0),"")</f>
        <v/>
      </c>
      <c r="K45" s="225"/>
      <c r="L45" s="209"/>
      <c r="M45" s="209"/>
      <c r="N45" s="209"/>
      <c r="O45" s="209"/>
      <c r="P45" s="209"/>
      <c r="Q45" s="209"/>
      <c r="R45" s="263" t="s">
        <v>38</v>
      </c>
      <c r="S45" s="266" t="s">
        <v>49</v>
      </c>
      <c r="T45" s="229"/>
    </row>
    <row r="46" spans="1:29" ht="26.1" customHeight="1">
      <c r="A46" s="324" t="s">
        <v>40</v>
      </c>
      <c r="B46" s="325"/>
      <c r="C46" s="325"/>
      <c r="D46" s="325"/>
      <c r="E46" s="326"/>
      <c r="F46" s="226"/>
      <c r="G46" s="267"/>
      <c r="H46" s="267"/>
      <c r="I46" s="267"/>
      <c r="J46" s="267"/>
      <c r="K46" s="227">
        <f t="shared" ref="K46:Q46" si="7">SUM(K42-SUM(K43:K45))</f>
        <v>0</v>
      </c>
      <c r="L46" s="227">
        <f t="shared" si="7"/>
        <v>13687</v>
      </c>
      <c r="M46" s="227">
        <f t="shared" si="7"/>
        <v>0</v>
      </c>
      <c r="N46" s="227">
        <f t="shared" si="7"/>
        <v>0</v>
      </c>
      <c r="O46" s="227">
        <f t="shared" si="7"/>
        <v>0</v>
      </c>
      <c r="P46" s="227">
        <f t="shared" si="7"/>
        <v>0</v>
      </c>
      <c r="Q46" s="227">
        <f t="shared" si="7"/>
        <v>13687</v>
      </c>
      <c r="R46" s="268" t="s">
        <v>38</v>
      </c>
      <c r="S46" s="269" t="s">
        <v>49</v>
      </c>
      <c r="T46" s="230"/>
    </row>
    <row r="47" spans="1:29" ht="26.1" customHeight="1">
      <c r="A47" s="213" t="s">
        <v>29</v>
      </c>
      <c r="B47" s="214" t="s">
        <v>50</v>
      </c>
      <c r="C47" s="214" t="s">
        <v>31</v>
      </c>
      <c r="D47" s="215" t="s">
        <v>51</v>
      </c>
      <c r="E47" s="216" t="s">
        <v>67</v>
      </c>
      <c r="F47" s="215" t="s">
        <v>64</v>
      </c>
      <c r="G47" s="262" t="s">
        <v>46</v>
      </c>
      <c r="H47" s="262" t="s">
        <v>65</v>
      </c>
      <c r="I47" s="262" t="s">
        <v>66</v>
      </c>
      <c r="J47" s="262">
        <f>SUM(J48:J50)</f>
        <v>0</v>
      </c>
      <c r="K47" s="217"/>
      <c r="L47" s="218">
        <v>314749</v>
      </c>
      <c r="M47" s="218"/>
      <c r="N47" s="218"/>
      <c r="O47" s="218"/>
      <c r="P47" s="218"/>
      <c r="Q47" s="218">
        <f>SUM(K47:P47)</f>
        <v>314749</v>
      </c>
      <c r="R47" s="270" t="s">
        <v>41</v>
      </c>
      <c r="S47" s="266" t="s">
        <v>49</v>
      </c>
      <c r="T47" s="229"/>
      <c r="V47" s="241" t="str">
        <f>B47</f>
        <v>초</v>
      </c>
      <c r="W47" s="241" t="str">
        <f>C47</f>
        <v>공립</v>
      </c>
      <c r="X47" s="241" t="str">
        <f>D47</f>
        <v>구송초</v>
      </c>
      <c r="Y47" s="241" t="str">
        <f>E47</f>
        <v xml:space="preserve"> 다목적실 보수</v>
      </c>
      <c r="Z47" s="241" t="str">
        <f>F47</f>
        <v>230㎡</v>
      </c>
      <c r="AA47" s="244">
        <f>Q47</f>
        <v>314749</v>
      </c>
      <c r="AB47" s="271" t="str">
        <f>R47</f>
        <v>1회추경</v>
      </c>
      <c r="AC47" s="241">
        <v>420</v>
      </c>
    </row>
    <row r="48" spans="1:29" ht="26.1" customHeight="1">
      <c r="A48" s="208"/>
      <c r="B48" s="211"/>
      <c r="C48" s="211"/>
      <c r="D48" s="212"/>
      <c r="E48" s="210" t="str">
        <f>IFERROR(VLOOKUP($T48,공사현장대장!$A$5:$T$330,4),"")</f>
        <v/>
      </c>
      <c r="F48" s="212"/>
      <c r="G48" s="265"/>
      <c r="H48" s="265"/>
      <c r="I48" s="265"/>
      <c r="J48" s="265" t="str">
        <f>IFERROR(ROUND(VLOOKUP($T48,공사현장대장!$A$5:$T$330,9)/1000,0),"")</f>
        <v/>
      </c>
      <c r="K48" s="225"/>
      <c r="L48" s="209"/>
      <c r="M48" s="209"/>
      <c r="N48" s="209"/>
      <c r="O48" s="209"/>
      <c r="P48" s="209"/>
      <c r="Q48" s="209"/>
      <c r="R48" s="263" t="s">
        <v>41</v>
      </c>
      <c r="S48" s="266" t="s">
        <v>49</v>
      </c>
      <c r="T48" s="229"/>
      <c r="AA48" s="244"/>
      <c r="AB48" s="271"/>
    </row>
    <row r="49" spans="1:28" ht="26.1" customHeight="1">
      <c r="A49" s="208"/>
      <c r="B49" s="211"/>
      <c r="C49" s="211"/>
      <c r="D49" s="212"/>
      <c r="E49" s="210" t="str">
        <f>IFERROR(VLOOKUP($T49,공사현장대장!$A$5:$T$330,4),"")</f>
        <v/>
      </c>
      <c r="F49" s="212"/>
      <c r="G49" s="265"/>
      <c r="H49" s="265"/>
      <c r="I49" s="265"/>
      <c r="J49" s="265" t="str">
        <f>IFERROR(ROUND(VLOOKUP($T49,공사현장대장!$A$5:$T$330,9)/1000,0),"")</f>
        <v/>
      </c>
      <c r="K49" s="225"/>
      <c r="L49" s="209"/>
      <c r="M49" s="209"/>
      <c r="N49" s="209"/>
      <c r="O49" s="209"/>
      <c r="P49" s="209"/>
      <c r="Q49" s="209"/>
      <c r="R49" s="263" t="s">
        <v>41</v>
      </c>
      <c r="S49" s="266" t="s">
        <v>49</v>
      </c>
      <c r="T49" s="229"/>
      <c r="AA49" s="244"/>
      <c r="AB49" s="271"/>
    </row>
    <row r="50" spans="1:28" ht="26.1" customHeight="1">
      <c r="A50" s="208"/>
      <c r="B50" s="211"/>
      <c r="C50" s="211"/>
      <c r="D50" s="212"/>
      <c r="E50" s="210" t="str">
        <f>IFERROR(VLOOKUP($T50,공사현장대장!$A$5:$T$330,4),"")</f>
        <v/>
      </c>
      <c r="F50" s="212"/>
      <c r="G50" s="265"/>
      <c r="H50" s="265"/>
      <c r="I50" s="265"/>
      <c r="J50" s="265" t="str">
        <f>IFERROR(ROUND(VLOOKUP($T50,공사현장대장!$A$5:$T$330,9)/1000,0),"")</f>
        <v/>
      </c>
      <c r="K50" s="225"/>
      <c r="L50" s="209"/>
      <c r="M50" s="209"/>
      <c r="N50" s="209"/>
      <c r="O50" s="209"/>
      <c r="P50" s="209"/>
      <c r="Q50" s="209"/>
      <c r="R50" s="263" t="s">
        <v>41</v>
      </c>
      <c r="S50" s="266" t="s">
        <v>49</v>
      </c>
      <c r="T50" s="229"/>
      <c r="AA50" s="244"/>
      <c r="AB50" s="271"/>
    </row>
    <row r="51" spans="1:28" ht="26.1" customHeight="1">
      <c r="A51" s="324" t="s">
        <v>40</v>
      </c>
      <c r="B51" s="325"/>
      <c r="C51" s="325"/>
      <c r="D51" s="325"/>
      <c r="E51" s="326"/>
      <c r="F51" s="226"/>
      <c r="G51" s="267"/>
      <c r="H51" s="267"/>
      <c r="I51" s="267"/>
      <c r="J51" s="267"/>
      <c r="K51" s="227">
        <f t="shared" ref="K51:Q51" si="8">SUM(K47-SUM(K48:K50))</f>
        <v>0</v>
      </c>
      <c r="L51" s="227">
        <f t="shared" si="8"/>
        <v>314749</v>
      </c>
      <c r="M51" s="227">
        <f t="shared" si="8"/>
        <v>0</v>
      </c>
      <c r="N51" s="227">
        <f t="shared" si="8"/>
        <v>0</v>
      </c>
      <c r="O51" s="227">
        <f t="shared" si="8"/>
        <v>0</v>
      </c>
      <c r="P51" s="227">
        <f t="shared" si="8"/>
        <v>0</v>
      </c>
      <c r="Q51" s="227">
        <f t="shared" si="8"/>
        <v>314749</v>
      </c>
      <c r="R51" s="268" t="s">
        <v>41</v>
      </c>
      <c r="S51" s="269" t="s">
        <v>49</v>
      </c>
      <c r="T51" s="230"/>
      <c r="AA51" s="244"/>
      <c r="AB51" s="271"/>
    </row>
    <row r="52" spans="1:28" ht="26.1" hidden="1" customHeight="1">
      <c r="A52" s="213" t="s">
        <v>29</v>
      </c>
      <c r="B52" s="214" t="s">
        <v>50</v>
      </c>
      <c r="C52" s="214" t="s">
        <v>31</v>
      </c>
      <c r="D52" s="215" t="s">
        <v>68</v>
      </c>
      <c r="E52" s="216" t="s">
        <v>69</v>
      </c>
      <c r="F52" s="215" t="s">
        <v>70</v>
      </c>
      <c r="G52" s="262" t="s">
        <v>35</v>
      </c>
      <c r="H52" s="262" t="s">
        <v>36</v>
      </c>
      <c r="I52" s="262" t="s">
        <v>37</v>
      </c>
      <c r="J52" s="262">
        <f>SUM(J53:J55)</f>
        <v>0</v>
      </c>
      <c r="K52" s="217">
        <v>70000</v>
      </c>
      <c r="L52" s="218"/>
      <c r="M52" s="218"/>
      <c r="N52" s="218"/>
      <c r="O52" s="218"/>
      <c r="P52" s="218"/>
      <c r="Q52" s="218">
        <f>SUM(K52:P52)</f>
        <v>70000</v>
      </c>
      <c r="R52" s="263" t="s">
        <v>38</v>
      </c>
      <c r="S52" s="266" t="s">
        <v>71</v>
      </c>
      <c r="T52" s="229"/>
    </row>
    <row r="53" spans="1:28" ht="26.1" hidden="1" customHeight="1">
      <c r="A53" s="208"/>
      <c r="B53" s="211"/>
      <c r="C53" s="211"/>
      <c r="D53" s="212"/>
      <c r="E53" s="210" t="str">
        <f>IFERROR(VLOOKUP($T53,공사현장대장!$A$5:$T$330,4),"")</f>
        <v/>
      </c>
      <c r="F53" s="212"/>
      <c r="G53" s="265"/>
      <c r="H53" s="265"/>
      <c r="I53" s="265"/>
      <c r="J53" s="265" t="str">
        <f>IFERROR(ROUND(VLOOKUP($T53,공사현장대장!$A$5:$T$330,9)/1000,0),"")</f>
        <v/>
      </c>
      <c r="K53" s="225"/>
      <c r="L53" s="209"/>
      <c r="M53" s="209"/>
      <c r="N53" s="209"/>
      <c r="O53" s="209"/>
      <c r="P53" s="209"/>
      <c r="Q53" s="209"/>
      <c r="R53" s="263" t="s">
        <v>38</v>
      </c>
      <c r="S53" s="266" t="s">
        <v>71</v>
      </c>
      <c r="T53" s="229"/>
    </row>
    <row r="54" spans="1:28" ht="26.1" hidden="1" customHeight="1">
      <c r="A54" s="208"/>
      <c r="B54" s="211"/>
      <c r="C54" s="211"/>
      <c r="D54" s="212"/>
      <c r="E54" s="210" t="str">
        <f>IFERROR(VLOOKUP($T54,공사현장대장!$A$5:$T$330,4),"")</f>
        <v/>
      </c>
      <c r="F54" s="212"/>
      <c r="G54" s="265"/>
      <c r="H54" s="265"/>
      <c r="I54" s="265"/>
      <c r="J54" s="265" t="str">
        <f>IFERROR(ROUND(VLOOKUP($T54,공사현장대장!$A$5:$T$330,9)/1000,0),"")</f>
        <v/>
      </c>
      <c r="K54" s="225"/>
      <c r="L54" s="209"/>
      <c r="M54" s="209"/>
      <c r="N54" s="209"/>
      <c r="O54" s="209"/>
      <c r="P54" s="209"/>
      <c r="Q54" s="209"/>
      <c r="R54" s="263" t="s">
        <v>38</v>
      </c>
      <c r="S54" s="266" t="s">
        <v>71</v>
      </c>
      <c r="T54" s="229"/>
    </row>
    <row r="55" spans="1:28" ht="26.1" hidden="1" customHeight="1">
      <c r="A55" s="208"/>
      <c r="B55" s="211"/>
      <c r="C55" s="211"/>
      <c r="D55" s="212"/>
      <c r="E55" s="210" t="str">
        <f>IFERROR(VLOOKUP($T55,공사현장대장!$A$5:$T$330,4),"")</f>
        <v/>
      </c>
      <c r="F55" s="212"/>
      <c r="G55" s="265"/>
      <c r="H55" s="265"/>
      <c r="I55" s="265"/>
      <c r="J55" s="265" t="str">
        <f>IFERROR(ROUND(VLOOKUP($T55,공사현장대장!$A$5:$T$330,9)/1000,0),"")</f>
        <v/>
      </c>
      <c r="K55" s="225"/>
      <c r="L55" s="209"/>
      <c r="M55" s="209"/>
      <c r="N55" s="209"/>
      <c r="O55" s="209"/>
      <c r="P55" s="209"/>
      <c r="Q55" s="209"/>
      <c r="R55" s="263" t="s">
        <v>38</v>
      </c>
      <c r="S55" s="266" t="s">
        <v>71</v>
      </c>
      <c r="T55" s="229"/>
    </row>
    <row r="56" spans="1:28" ht="26.1" hidden="1" customHeight="1">
      <c r="A56" s="324" t="s">
        <v>40</v>
      </c>
      <c r="B56" s="325"/>
      <c r="C56" s="325"/>
      <c r="D56" s="325"/>
      <c r="E56" s="326"/>
      <c r="F56" s="226"/>
      <c r="G56" s="267"/>
      <c r="H56" s="267"/>
      <c r="I56" s="267"/>
      <c r="J56" s="267"/>
      <c r="K56" s="227">
        <f t="shared" ref="K56:Q56" si="9">SUM(K52-SUM(K53:K55))</f>
        <v>70000</v>
      </c>
      <c r="L56" s="227">
        <f t="shared" si="9"/>
        <v>0</v>
      </c>
      <c r="M56" s="227">
        <f t="shared" si="9"/>
        <v>0</v>
      </c>
      <c r="N56" s="227">
        <f t="shared" si="9"/>
        <v>0</v>
      </c>
      <c r="O56" s="227">
        <f t="shared" si="9"/>
        <v>0</v>
      </c>
      <c r="P56" s="227">
        <f t="shared" si="9"/>
        <v>0</v>
      </c>
      <c r="Q56" s="227">
        <f t="shared" si="9"/>
        <v>70000</v>
      </c>
      <c r="R56" s="268" t="s">
        <v>38</v>
      </c>
      <c r="S56" s="269" t="s">
        <v>71</v>
      </c>
      <c r="T56" s="230"/>
    </row>
    <row r="57" spans="1:28" ht="26.1" hidden="1" customHeight="1">
      <c r="A57" s="219" t="s">
        <v>29</v>
      </c>
      <c r="B57" s="214" t="s">
        <v>50</v>
      </c>
      <c r="C57" s="220" t="s">
        <v>31</v>
      </c>
      <c r="D57" s="215" t="s">
        <v>68</v>
      </c>
      <c r="E57" s="215" t="s">
        <v>72</v>
      </c>
      <c r="F57" s="272" t="s">
        <v>73</v>
      </c>
      <c r="G57" s="262" t="s">
        <v>46</v>
      </c>
      <c r="H57" s="262" t="s">
        <v>74</v>
      </c>
      <c r="I57" s="262" t="s">
        <v>75</v>
      </c>
      <c r="J57" s="262">
        <f>SUM(J58:J60)</f>
        <v>0</v>
      </c>
      <c r="K57" s="221">
        <v>480181</v>
      </c>
      <c r="L57" s="222"/>
      <c r="M57" s="222"/>
      <c r="N57" s="222"/>
      <c r="O57" s="222"/>
      <c r="P57" s="222"/>
      <c r="Q57" s="223">
        <f>SUM(K57:P57)</f>
        <v>480181</v>
      </c>
      <c r="R57" s="273" t="s">
        <v>76</v>
      </c>
      <c r="S57" s="266" t="s">
        <v>71</v>
      </c>
      <c r="T57" s="231"/>
    </row>
    <row r="58" spans="1:28" ht="26.1" hidden="1" customHeight="1">
      <c r="A58" s="208"/>
      <c r="B58" s="211"/>
      <c r="C58" s="211"/>
      <c r="D58" s="212"/>
      <c r="E58" s="210" t="str">
        <f>IFERROR(VLOOKUP($T58,공사현장대장!$A$5:$T$330,4),"")</f>
        <v/>
      </c>
      <c r="F58" s="212"/>
      <c r="G58" s="265"/>
      <c r="H58" s="265"/>
      <c r="I58" s="265"/>
      <c r="J58" s="265" t="str">
        <f>IFERROR(ROUND(VLOOKUP($T58,공사현장대장!$A$5:$T$330,9)/1000,0),"")</f>
        <v/>
      </c>
      <c r="K58" s="225"/>
      <c r="L58" s="209"/>
      <c r="M58" s="209"/>
      <c r="N58" s="209"/>
      <c r="O58" s="209"/>
      <c r="P58" s="209"/>
      <c r="Q58" s="209"/>
      <c r="R58" s="263" t="s">
        <v>76</v>
      </c>
      <c r="S58" s="266" t="s">
        <v>71</v>
      </c>
      <c r="T58" s="229"/>
    </row>
    <row r="59" spans="1:28" ht="26.1" hidden="1" customHeight="1">
      <c r="A59" s="208"/>
      <c r="B59" s="211"/>
      <c r="C59" s="211"/>
      <c r="D59" s="212"/>
      <c r="E59" s="210" t="str">
        <f>IFERROR(VLOOKUP($T59,공사현장대장!$A$5:$T$330,4),"")</f>
        <v/>
      </c>
      <c r="F59" s="212"/>
      <c r="G59" s="265"/>
      <c r="H59" s="265"/>
      <c r="I59" s="265"/>
      <c r="J59" s="265" t="str">
        <f>IFERROR(ROUND(VLOOKUP($T59,공사현장대장!$A$5:$T$330,9)/1000,0),"")</f>
        <v/>
      </c>
      <c r="K59" s="225"/>
      <c r="L59" s="209"/>
      <c r="M59" s="209"/>
      <c r="N59" s="209"/>
      <c r="O59" s="209"/>
      <c r="P59" s="209"/>
      <c r="Q59" s="209"/>
      <c r="R59" s="263" t="s">
        <v>76</v>
      </c>
      <c r="S59" s="266" t="s">
        <v>71</v>
      </c>
      <c r="T59" s="229"/>
    </row>
    <row r="60" spans="1:28" ht="26.1" hidden="1" customHeight="1">
      <c r="A60" s="208"/>
      <c r="B60" s="211"/>
      <c r="C60" s="211"/>
      <c r="D60" s="212"/>
      <c r="E60" s="210" t="str">
        <f>IFERROR(VLOOKUP($T60,공사현장대장!$A$5:$T$330,4),"")</f>
        <v/>
      </c>
      <c r="F60" s="212"/>
      <c r="G60" s="265"/>
      <c r="H60" s="265"/>
      <c r="I60" s="265"/>
      <c r="J60" s="265" t="str">
        <f>IFERROR(ROUND(VLOOKUP($T60,공사현장대장!$A$5:$T$330,9)/1000,0),"")</f>
        <v/>
      </c>
      <c r="K60" s="225"/>
      <c r="L60" s="209"/>
      <c r="M60" s="209"/>
      <c r="N60" s="209"/>
      <c r="O60" s="209"/>
      <c r="P60" s="209"/>
      <c r="Q60" s="209"/>
      <c r="R60" s="263" t="s">
        <v>76</v>
      </c>
      <c r="S60" s="266" t="s">
        <v>71</v>
      </c>
      <c r="T60" s="229"/>
    </row>
    <row r="61" spans="1:28" ht="26.1" hidden="1" customHeight="1">
      <c r="A61" s="324" t="s">
        <v>40</v>
      </c>
      <c r="B61" s="325"/>
      <c r="C61" s="325"/>
      <c r="D61" s="325"/>
      <c r="E61" s="326"/>
      <c r="F61" s="226"/>
      <c r="G61" s="267"/>
      <c r="H61" s="267"/>
      <c r="I61" s="267"/>
      <c r="J61" s="267"/>
      <c r="K61" s="227">
        <f t="shared" ref="K61:Q61" si="10">SUM(K57-SUM(K58:K60))</f>
        <v>480181</v>
      </c>
      <c r="L61" s="227">
        <f t="shared" si="10"/>
        <v>0</v>
      </c>
      <c r="M61" s="227">
        <f t="shared" si="10"/>
        <v>0</v>
      </c>
      <c r="N61" s="227">
        <f t="shared" si="10"/>
        <v>0</v>
      </c>
      <c r="O61" s="227">
        <f t="shared" si="10"/>
        <v>0</v>
      </c>
      <c r="P61" s="227">
        <f t="shared" si="10"/>
        <v>0</v>
      </c>
      <c r="Q61" s="227">
        <f t="shared" si="10"/>
        <v>480181</v>
      </c>
      <c r="R61" s="268" t="s">
        <v>76</v>
      </c>
      <c r="S61" s="269" t="s">
        <v>71</v>
      </c>
      <c r="T61" s="230"/>
    </row>
    <row r="62" spans="1:28" ht="26.1" hidden="1" customHeight="1">
      <c r="A62" s="219" t="s">
        <v>29</v>
      </c>
      <c r="B62" s="214" t="s">
        <v>50</v>
      </c>
      <c r="C62" s="220" t="s">
        <v>31</v>
      </c>
      <c r="D62" s="215" t="s">
        <v>68</v>
      </c>
      <c r="E62" s="215" t="s">
        <v>72</v>
      </c>
      <c r="F62" s="272" t="s">
        <v>73</v>
      </c>
      <c r="G62" s="262" t="s">
        <v>46</v>
      </c>
      <c r="H62" s="262" t="s">
        <v>74</v>
      </c>
      <c r="I62" s="262" t="s">
        <v>75</v>
      </c>
      <c r="J62" s="262">
        <f>SUM(J63:J65)</f>
        <v>0</v>
      </c>
      <c r="K62" s="221"/>
      <c r="L62" s="222">
        <v>1340250</v>
      </c>
      <c r="M62" s="222">
        <v>296515</v>
      </c>
      <c r="N62" s="222">
        <v>3440</v>
      </c>
      <c r="O62" s="222"/>
      <c r="P62" s="222"/>
      <c r="Q62" s="223">
        <f>SUM(K62:P62)</f>
        <v>1640205</v>
      </c>
      <c r="R62" s="273" t="s">
        <v>76</v>
      </c>
      <c r="S62" s="266" t="s">
        <v>71</v>
      </c>
      <c r="T62" s="231"/>
    </row>
    <row r="63" spans="1:28" ht="26.1" hidden="1" customHeight="1">
      <c r="A63" s="208"/>
      <c r="B63" s="211"/>
      <c r="C63" s="211"/>
      <c r="D63" s="212"/>
      <c r="E63" s="210" t="str">
        <f>IFERROR(VLOOKUP($T63,공사현장대장!$A$5:$T$330,4),"")</f>
        <v/>
      </c>
      <c r="F63" s="212"/>
      <c r="G63" s="265"/>
      <c r="H63" s="265"/>
      <c r="I63" s="265"/>
      <c r="J63" s="265" t="str">
        <f>IFERROR(ROUND(VLOOKUP($T63,공사현장대장!$A$5:$T$330,9)/1000,0),"")</f>
        <v/>
      </c>
      <c r="K63" s="225"/>
      <c r="L63" s="209"/>
      <c r="M63" s="209"/>
      <c r="N63" s="209"/>
      <c r="O63" s="209"/>
      <c r="P63" s="209"/>
      <c r="Q63" s="209"/>
      <c r="R63" s="263" t="s">
        <v>76</v>
      </c>
      <c r="S63" s="266" t="s">
        <v>71</v>
      </c>
      <c r="T63" s="229"/>
    </row>
    <row r="64" spans="1:28" ht="26.1" hidden="1" customHeight="1">
      <c r="A64" s="208"/>
      <c r="B64" s="211"/>
      <c r="C64" s="211"/>
      <c r="D64" s="212"/>
      <c r="E64" s="210" t="str">
        <f>IFERROR(VLOOKUP($T64,공사현장대장!$A$5:$T$330,4),"")</f>
        <v/>
      </c>
      <c r="F64" s="212"/>
      <c r="G64" s="265"/>
      <c r="H64" s="265"/>
      <c r="I64" s="265"/>
      <c r="J64" s="265" t="str">
        <f>IFERROR(ROUND(VLOOKUP($T64,공사현장대장!$A$5:$T$330,9)/1000,0),"")</f>
        <v/>
      </c>
      <c r="K64" s="225"/>
      <c r="L64" s="209"/>
      <c r="M64" s="209"/>
      <c r="N64" s="209"/>
      <c r="O64" s="209"/>
      <c r="P64" s="209"/>
      <c r="Q64" s="209"/>
      <c r="R64" s="263" t="s">
        <v>76</v>
      </c>
      <c r="S64" s="266" t="s">
        <v>71</v>
      </c>
      <c r="T64" s="229"/>
    </row>
    <row r="65" spans="1:20" ht="26.1" hidden="1" customHeight="1">
      <c r="A65" s="208"/>
      <c r="B65" s="211"/>
      <c r="C65" s="211"/>
      <c r="D65" s="212"/>
      <c r="E65" s="210" t="str">
        <f>IFERROR(VLOOKUP($T65,공사현장대장!$A$5:$T$330,4),"")</f>
        <v/>
      </c>
      <c r="F65" s="212"/>
      <c r="G65" s="265"/>
      <c r="H65" s="265"/>
      <c r="I65" s="265"/>
      <c r="J65" s="265" t="str">
        <f>IFERROR(ROUND(VLOOKUP($T65,공사현장대장!$A$5:$T$330,9)/1000,0),"")</f>
        <v/>
      </c>
      <c r="K65" s="225"/>
      <c r="L65" s="209"/>
      <c r="M65" s="209"/>
      <c r="N65" s="209"/>
      <c r="O65" s="209"/>
      <c r="P65" s="209"/>
      <c r="Q65" s="209"/>
      <c r="R65" s="263" t="s">
        <v>76</v>
      </c>
      <c r="S65" s="266" t="s">
        <v>71</v>
      </c>
      <c r="T65" s="229"/>
    </row>
    <row r="66" spans="1:20" ht="26.1" hidden="1" customHeight="1">
      <c r="A66" s="324" t="s">
        <v>40</v>
      </c>
      <c r="B66" s="325"/>
      <c r="C66" s="325"/>
      <c r="D66" s="325"/>
      <c r="E66" s="326"/>
      <c r="F66" s="226"/>
      <c r="G66" s="267"/>
      <c r="H66" s="267"/>
      <c r="I66" s="267"/>
      <c r="J66" s="267"/>
      <c r="K66" s="227">
        <f t="shared" ref="K66:Q66" si="11">SUM(K62-SUM(K63:K65))</f>
        <v>0</v>
      </c>
      <c r="L66" s="227">
        <f t="shared" si="11"/>
        <v>1340250</v>
      </c>
      <c r="M66" s="227">
        <f t="shared" si="11"/>
        <v>296515</v>
      </c>
      <c r="N66" s="227">
        <f t="shared" si="11"/>
        <v>3440</v>
      </c>
      <c r="O66" s="227">
        <f t="shared" si="11"/>
        <v>0</v>
      </c>
      <c r="P66" s="227">
        <f t="shared" si="11"/>
        <v>0</v>
      </c>
      <c r="Q66" s="227">
        <f t="shared" si="11"/>
        <v>1640205</v>
      </c>
      <c r="R66" s="268" t="s">
        <v>76</v>
      </c>
      <c r="S66" s="269" t="s">
        <v>71</v>
      </c>
      <c r="T66" s="230"/>
    </row>
    <row r="67" spans="1:20" ht="26.1" hidden="1" customHeight="1">
      <c r="A67" s="213" t="s">
        <v>29</v>
      </c>
      <c r="B67" s="214" t="s">
        <v>50</v>
      </c>
      <c r="C67" s="214" t="s">
        <v>31</v>
      </c>
      <c r="D67" s="215" t="s">
        <v>68</v>
      </c>
      <c r="E67" s="216" t="s">
        <v>77</v>
      </c>
      <c r="F67" s="215" t="s">
        <v>78</v>
      </c>
      <c r="G67" s="262" t="s">
        <v>46</v>
      </c>
      <c r="H67" s="262" t="s">
        <v>54</v>
      </c>
      <c r="I67" s="262" t="s">
        <v>55</v>
      </c>
      <c r="J67" s="262">
        <f>SUM(J68:J70)</f>
        <v>0</v>
      </c>
      <c r="K67" s="217"/>
      <c r="L67" s="218"/>
      <c r="M67" s="218"/>
      <c r="N67" s="218"/>
      <c r="O67" s="218"/>
      <c r="P67" s="218">
        <v>19110</v>
      </c>
      <c r="Q67" s="218">
        <f>SUM(K67:P67)</f>
        <v>19110</v>
      </c>
      <c r="R67" s="263" t="s">
        <v>38</v>
      </c>
      <c r="S67" s="266" t="s">
        <v>71</v>
      </c>
      <c r="T67" s="229"/>
    </row>
    <row r="68" spans="1:20" ht="26.1" hidden="1" customHeight="1">
      <c r="A68" s="208"/>
      <c r="B68" s="211"/>
      <c r="C68" s="211"/>
      <c r="D68" s="212"/>
      <c r="E68" s="210" t="str">
        <f>IFERROR(VLOOKUP($T68,공사현장대장!$A$5:$T$330,4),"")</f>
        <v/>
      </c>
      <c r="F68" s="212"/>
      <c r="G68" s="265"/>
      <c r="H68" s="265"/>
      <c r="I68" s="265"/>
      <c r="J68" s="265" t="str">
        <f>IFERROR(ROUND(VLOOKUP($T68,공사현장대장!$A$5:$T$330,9)/1000,0),"")</f>
        <v/>
      </c>
      <c r="K68" s="225"/>
      <c r="L68" s="209"/>
      <c r="M68" s="209"/>
      <c r="N68" s="209"/>
      <c r="O68" s="209"/>
      <c r="P68" s="209"/>
      <c r="Q68" s="209"/>
      <c r="R68" s="263" t="s">
        <v>38</v>
      </c>
      <c r="S68" s="266" t="s">
        <v>71</v>
      </c>
      <c r="T68" s="229"/>
    </row>
    <row r="69" spans="1:20" ht="26.1" hidden="1" customHeight="1">
      <c r="A69" s="208"/>
      <c r="B69" s="211"/>
      <c r="C69" s="211"/>
      <c r="D69" s="212"/>
      <c r="E69" s="210" t="str">
        <f>IFERROR(VLOOKUP($T69,공사현장대장!$A$5:$T$330,4),"")</f>
        <v/>
      </c>
      <c r="F69" s="212"/>
      <c r="G69" s="265"/>
      <c r="H69" s="265"/>
      <c r="I69" s="265"/>
      <c r="J69" s="265" t="str">
        <f>IFERROR(ROUND(VLOOKUP($T69,공사현장대장!$A$5:$T$330,9)/1000,0),"")</f>
        <v/>
      </c>
      <c r="K69" s="225"/>
      <c r="L69" s="209"/>
      <c r="M69" s="209"/>
      <c r="N69" s="209"/>
      <c r="O69" s="209"/>
      <c r="P69" s="209"/>
      <c r="Q69" s="209"/>
      <c r="R69" s="263" t="s">
        <v>38</v>
      </c>
      <c r="S69" s="266" t="s">
        <v>71</v>
      </c>
      <c r="T69" s="229"/>
    </row>
    <row r="70" spans="1:20" ht="26.1" hidden="1" customHeight="1">
      <c r="A70" s="208"/>
      <c r="B70" s="211"/>
      <c r="C70" s="211"/>
      <c r="D70" s="212"/>
      <c r="E70" s="210" t="str">
        <f>IFERROR(VLOOKUP($T70,공사현장대장!$A$5:$T$330,4),"")</f>
        <v/>
      </c>
      <c r="F70" s="212"/>
      <c r="G70" s="265"/>
      <c r="H70" s="265"/>
      <c r="I70" s="265"/>
      <c r="J70" s="265" t="str">
        <f>IFERROR(ROUND(VLOOKUP($T70,공사현장대장!$A$5:$T$330,9)/1000,0),"")</f>
        <v/>
      </c>
      <c r="K70" s="225"/>
      <c r="L70" s="209"/>
      <c r="M70" s="209"/>
      <c r="N70" s="209"/>
      <c r="O70" s="209"/>
      <c r="P70" s="209"/>
      <c r="Q70" s="209"/>
      <c r="R70" s="263" t="s">
        <v>38</v>
      </c>
      <c r="S70" s="266" t="s">
        <v>71</v>
      </c>
      <c r="T70" s="229"/>
    </row>
    <row r="71" spans="1:20" ht="26.1" hidden="1" customHeight="1">
      <c r="A71" s="324" t="s">
        <v>40</v>
      </c>
      <c r="B71" s="325"/>
      <c r="C71" s="325"/>
      <c r="D71" s="325"/>
      <c r="E71" s="326"/>
      <c r="F71" s="226"/>
      <c r="G71" s="267"/>
      <c r="H71" s="267"/>
      <c r="I71" s="267"/>
      <c r="J71" s="267"/>
      <c r="K71" s="227">
        <f t="shared" ref="K71:Q71" si="12">SUM(K67-SUM(K68:K70))</f>
        <v>0</v>
      </c>
      <c r="L71" s="227">
        <f t="shared" si="12"/>
        <v>0</v>
      </c>
      <c r="M71" s="227">
        <f t="shared" si="12"/>
        <v>0</v>
      </c>
      <c r="N71" s="227">
        <f t="shared" si="12"/>
        <v>0</v>
      </c>
      <c r="O71" s="227">
        <f t="shared" si="12"/>
        <v>0</v>
      </c>
      <c r="P71" s="227">
        <f t="shared" si="12"/>
        <v>19110</v>
      </c>
      <c r="Q71" s="227">
        <f t="shared" si="12"/>
        <v>19110</v>
      </c>
      <c r="R71" s="268" t="s">
        <v>38</v>
      </c>
      <c r="S71" s="269" t="s">
        <v>71</v>
      </c>
      <c r="T71" s="230"/>
    </row>
    <row r="72" spans="1:20" ht="26.1" hidden="1" customHeight="1">
      <c r="A72" s="213" t="s">
        <v>29</v>
      </c>
      <c r="B72" s="214" t="s">
        <v>50</v>
      </c>
      <c r="C72" s="214" t="s">
        <v>31</v>
      </c>
      <c r="D72" s="215" t="s">
        <v>68</v>
      </c>
      <c r="E72" s="216" t="s">
        <v>79</v>
      </c>
      <c r="F72" s="215" t="s">
        <v>80</v>
      </c>
      <c r="G72" s="262" t="s">
        <v>46</v>
      </c>
      <c r="H72" s="262" t="s">
        <v>47</v>
      </c>
      <c r="I72" s="262" t="s">
        <v>48</v>
      </c>
      <c r="J72" s="262">
        <f>SUM(J73:J75)</f>
        <v>0</v>
      </c>
      <c r="K72" s="217"/>
      <c r="L72" s="218"/>
      <c r="M72" s="218"/>
      <c r="N72" s="218"/>
      <c r="O72" s="218"/>
      <c r="P72" s="218">
        <v>7655</v>
      </c>
      <c r="Q72" s="218">
        <f>SUM(K72:P72)</f>
        <v>7655</v>
      </c>
      <c r="R72" s="263" t="s">
        <v>38</v>
      </c>
      <c r="S72" s="266" t="s">
        <v>71</v>
      </c>
      <c r="T72" s="229"/>
    </row>
    <row r="73" spans="1:20" ht="26.1" hidden="1" customHeight="1">
      <c r="A73" s="208"/>
      <c r="B73" s="211"/>
      <c r="C73" s="211"/>
      <c r="D73" s="212"/>
      <c r="E73" s="210" t="str">
        <f>IFERROR(VLOOKUP($T73,공사현장대장!$A$5:$T$330,4),"")</f>
        <v/>
      </c>
      <c r="F73" s="212"/>
      <c r="G73" s="265"/>
      <c r="H73" s="265"/>
      <c r="I73" s="265"/>
      <c r="J73" s="265" t="str">
        <f>IFERROR(ROUND(VLOOKUP($T73,공사현장대장!$A$5:$T$330,9)/1000,0),"")</f>
        <v/>
      </c>
      <c r="K73" s="225"/>
      <c r="L73" s="209"/>
      <c r="M73" s="209"/>
      <c r="N73" s="209"/>
      <c r="O73" s="209"/>
      <c r="P73" s="209"/>
      <c r="Q73" s="209"/>
      <c r="R73" s="263" t="s">
        <v>38</v>
      </c>
      <c r="S73" s="266" t="s">
        <v>71</v>
      </c>
      <c r="T73" s="229"/>
    </row>
    <row r="74" spans="1:20" ht="26.1" hidden="1" customHeight="1">
      <c r="A74" s="208"/>
      <c r="B74" s="211"/>
      <c r="C74" s="211"/>
      <c r="D74" s="212"/>
      <c r="E74" s="210" t="str">
        <f>IFERROR(VLOOKUP($T74,공사현장대장!$A$5:$T$330,4),"")</f>
        <v/>
      </c>
      <c r="F74" s="212"/>
      <c r="G74" s="265"/>
      <c r="H74" s="265"/>
      <c r="I74" s="265"/>
      <c r="J74" s="265" t="str">
        <f>IFERROR(ROUND(VLOOKUP($T74,공사현장대장!$A$5:$T$330,9)/1000,0),"")</f>
        <v/>
      </c>
      <c r="K74" s="225"/>
      <c r="L74" s="209"/>
      <c r="M74" s="209"/>
      <c r="N74" s="209"/>
      <c r="O74" s="209"/>
      <c r="P74" s="209"/>
      <c r="Q74" s="209"/>
      <c r="R74" s="263" t="s">
        <v>38</v>
      </c>
      <c r="S74" s="266" t="s">
        <v>71</v>
      </c>
      <c r="T74" s="229"/>
    </row>
    <row r="75" spans="1:20" ht="26.1" hidden="1" customHeight="1">
      <c r="A75" s="208"/>
      <c r="B75" s="211"/>
      <c r="C75" s="211"/>
      <c r="D75" s="212"/>
      <c r="E75" s="210" t="str">
        <f>IFERROR(VLOOKUP($T75,공사현장대장!$A$5:$T$330,4),"")</f>
        <v/>
      </c>
      <c r="F75" s="212"/>
      <c r="G75" s="265"/>
      <c r="H75" s="265"/>
      <c r="I75" s="265"/>
      <c r="J75" s="265" t="str">
        <f>IFERROR(ROUND(VLOOKUP($T75,공사현장대장!$A$5:$T$330,9)/1000,0),"")</f>
        <v/>
      </c>
      <c r="K75" s="225"/>
      <c r="L75" s="209"/>
      <c r="M75" s="209"/>
      <c r="N75" s="209"/>
      <c r="O75" s="209"/>
      <c r="P75" s="209"/>
      <c r="Q75" s="209"/>
      <c r="R75" s="263" t="s">
        <v>38</v>
      </c>
      <c r="S75" s="266" t="s">
        <v>71</v>
      </c>
      <c r="T75" s="229"/>
    </row>
    <row r="76" spans="1:20" ht="26.1" hidden="1" customHeight="1">
      <c r="A76" s="324" t="s">
        <v>40</v>
      </c>
      <c r="B76" s="325"/>
      <c r="C76" s="325"/>
      <c r="D76" s="325"/>
      <c r="E76" s="326"/>
      <c r="F76" s="226"/>
      <c r="G76" s="267"/>
      <c r="H76" s="267"/>
      <c r="I76" s="267"/>
      <c r="J76" s="267"/>
      <c r="K76" s="227">
        <f t="shared" ref="K76:Q76" si="13">SUM(K72-SUM(K73:K75))</f>
        <v>0</v>
      </c>
      <c r="L76" s="227">
        <f t="shared" si="13"/>
        <v>0</v>
      </c>
      <c r="M76" s="227">
        <f t="shared" si="13"/>
        <v>0</v>
      </c>
      <c r="N76" s="227">
        <f t="shared" si="13"/>
        <v>0</v>
      </c>
      <c r="O76" s="227">
        <f t="shared" si="13"/>
        <v>0</v>
      </c>
      <c r="P76" s="227">
        <f t="shared" si="13"/>
        <v>7655</v>
      </c>
      <c r="Q76" s="227">
        <f t="shared" si="13"/>
        <v>7655</v>
      </c>
      <c r="R76" s="268" t="s">
        <v>38</v>
      </c>
      <c r="S76" s="269" t="s">
        <v>71</v>
      </c>
      <c r="T76" s="230"/>
    </row>
    <row r="77" spans="1:20" ht="26.1" hidden="1" customHeight="1">
      <c r="A77" s="213" t="s">
        <v>29</v>
      </c>
      <c r="B77" s="214" t="s">
        <v>50</v>
      </c>
      <c r="C77" s="214" t="s">
        <v>31</v>
      </c>
      <c r="D77" s="215" t="s">
        <v>68</v>
      </c>
      <c r="E77" s="216" t="s">
        <v>81</v>
      </c>
      <c r="F77" s="215" t="s">
        <v>78</v>
      </c>
      <c r="G77" s="262" t="s">
        <v>46</v>
      </c>
      <c r="H77" s="262" t="s">
        <v>47</v>
      </c>
      <c r="I77" s="262" t="s">
        <v>48</v>
      </c>
      <c r="J77" s="262">
        <f>SUM(J78:J80)</f>
        <v>0</v>
      </c>
      <c r="K77" s="217"/>
      <c r="L77" s="218"/>
      <c r="M77" s="218"/>
      <c r="N77" s="218"/>
      <c r="O77" s="218"/>
      <c r="P77" s="218">
        <v>15343</v>
      </c>
      <c r="Q77" s="218">
        <f>SUM(K77:P77)</f>
        <v>15343</v>
      </c>
      <c r="R77" s="263" t="s">
        <v>38</v>
      </c>
      <c r="S77" s="266" t="s">
        <v>71</v>
      </c>
      <c r="T77" s="229"/>
    </row>
    <row r="78" spans="1:20" ht="26.1" hidden="1" customHeight="1">
      <c r="A78" s="208"/>
      <c r="B78" s="211"/>
      <c r="C78" s="211"/>
      <c r="D78" s="212"/>
      <c r="E78" s="210" t="str">
        <f>IFERROR(VLOOKUP($T78,공사현장대장!$A$5:$T$330,4),"")</f>
        <v/>
      </c>
      <c r="F78" s="212"/>
      <c r="G78" s="265"/>
      <c r="H78" s="265"/>
      <c r="I78" s="265"/>
      <c r="J78" s="265" t="str">
        <f>IFERROR(ROUND(VLOOKUP($T78,공사현장대장!$A$5:$T$330,9)/1000,0),"")</f>
        <v/>
      </c>
      <c r="K78" s="225"/>
      <c r="L78" s="209"/>
      <c r="M78" s="209"/>
      <c r="N78" s="209"/>
      <c r="O78" s="209"/>
      <c r="P78" s="209"/>
      <c r="Q78" s="209"/>
      <c r="R78" s="263" t="s">
        <v>38</v>
      </c>
      <c r="S78" s="266" t="s">
        <v>71</v>
      </c>
      <c r="T78" s="229"/>
    </row>
    <row r="79" spans="1:20" ht="26.1" hidden="1" customHeight="1">
      <c r="A79" s="208"/>
      <c r="B79" s="211"/>
      <c r="C79" s="211"/>
      <c r="D79" s="212"/>
      <c r="E79" s="210" t="str">
        <f>IFERROR(VLOOKUP($T79,공사현장대장!$A$5:$T$330,4),"")</f>
        <v/>
      </c>
      <c r="F79" s="212"/>
      <c r="G79" s="265"/>
      <c r="H79" s="265"/>
      <c r="I79" s="265"/>
      <c r="J79" s="265" t="str">
        <f>IFERROR(ROUND(VLOOKUP($T79,공사현장대장!$A$5:$T$330,9)/1000,0),"")</f>
        <v/>
      </c>
      <c r="K79" s="225"/>
      <c r="L79" s="209"/>
      <c r="M79" s="209"/>
      <c r="N79" s="209"/>
      <c r="O79" s="209"/>
      <c r="P79" s="209"/>
      <c r="Q79" s="209"/>
      <c r="R79" s="263" t="s">
        <v>38</v>
      </c>
      <c r="S79" s="266" t="s">
        <v>71</v>
      </c>
      <c r="T79" s="229"/>
    </row>
    <row r="80" spans="1:20" ht="26.1" hidden="1" customHeight="1">
      <c r="A80" s="208"/>
      <c r="B80" s="211"/>
      <c r="C80" s="211"/>
      <c r="D80" s="212"/>
      <c r="E80" s="210" t="str">
        <f>IFERROR(VLOOKUP($T80,공사현장대장!$A$5:$T$330,4),"")</f>
        <v/>
      </c>
      <c r="F80" s="212"/>
      <c r="G80" s="265"/>
      <c r="H80" s="265"/>
      <c r="I80" s="265"/>
      <c r="J80" s="265" t="str">
        <f>IFERROR(ROUND(VLOOKUP($T80,공사현장대장!$A$5:$T$330,9)/1000,0),"")</f>
        <v/>
      </c>
      <c r="K80" s="225"/>
      <c r="L80" s="209"/>
      <c r="M80" s="209"/>
      <c r="N80" s="209"/>
      <c r="O80" s="209"/>
      <c r="P80" s="209"/>
      <c r="Q80" s="209"/>
      <c r="R80" s="263" t="s">
        <v>38</v>
      </c>
      <c r="S80" s="266" t="s">
        <v>71</v>
      </c>
      <c r="T80" s="229"/>
    </row>
    <row r="81" spans="1:22" ht="26.1" hidden="1" customHeight="1">
      <c r="A81" s="324" t="s">
        <v>40</v>
      </c>
      <c r="B81" s="325"/>
      <c r="C81" s="325"/>
      <c r="D81" s="325"/>
      <c r="E81" s="326"/>
      <c r="F81" s="226"/>
      <c r="G81" s="267"/>
      <c r="H81" s="267"/>
      <c r="I81" s="267"/>
      <c r="J81" s="267"/>
      <c r="K81" s="227">
        <f t="shared" ref="K81:Q81" si="14">SUM(K77-SUM(K78:K80))</f>
        <v>0</v>
      </c>
      <c r="L81" s="227">
        <f t="shared" si="14"/>
        <v>0</v>
      </c>
      <c r="M81" s="227">
        <f t="shared" si="14"/>
        <v>0</v>
      </c>
      <c r="N81" s="227">
        <f t="shared" si="14"/>
        <v>0</v>
      </c>
      <c r="O81" s="227">
        <f t="shared" si="14"/>
        <v>0</v>
      </c>
      <c r="P81" s="227">
        <f t="shared" si="14"/>
        <v>15343</v>
      </c>
      <c r="Q81" s="227">
        <f t="shared" si="14"/>
        <v>15343</v>
      </c>
      <c r="R81" s="268" t="s">
        <v>38</v>
      </c>
      <c r="S81" s="269" t="s">
        <v>71</v>
      </c>
      <c r="T81" s="230"/>
    </row>
    <row r="82" spans="1:22" ht="26.1" hidden="1" customHeight="1">
      <c r="A82" s="213" t="s">
        <v>29</v>
      </c>
      <c r="B82" s="214" t="s">
        <v>50</v>
      </c>
      <c r="C82" s="214" t="s">
        <v>31</v>
      </c>
      <c r="D82" s="215" t="s">
        <v>82</v>
      </c>
      <c r="E82" s="216" t="s">
        <v>77</v>
      </c>
      <c r="F82" s="215" t="s">
        <v>83</v>
      </c>
      <c r="G82" s="262" t="s">
        <v>46</v>
      </c>
      <c r="H82" s="262" t="s">
        <v>54</v>
      </c>
      <c r="I82" s="262" t="s">
        <v>55</v>
      </c>
      <c r="J82" s="262">
        <f>SUM(J83:J85)</f>
        <v>0</v>
      </c>
      <c r="K82" s="217"/>
      <c r="L82" s="218">
        <v>175000</v>
      </c>
      <c r="M82" s="218"/>
      <c r="N82" s="218"/>
      <c r="O82" s="218"/>
      <c r="P82" s="218"/>
      <c r="Q82" s="218">
        <f>SUM(K82:P82)</f>
        <v>175000</v>
      </c>
      <c r="R82" s="263" t="s">
        <v>38</v>
      </c>
      <c r="S82" s="266" t="s">
        <v>84</v>
      </c>
      <c r="T82" s="229"/>
    </row>
    <row r="83" spans="1:22" ht="26.1" hidden="1" customHeight="1">
      <c r="A83" s="208"/>
      <c r="B83" s="211"/>
      <c r="C83" s="211"/>
      <c r="D83" s="212"/>
      <c r="E83" s="210" t="str">
        <f>IFERROR(VLOOKUP($T83,공사현장대장!$A$5:$T$330,4),"")</f>
        <v/>
      </c>
      <c r="F83" s="212"/>
      <c r="G83" s="265"/>
      <c r="H83" s="265"/>
      <c r="I83" s="265"/>
      <c r="J83" s="265" t="str">
        <f>IFERROR(ROUND(VLOOKUP($T83,공사현장대장!$A$5:$T$330,9)/1000,0),"")</f>
        <v/>
      </c>
      <c r="K83" s="225"/>
      <c r="L83" s="209"/>
      <c r="M83" s="209"/>
      <c r="N83" s="209"/>
      <c r="O83" s="209"/>
      <c r="P83" s="209"/>
      <c r="Q83" s="209"/>
      <c r="R83" s="263" t="s">
        <v>38</v>
      </c>
      <c r="S83" s="266" t="s">
        <v>84</v>
      </c>
      <c r="T83" s="229"/>
    </row>
    <row r="84" spans="1:22" ht="26.1" hidden="1" customHeight="1">
      <c r="A84" s="208"/>
      <c r="B84" s="211"/>
      <c r="C84" s="211"/>
      <c r="D84" s="212"/>
      <c r="E84" s="210" t="str">
        <f>IFERROR(VLOOKUP($T84,공사현장대장!$A$5:$T$330,4),"")</f>
        <v/>
      </c>
      <c r="F84" s="212"/>
      <c r="G84" s="265"/>
      <c r="H84" s="265"/>
      <c r="I84" s="265"/>
      <c r="J84" s="265" t="str">
        <f>IFERROR(ROUND(VLOOKUP($T84,공사현장대장!$A$5:$T$330,9)/1000,0),"")</f>
        <v/>
      </c>
      <c r="K84" s="225"/>
      <c r="L84" s="209"/>
      <c r="M84" s="209"/>
      <c r="N84" s="209"/>
      <c r="O84" s="209"/>
      <c r="P84" s="209"/>
      <c r="Q84" s="209"/>
      <c r="R84" s="263" t="s">
        <v>38</v>
      </c>
      <c r="S84" s="266" t="s">
        <v>84</v>
      </c>
      <c r="T84" s="229"/>
    </row>
    <row r="85" spans="1:22" ht="26.1" hidden="1" customHeight="1">
      <c r="A85" s="208"/>
      <c r="B85" s="211"/>
      <c r="C85" s="211"/>
      <c r="D85" s="212"/>
      <c r="E85" s="210" t="str">
        <f>IFERROR(VLOOKUP($T85,공사현장대장!$A$5:$T$330,4),"")</f>
        <v/>
      </c>
      <c r="F85" s="212"/>
      <c r="G85" s="265"/>
      <c r="H85" s="265"/>
      <c r="I85" s="265"/>
      <c r="J85" s="265" t="str">
        <f>IFERROR(ROUND(VLOOKUP($T85,공사현장대장!$A$5:$T$330,9)/1000,0),"")</f>
        <v/>
      </c>
      <c r="K85" s="225"/>
      <c r="L85" s="209"/>
      <c r="M85" s="209"/>
      <c r="N85" s="209"/>
      <c r="O85" s="209"/>
      <c r="P85" s="209"/>
      <c r="Q85" s="209"/>
      <c r="R85" s="263" t="s">
        <v>38</v>
      </c>
      <c r="S85" s="266" t="s">
        <v>84</v>
      </c>
      <c r="T85" s="229"/>
    </row>
    <row r="86" spans="1:22" ht="26.1" hidden="1" customHeight="1">
      <c r="A86" s="324" t="s">
        <v>40</v>
      </c>
      <c r="B86" s="325"/>
      <c r="C86" s="325"/>
      <c r="D86" s="325"/>
      <c r="E86" s="326"/>
      <c r="F86" s="226"/>
      <c r="G86" s="267"/>
      <c r="H86" s="267"/>
      <c r="I86" s="267"/>
      <c r="J86" s="267"/>
      <c r="K86" s="227">
        <f t="shared" ref="K86:Q86" si="15">SUM(K82-SUM(K83:K85))</f>
        <v>0</v>
      </c>
      <c r="L86" s="227">
        <f t="shared" si="15"/>
        <v>175000</v>
      </c>
      <c r="M86" s="227">
        <f t="shared" si="15"/>
        <v>0</v>
      </c>
      <c r="N86" s="227">
        <f t="shared" si="15"/>
        <v>0</v>
      </c>
      <c r="O86" s="227">
        <f t="shared" si="15"/>
        <v>0</v>
      </c>
      <c r="P86" s="227">
        <f t="shared" si="15"/>
        <v>0</v>
      </c>
      <c r="Q86" s="227">
        <f t="shared" si="15"/>
        <v>175000</v>
      </c>
      <c r="R86" s="268" t="s">
        <v>38</v>
      </c>
      <c r="S86" s="269" t="s">
        <v>84</v>
      </c>
      <c r="T86" s="230"/>
    </row>
    <row r="87" spans="1:22" ht="26.1" hidden="1" customHeight="1">
      <c r="A87" s="213" t="s">
        <v>29</v>
      </c>
      <c r="B87" s="214" t="s">
        <v>50</v>
      </c>
      <c r="C87" s="214" t="s">
        <v>31</v>
      </c>
      <c r="D87" s="215" t="s">
        <v>82</v>
      </c>
      <c r="E87" s="216" t="s">
        <v>85</v>
      </c>
      <c r="F87" s="215" t="s">
        <v>86</v>
      </c>
      <c r="G87" s="262" t="s">
        <v>46</v>
      </c>
      <c r="H87" s="262" t="s">
        <v>54</v>
      </c>
      <c r="I87" s="262" t="s">
        <v>55</v>
      </c>
      <c r="J87" s="262">
        <f>SUM(J88:J90)</f>
        <v>0</v>
      </c>
      <c r="K87" s="217"/>
      <c r="L87" s="218">
        <v>322000</v>
      </c>
      <c r="M87" s="218"/>
      <c r="N87" s="218"/>
      <c r="O87" s="218"/>
      <c r="P87" s="218"/>
      <c r="Q87" s="218">
        <f>SUM(K87:P87)</f>
        <v>322000</v>
      </c>
      <c r="R87" s="274" t="s">
        <v>87</v>
      </c>
      <c r="S87" s="266" t="s">
        <v>84</v>
      </c>
      <c r="T87" s="229"/>
      <c r="U87" s="241">
        <v>920</v>
      </c>
      <c r="V87" s="241">
        <f>Q87/U87</f>
        <v>350</v>
      </c>
    </row>
    <row r="88" spans="1:22" ht="26.1" hidden="1" customHeight="1">
      <c r="A88" s="208"/>
      <c r="B88" s="211"/>
      <c r="C88" s="211"/>
      <c r="D88" s="212"/>
      <c r="E88" s="210" t="str">
        <f>IFERROR(VLOOKUP($T88,공사현장대장!$A$5:$T$330,4),"")</f>
        <v/>
      </c>
      <c r="F88" s="212"/>
      <c r="G88" s="265"/>
      <c r="H88" s="265"/>
      <c r="I88" s="265"/>
      <c r="J88" s="265" t="str">
        <f>IFERROR(ROUND(VLOOKUP($T88,공사현장대장!$A$5:$T$330,9)/1000,0),"")</f>
        <v/>
      </c>
      <c r="K88" s="225"/>
      <c r="L88" s="209"/>
      <c r="M88" s="209"/>
      <c r="N88" s="209"/>
      <c r="O88" s="209"/>
      <c r="P88" s="209"/>
      <c r="Q88" s="209"/>
      <c r="R88" s="263" t="s">
        <v>87</v>
      </c>
      <c r="S88" s="266" t="s">
        <v>84</v>
      </c>
      <c r="T88" s="229"/>
    </row>
    <row r="89" spans="1:22" ht="26.1" hidden="1" customHeight="1">
      <c r="A89" s="208"/>
      <c r="B89" s="211"/>
      <c r="C89" s="211"/>
      <c r="D89" s="212"/>
      <c r="E89" s="210" t="str">
        <f>IFERROR(VLOOKUP($T89,공사현장대장!$A$5:$T$330,4),"")</f>
        <v/>
      </c>
      <c r="F89" s="212"/>
      <c r="G89" s="265"/>
      <c r="H89" s="265"/>
      <c r="I89" s="265"/>
      <c r="J89" s="265" t="str">
        <f>IFERROR(ROUND(VLOOKUP($T89,공사현장대장!$A$5:$T$330,9)/1000,0),"")</f>
        <v/>
      </c>
      <c r="K89" s="225"/>
      <c r="L89" s="209"/>
      <c r="M89" s="209"/>
      <c r="N89" s="209"/>
      <c r="O89" s="209"/>
      <c r="P89" s="209"/>
      <c r="Q89" s="209"/>
      <c r="R89" s="263" t="s">
        <v>87</v>
      </c>
      <c r="S89" s="266" t="s">
        <v>84</v>
      </c>
      <c r="T89" s="229"/>
    </row>
    <row r="90" spans="1:22" ht="26.1" hidden="1" customHeight="1">
      <c r="A90" s="208"/>
      <c r="B90" s="211"/>
      <c r="C90" s="211"/>
      <c r="D90" s="212"/>
      <c r="E90" s="210" t="str">
        <f>IFERROR(VLOOKUP($T90,공사현장대장!$A$5:$T$330,4),"")</f>
        <v/>
      </c>
      <c r="F90" s="212"/>
      <c r="G90" s="265"/>
      <c r="H90" s="265"/>
      <c r="I90" s="265"/>
      <c r="J90" s="265" t="str">
        <f>IFERROR(ROUND(VLOOKUP($T90,공사현장대장!$A$5:$T$330,9)/1000,0),"")</f>
        <v/>
      </c>
      <c r="K90" s="225"/>
      <c r="L90" s="209"/>
      <c r="M90" s="209"/>
      <c r="N90" s="209"/>
      <c r="O90" s="209"/>
      <c r="P90" s="209"/>
      <c r="Q90" s="209"/>
      <c r="R90" s="263" t="s">
        <v>87</v>
      </c>
      <c r="S90" s="266" t="s">
        <v>84</v>
      </c>
      <c r="T90" s="229"/>
    </row>
    <row r="91" spans="1:22" ht="26.1" hidden="1" customHeight="1">
      <c r="A91" s="324" t="s">
        <v>40</v>
      </c>
      <c r="B91" s="325"/>
      <c r="C91" s="325"/>
      <c r="D91" s="325"/>
      <c r="E91" s="326"/>
      <c r="F91" s="226"/>
      <c r="G91" s="267"/>
      <c r="H91" s="267"/>
      <c r="I91" s="267"/>
      <c r="J91" s="267"/>
      <c r="K91" s="227">
        <f t="shared" ref="K91:Q91" si="16">SUM(K87-SUM(K88:K90))</f>
        <v>0</v>
      </c>
      <c r="L91" s="227">
        <f t="shared" si="16"/>
        <v>322000</v>
      </c>
      <c r="M91" s="227">
        <f t="shared" si="16"/>
        <v>0</v>
      </c>
      <c r="N91" s="227">
        <f t="shared" si="16"/>
        <v>0</v>
      </c>
      <c r="O91" s="227">
        <f t="shared" si="16"/>
        <v>0</v>
      </c>
      <c r="P91" s="227">
        <f t="shared" si="16"/>
        <v>0</v>
      </c>
      <c r="Q91" s="227">
        <f t="shared" si="16"/>
        <v>322000</v>
      </c>
      <c r="R91" s="268" t="s">
        <v>87</v>
      </c>
      <c r="S91" s="269" t="s">
        <v>84</v>
      </c>
      <c r="T91" s="230"/>
    </row>
    <row r="92" spans="1:22" ht="26.1" hidden="1" customHeight="1">
      <c r="A92" s="213" t="s">
        <v>29</v>
      </c>
      <c r="B92" s="214" t="s">
        <v>50</v>
      </c>
      <c r="C92" s="214" t="s">
        <v>31</v>
      </c>
      <c r="D92" s="215" t="s">
        <v>82</v>
      </c>
      <c r="E92" s="216" t="s">
        <v>88</v>
      </c>
      <c r="F92" s="215" t="s">
        <v>89</v>
      </c>
      <c r="G92" s="262" t="s">
        <v>46</v>
      </c>
      <c r="H92" s="262" t="s">
        <v>54</v>
      </c>
      <c r="I92" s="262" t="s">
        <v>55</v>
      </c>
      <c r="J92" s="262">
        <f>SUM(J93:J95)</f>
        <v>0</v>
      </c>
      <c r="K92" s="217"/>
      <c r="L92" s="218">
        <v>399000</v>
      </c>
      <c r="M92" s="218"/>
      <c r="N92" s="218"/>
      <c r="O92" s="218"/>
      <c r="P92" s="218"/>
      <c r="Q92" s="218">
        <f>SUM(K92:P92)</f>
        <v>399000</v>
      </c>
      <c r="R92" s="263" t="s">
        <v>38</v>
      </c>
      <c r="S92" s="266" t="s">
        <v>84</v>
      </c>
      <c r="T92" s="229"/>
    </row>
    <row r="93" spans="1:22" ht="26.1" hidden="1" customHeight="1">
      <c r="A93" s="208"/>
      <c r="B93" s="211"/>
      <c r="C93" s="211"/>
      <c r="D93" s="212"/>
      <c r="E93" s="210" t="str">
        <f>IFERROR(VLOOKUP($T93,공사현장대장!$A$5:$T$330,4),"")</f>
        <v/>
      </c>
      <c r="F93" s="212"/>
      <c r="G93" s="265"/>
      <c r="H93" s="265"/>
      <c r="I93" s="265"/>
      <c r="J93" s="265" t="str">
        <f>IFERROR(ROUND(VLOOKUP($T93,공사현장대장!$A$5:$T$330,9)/1000,0),"")</f>
        <v/>
      </c>
      <c r="K93" s="225"/>
      <c r="L93" s="209"/>
      <c r="M93" s="209"/>
      <c r="N93" s="209"/>
      <c r="O93" s="209"/>
      <c r="P93" s="209"/>
      <c r="Q93" s="209"/>
      <c r="R93" s="263" t="s">
        <v>38</v>
      </c>
      <c r="S93" s="266" t="s">
        <v>84</v>
      </c>
      <c r="T93" s="229"/>
    </row>
    <row r="94" spans="1:22" ht="26.1" hidden="1" customHeight="1">
      <c r="A94" s="208"/>
      <c r="B94" s="211"/>
      <c r="C94" s="211"/>
      <c r="D94" s="212"/>
      <c r="E94" s="210" t="str">
        <f>IFERROR(VLOOKUP($T94,공사현장대장!$A$5:$T$330,4),"")</f>
        <v/>
      </c>
      <c r="F94" s="212"/>
      <c r="G94" s="265"/>
      <c r="H94" s="265"/>
      <c r="I94" s="265"/>
      <c r="J94" s="265" t="str">
        <f>IFERROR(ROUND(VLOOKUP($T94,공사현장대장!$A$5:$T$330,9)/1000,0),"")</f>
        <v/>
      </c>
      <c r="K94" s="225"/>
      <c r="L94" s="209"/>
      <c r="M94" s="209"/>
      <c r="N94" s="209"/>
      <c r="O94" s="209"/>
      <c r="P94" s="209"/>
      <c r="Q94" s="209"/>
      <c r="R94" s="263" t="s">
        <v>38</v>
      </c>
      <c r="S94" s="266" t="s">
        <v>84</v>
      </c>
      <c r="T94" s="229"/>
    </row>
    <row r="95" spans="1:22" ht="26.1" hidden="1" customHeight="1">
      <c r="A95" s="208"/>
      <c r="B95" s="211"/>
      <c r="C95" s="211"/>
      <c r="D95" s="212"/>
      <c r="E95" s="210" t="str">
        <f>IFERROR(VLOOKUP($T95,공사현장대장!$A$5:$T$330,4),"")</f>
        <v/>
      </c>
      <c r="F95" s="212"/>
      <c r="G95" s="265"/>
      <c r="H95" s="265"/>
      <c r="I95" s="265"/>
      <c r="J95" s="265" t="str">
        <f>IFERROR(ROUND(VLOOKUP($T95,공사현장대장!$A$5:$T$330,9)/1000,0),"")</f>
        <v/>
      </c>
      <c r="K95" s="225"/>
      <c r="L95" s="209"/>
      <c r="M95" s="209"/>
      <c r="N95" s="209"/>
      <c r="O95" s="209"/>
      <c r="P95" s="209"/>
      <c r="Q95" s="209"/>
      <c r="R95" s="263" t="s">
        <v>38</v>
      </c>
      <c r="S95" s="266" t="s">
        <v>84</v>
      </c>
      <c r="T95" s="229"/>
    </row>
    <row r="96" spans="1:22" ht="26.1" hidden="1" customHeight="1">
      <c r="A96" s="324" t="s">
        <v>40</v>
      </c>
      <c r="B96" s="325"/>
      <c r="C96" s="325"/>
      <c r="D96" s="325"/>
      <c r="E96" s="326"/>
      <c r="F96" s="226"/>
      <c r="G96" s="267"/>
      <c r="H96" s="267"/>
      <c r="I96" s="267"/>
      <c r="J96" s="267"/>
      <c r="K96" s="227">
        <f t="shared" ref="K96:Q96" si="17">SUM(K92-SUM(K93:K95))</f>
        <v>0</v>
      </c>
      <c r="L96" s="227">
        <f t="shared" si="17"/>
        <v>399000</v>
      </c>
      <c r="M96" s="227">
        <f t="shared" si="17"/>
        <v>0</v>
      </c>
      <c r="N96" s="227">
        <f t="shared" si="17"/>
        <v>0</v>
      </c>
      <c r="O96" s="227">
        <f t="shared" si="17"/>
        <v>0</v>
      </c>
      <c r="P96" s="227">
        <f t="shared" si="17"/>
        <v>0</v>
      </c>
      <c r="Q96" s="227">
        <f t="shared" si="17"/>
        <v>399000</v>
      </c>
      <c r="R96" s="268" t="s">
        <v>38</v>
      </c>
      <c r="S96" s="269" t="s">
        <v>84</v>
      </c>
      <c r="T96" s="230"/>
    </row>
    <row r="97" spans="1:29" ht="26.1" hidden="1" customHeight="1">
      <c r="A97" s="213" t="s">
        <v>29</v>
      </c>
      <c r="B97" s="214" t="s">
        <v>50</v>
      </c>
      <c r="C97" s="214" t="s">
        <v>31</v>
      </c>
      <c r="D97" s="215" t="s">
        <v>82</v>
      </c>
      <c r="E97" s="216" t="s">
        <v>90</v>
      </c>
      <c r="F97" s="215" t="s">
        <v>91</v>
      </c>
      <c r="G97" s="262" t="s">
        <v>46</v>
      </c>
      <c r="H97" s="262" t="s">
        <v>54</v>
      </c>
      <c r="I97" s="262" t="s">
        <v>55</v>
      </c>
      <c r="J97" s="262">
        <f>SUM(J98:J100)</f>
        <v>0</v>
      </c>
      <c r="K97" s="217"/>
      <c r="L97" s="218">
        <v>164150</v>
      </c>
      <c r="M97" s="218"/>
      <c r="N97" s="218"/>
      <c r="O97" s="218"/>
      <c r="P97" s="218"/>
      <c r="Q97" s="218">
        <f>SUM(K97:P97)</f>
        <v>164150</v>
      </c>
      <c r="R97" s="274" t="s">
        <v>87</v>
      </c>
      <c r="S97" s="266" t="s">
        <v>84</v>
      </c>
      <c r="T97" s="229"/>
      <c r="U97" s="241">
        <v>469</v>
      </c>
    </row>
    <row r="98" spans="1:29" ht="26.1" hidden="1" customHeight="1">
      <c r="A98" s="208"/>
      <c r="B98" s="211"/>
      <c r="C98" s="211"/>
      <c r="D98" s="212"/>
      <c r="E98" s="210" t="str">
        <f>IFERROR(VLOOKUP($T98,공사현장대장!$A$5:$T$330,4),"")</f>
        <v/>
      </c>
      <c r="F98" s="212"/>
      <c r="G98" s="265"/>
      <c r="H98" s="265"/>
      <c r="I98" s="265"/>
      <c r="J98" s="265" t="str">
        <f>IFERROR(ROUND(VLOOKUP($T98,공사현장대장!$A$5:$T$330,9)/1000,0),"")</f>
        <v/>
      </c>
      <c r="K98" s="225"/>
      <c r="L98" s="209"/>
      <c r="M98" s="209"/>
      <c r="N98" s="209"/>
      <c r="O98" s="209"/>
      <c r="P98" s="209"/>
      <c r="Q98" s="209"/>
      <c r="R98" s="263" t="s">
        <v>87</v>
      </c>
      <c r="S98" s="266" t="s">
        <v>84</v>
      </c>
      <c r="T98" s="229"/>
    </row>
    <row r="99" spans="1:29" ht="26.1" hidden="1" customHeight="1">
      <c r="A99" s="208"/>
      <c r="B99" s="211"/>
      <c r="C99" s="211"/>
      <c r="D99" s="212"/>
      <c r="E99" s="210" t="str">
        <f>IFERROR(VLOOKUP($T99,공사현장대장!$A$5:$T$330,4),"")</f>
        <v/>
      </c>
      <c r="F99" s="212"/>
      <c r="G99" s="265"/>
      <c r="H99" s="265"/>
      <c r="I99" s="265"/>
      <c r="J99" s="265" t="str">
        <f>IFERROR(ROUND(VLOOKUP($T99,공사현장대장!$A$5:$T$330,9)/1000,0),"")</f>
        <v/>
      </c>
      <c r="K99" s="225"/>
      <c r="L99" s="209"/>
      <c r="M99" s="209"/>
      <c r="N99" s="209"/>
      <c r="O99" s="209"/>
      <c r="P99" s="209"/>
      <c r="Q99" s="209"/>
      <c r="R99" s="263" t="s">
        <v>87</v>
      </c>
      <c r="S99" s="266" t="s">
        <v>84</v>
      </c>
      <c r="T99" s="229"/>
    </row>
    <row r="100" spans="1:29" ht="26.1" hidden="1" customHeight="1">
      <c r="A100" s="208"/>
      <c r="B100" s="211"/>
      <c r="C100" s="211"/>
      <c r="D100" s="212"/>
      <c r="E100" s="210" t="str">
        <f>IFERROR(VLOOKUP($T100,공사현장대장!$A$5:$T$330,4),"")</f>
        <v/>
      </c>
      <c r="F100" s="212"/>
      <c r="G100" s="265"/>
      <c r="H100" s="265"/>
      <c r="I100" s="265"/>
      <c r="J100" s="265" t="str">
        <f>IFERROR(ROUND(VLOOKUP($T100,공사현장대장!$A$5:$T$330,9)/1000,0),"")</f>
        <v/>
      </c>
      <c r="K100" s="225"/>
      <c r="L100" s="209"/>
      <c r="M100" s="209"/>
      <c r="N100" s="209"/>
      <c r="O100" s="209"/>
      <c r="P100" s="209"/>
      <c r="Q100" s="209"/>
      <c r="R100" s="263" t="s">
        <v>87</v>
      </c>
      <c r="S100" s="266" t="s">
        <v>84</v>
      </c>
      <c r="T100" s="229"/>
    </row>
    <row r="101" spans="1:29" ht="26.1" hidden="1" customHeight="1">
      <c r="A101" s="324" t="s">
        <v>40</v>
      </c>
      <c r="B101" s="325"/>
      <c r="C101" s="325"/>
      <c r="D101" s="325"/>
      <c r="E101" s="326"/>
      <c r="F101" s="226"/>
      <c r="G101" s="267"/>
      <c r="H101" s="267"/>
      <c r="I101" s="267"/>
      <c r="J101" s="267"/>
      <c r="K101" s="227">
        <f t="shared" ref="K101:Q101" si="18">SUM(K97-SUM(K98:K100))</f>
        <v>0</v>
      </c>
      <c r="L101" s="227">
        <f t="shared" si="18"/>
        <v>164150</v>
      </c>
      <c r="M101" s="227">
        <f t="shared" si="18"/>
        <v>0</v>
      </c>
      <c r="N101" s="227">
        <f t="shared" si="18"/>
        <v>0</v>
      </c>
      <c r="O101" s="227">
        <f t="shared" si="18"/>
        <v>0</v>
      </c>
      <c r="P101" s="227">
        <f t="shared" si="18"/>
        <v>0</v>
      </c>
      <c r="Q101" s="227">
        <f t="shared" si="18"/>
        <v>164150</v>
      </c>
      <c r="R101" s="268" t="s">
        <v>87</v>
      </c>
      <c r="S101" s="269" t="s">
        <v>84</v>
      </c>
      <c r="T101" s="230"/>
    </row>
    <row r="102" spans="1:29" ht="26.1" hidden="1" customHeight="1">
      <c r="A102" s="213" t="s">
        <v>29</v>
      </c>
      <c r="B102" s="214" t="s">
        <v>50</v>
      </c>
      <c r="C102" s="214" t="s">
        <v>31</v>
      </c>
      <c r="D102" s="215" t="s">
        <v>82</v>
      </c>
      <c r="E102" s="216" t="s">
        <v>92</v>
      </c>
      <c r="F102" s="215" t="s">
        <v>93</v>
      </c>
      <c r="G102" s="262" t="s">
        <v>46</v>
      </c>
      <c r="H102" s="262" t="s">
        <v>54</v>
      </c>
      <c r="I102" s="262" t="s">
        <v>55</v>
      </c>
      <c r="J102" s="262">
        <f>SUM(J103:J105)</f>
        <v>0</v>
      </c>
      <c r="K102" s="217"/>
      <c r="L102" s="218">
        <v>105000</v>
      </c>
      <c r="M102" s="218"/>
      <c r="N102" s="218"/>
      <c r="O102" s="218"/>
      <c r="P102" s="218"/>
      <c r="Q102" s="218">
        <f>SUM(K102:P102)</f>
        <v>105000</v>
      </c>
      <c r="R102" s="263" t="s">
        <v>38</v>
      </c>
      <c r="S102" s="266" t="s">
        <v>84</v>
      </c>
      <c r="T102" s="229"/>
    </row>
    <row r="103" spans="1:29" ht="26.1" hidden="1" customHeight="1">
      <c r="A103" s="208"/>
      <c r="B103" s="211"/>
      <c r="C103" s="211"/>
      <c r="D103" s="212"/>
      <c r="E103" s="210" t="str">
        <f>IFERROR(VLOOKUP($T103,공사현장대장!$A$5:$T$330,4),"")</f>
        <v/>
      </c>
      <c r="F103" s="212"/>
      <c r="G103" s="265"/>
      <c r="H103" s="265"/>
      <c r="I103" s="265"/>
      <c r="J103" s="265" t="str">
        <f>IFERROR(ROUND(VLOOKUP($T103,공사현장대장!$A$5:$T$330,9)/1000,0),"")</f>
        <v/>
      </c>
      <c r="K103" s="225"/>
      <c r="L103" s="209"/>
      <c r="M103" s="209"/>
      <c r="N103" s="209"/>
      <c r="O103" s="209"/>
      <c r="P103" s="209"/>
      <c r="Q103" s="209"/>
      <c r="R103" s="263" t="s">
        <v>38</v>
      </c>
      <c r="S103" s="266" t="s">
        <v>84</v>
      </c>
      <c r="T103" s="229"/>
    </row>
    <row r="104" spans="1:29" ht="26.1" hidden="1" customHeight="1">
      <c r="A104" s="208"/>
      <c r="B104" s="211"/>
      <c r="C104" s="211"/>
      <c r="D104" s="212"/>
      <c r="E104" s="210" t="str">
        <f>IFERROR(VLOOKUP($T104,공사현장대장!$A$5:$T$330,4),"")</f>
        <v/>
      </c>
      <c r="F104" s="212"/>
      <c r="G104" s="265"/>
      <c r="H104" s="265"/>
      <c r="I104" s="265"/>
      <c r="J104" s="265" t="str">
        <f>IFERROR(ROUND(VLOOKUP($T104,공사현장대장!$A$5:$T$330,9)/1000,0),"")</f>
        <v/>
      </c>
      <c r="K104" s="225"/>
      <c r="L104" s="209"/>
      <c r="M104" s="209"/>
      <c r="N104" s="209"/>
      <c r="O104" s="209"/>
      <c r="P104" s="209"/>
      <c r="Q104" s="209"/>
      <c r="R104" s="263" t="s">
        <v>38</v>
      </c>
      <c r="S104" s="266" t="s">
        <v>84</v>
      </c>
      <c r="T104" s="229"/>
    </row>
    <row r="105" spans="1:29" ht="26.1" hidden="1" customHeight="1">
      <c r="A105" s="208"/>
      <c r="B105" s="211"/>
      <c r="C105" s="211"/>
      <c r="D105" s="212"/>
      <c r="E105" s="210" t="str">
        <f>IFERROR(VLOOKUP($T105,공사현장대장!$A$5:$T$330,4),"")</f>
        <v/>
      </c>
      <c r="F105" s="212"/>
      <c r="G105" s="265"/>
      <c r="H105" s="265"/>
      <c r="I105" s="265"/>
      <c r="J105" s="265" t="str">
        <f>IFERROR(ROUND(VLOOKUP($T105,공사현장대장!$A$5:$T$330,9)/1000,0),"")</f>
        <v/>
      </c>
      <c r="K105" s="225"/>
      <c r="L105" s="209"/>
      <c r="M105" s="209"/>
      <c r="N105" s="209"/>
      <c r="O105" s="209"/>
      <c r="P105" s="209"/>
      <c r="Q105" s="209"/>
      <c r="R105" s="263" t="s">
        <v>38</v>
      </c>
      <c r="S105" s="266" t="s">
        <v>84</v>
      </c>
      <c r="T105" s="229"/>
    </row>
    <row r="106" spans="1:29" ht="26.1" hidden="1" customHeight="1">
      <c r="A106" s="324" t="s">
        <v>40</v>
      </c>
      <c r="B106" s="325"/>
      <c r="C106" s="325"/>
      <c r="D106" s="325"/>
      <c r="E106" s="326"/>
      <c r="F106" s="226"/>
      <c r="G106" s="267"/>
      <c r="H106" s="267"/>
      <c r="I106" s="267"/>
      <c r="J106" s="267"/>
      <c r="K106" s="227">
        <f t="shared" ref="K106:Q106" si="19">SUM(K102-SUM(K103:K105))</f>
        <v>0</v>
      </c>
      <c r="L106" s="227">
        <f t="shared" si="19"/>
        <v>105000</v>
      </c>
      <c r="M106" s="227">
        <f t="shared" si="19"/>
        <v>0</v>
      </c>
      <c r="N106" s="227">
        <f t="shared" si="19"/>
        <v>0</v>
      </c>
      <c r="O106" s="227">
        <f t="shared" si="19"/>
        <v>0</v>
      </c>
      <c r="P106" s="227">
        <f t="shared" si="19"/>
        <v>0</v>
      </c>
      <c r="Q106" s="227">
        <f t="shared" si="19"/>
        <v>105000</v>
      </c>
      <c r="R106" s="268" t="s">
        <v>38</v>
      </c>
      <c r="S106" s="269" t="s">
        <v>84</v>
      </c>
      <c r="T106" s="230"/>
    </row>
    <row r="107" spans="1:29" ht="26.1" hidden="1" customHeight="1">
      <c r="A107" s="213" t="s">
        <v>29</v>
      </c>
      <c r="B107" s="214" t="s">
        <v>50</v>
      </c>
      <c r="C107" s="214" t="s">
        <v>31</v>
      </c>
      <c r="D107" s="215" t="s">
        <v>82</v>
      </c>
      <c r="E107" s="216" t="s">
        <v>94</v>
      </c>
      <c r="F107" s="215" t="s">
        <v>93</v>
      </c>
      <c r="G107" s="262" t="s">
        <v>46</v>
      </c>
      <c r="H107" s="262" t="s">
        <v>54</v>
      </c>
      <c r="I107" s="262" t="s">
        <v>55</v>
      </c>
      <c r="J107" s="262">
        <f>SUM(J108:J110)</f>
        <v>0</v>
      </c>
      <c r="K107" s="217"/>
      <c r="L107" s="218">
        <v>-105000</v>
      </c>
      <c r="M107" s="218"/>
      <c r="N107" s="218"/>
      <c r="O107" s="218"/>
      <c r="P107" s="218"/>
      <c r="Q107" s="218">
        <f>SUM(K107:P107)</f>
        <v>-105000</v>
      </c>
      <c r="R107" s="270" t="s">
        <v>41</v>
      </c>
      <c r="S107" s="266" t="s">
        <v>84</v>
      </c>
      <c r="T107" s="229"/>
      <c r="V107" s="241" t="str">
        <f>B107</f>
        <v>초</v>
      </c>
      <c r="W107" s="241" t="str">
        <f>C107</f>
        <v>공립</v>
      </c>
      <c r="X107" s="241" t="str">
        <f>D107</f>
        <v>내촌초</v>
      </c>
      <c r="Y107" s="241" t="str">
        <f>E107</f>
        <v xml:space="preserve"> 관사2 드라이비트개선</v>
      </c>
      <c r="Z107" s="241" t="str">
        <f>F107</f>
        <v>300㎡</v>
      </c>
      <c r="AA107" s="244">
        <f>Q107</f>
        <v>-105000</v>
      </c>
      <c r="AB107" s="271" t="str">
        <f>R107</f>
        <v>1회추경</v>
      </c>
      <c r="AC107" s="241">
        <v>420</v>
      </c>
    </row>
    <row r="108" spans="1:29" ht="26.1" hidden="1" customHeight="1">
      <c r="A108" s="208"/>
      <c r="B108" s="211"/>
      <c r="C108" s="211"/>
      <c r="D108" s="212"/>
      <c r="E108" s="210" t="str">
        <f>IFERROR(VLOOKUP($T108,공사현장대장!$A$5:$T$330,4),"")</f>
        <v/>
      </c>
      <c r="F108" s="212"/>
      <c r="G108" s="265"/>
      <c r="H108" s="265"/>
      <c r="I108" s="265"/>
      <c r="J108" s="265" t="str">
        <f>IFERROR(ROUND(VLOOKUP($T108,공사현장대장!$A$5:$T$330,9)/1000,0),"")</f>
        <v/>
      </c>
      <c r="K108" s="225"/>
      <c r="L108" s="209"/>
      <c r="M108" s="209"/>
      <c r="N108" s="209"/>
      <c r="O108" s="209"/>
      <c r="P108" s="209"/>
      <c r="Q108" s="209"/>
      <c r="R108" s="263" t="s">
        <v>41</v>
      </c>
      <c r="S108" s="266" t="s">
        <v>84</v>
      </c>
      <c r="T108" s="229"/>
      <c r="AA108" s="244"/>
      <c r="AB108" s="271"/>
    </row>
    <row r="109" spans="1:29" ht="26.1" hidden="1" customHeight="1">
      <c r="A109" s="208"/>
      <c r="B109" s="211"/>
      <c r="C109" s="211"/>
      <c r="D109" s="212"/>
      <c r="E109" s="210" t="str">
        <f>IFERROR(VLOOKUP($T109,공사현장대장!$A$5:$T$330,4),"")</f>
        <v/>
      </c>
      <c r="F109" s="212"/>
      <c r="G109" s="265"/>
      <c r="H109" s="265"/>
      <c r="I109" s="265"/>
      <c r="J109" s="265" t="str">
        <f>IFERROR(ROUND(VLOOKUP($T109,공사현장대장!$A$5:$T$330,9)/1000,0),"")</f>
        <v/>
      </c>
      <c r="K109" s="225"/>
      <c r="L109" s="209"/>
      <c r="M109" s="209"/>
      <c r="N109" s="209"/>
      <c r="O109" s="209"/>
      <c r="P109" s="209"/>
      <c r="Q109" s="209"/>
      <c r="R109" s="263" t="s">
        <v>41</v>
      </c>
      <c r="S109" s="266" t="s">
        <v>84</v>
      </c>
      <c r="T109" s="229"/>
      <c r="AA109" s="244"/>
      <c r="AB109" s="271"/>
    </row>
    <row r="110" spans="1:29" ht="26.1" hidden="1" customHeight="1">
      <c r="A110" s="208"/>
      <c r="B110" s="211"/>
      <c r="C110" s="211"/>
      <c r="D110" s="212"/>
      <c r="E110" s="210" t="str">
        <f>IFERROR(VLOOKUP($T110,공사현장대장!$A$5:$T$330,4),"")</f>
        <v/>
      </c>
      <c r="F110" s="212"/>
      <c r="G110" s="265"/>
      <c r="H110" s="265"/>
      <c r="I110" s="265"/>
      <c r="J110" s="265" t="str">
        <f>IFERROR(ROUND(VLOOKUP($T110,공사현장대장!$A$5:$T$330,9)/1000,0),"")</f>
        <v/>
      </c>
      <c r="K110" s="225"/>
      <c r="L110" s="209"/>
      <c r="M110" s="209"/>
      <c r="N110" s="209"/>
      <c r="O110" s="209"/>
      <c r="P110" s="209"/>
      <c r="Q110" s="209"/>
      <c r="R110" s="263" t="s">
        <v>41</v>
      </c>
      <c r="S110" s="266" t="s">
        <v>84</v>
      </c>
      <c r="T110" s="229"/>
      <c r="AA110" s="244"/>
      <c r="AB110" s="271"/>
    </row>
    <row r="111" spans="1:29" ht="26.1" hidden="1" customHeight="1">
      <c r="A111" s="324" t="s">
        <v>40</v>
      </c>
      <c r="B111" s="325"/>
      <c r="C111" s="325"/>
      <c r="D111" s="325"/>
      <c r="E111" s="326"/>
      <c r="F111" s="226"/>
      <c r="G111" s="267"/>
      <c r="H111" s="267"/>
      <c r="I111" s="267"/>
      <c r="J111" s="267"/>
      <c r="K111" s="227">
        <f t="shared" ref="K111:Q111" si="20">SUM(K107-SUM(K108:K110))</f>
        <v>0</v>
      </c>
      <c r="L111" s="227">
        <f t="shared" si="20"/>
        <v>-105000</v>
      </c>
      <c r="M111" s="227">
        <f t="shared" si="20"/>
        <v>0</v>
      </c>
      <c r="N111" s="227">
        <f t="shared" si="20"/>
        <v>0</v>
      </c>
      <c r="O111" s="227">
        <f t="shared" si="20"/>
        <v>0</v>
      </c>
      <c r="P111" s="227">
        <f t="shared" si="20"/>
        <v>0</v>
      </c>
      <c r="Q111" s="227">
        <f t="shared" si="20"/>
        <v>-105000</v>
      </c>
      <c r="R111" s="268" t="s">
        <v>41</v>
      </c>
      <c r="S111" s="269" t="s">
        <v>84</v>
      </c>
      <c r="T111" s="230"/>
      <c r="AA111" s="244"/>
      <c r="AB111" s="271"/>
    </row>
    <row r="112" spans="1:29" ht="26.1" hidden="1" customHeight="1">
      <c r="A112" s="213" t="s">
        <v>29</v>
      </c>
      <c r="B112" s="214" t="s">
        <v>50</v>
      </c>
      <c r="C112" s="214" t="s">
        <v>31</v>
      </c>
      <c r="D112" s="215" t="s">
        <v>82</v>
      </c>
      <c r="E112" s="216" t="s">
        <v>95</v>
      </c>
      <c r="F112" s="215" t="s">
        <v>96</v>
      </c>
      <c r="G112" s="262" t="s">
        <v>46</v>
      </c>
      <c r="H112" s="262" t="s">
        <v>54</v>
      </c>
      <c r="I112" s="262" t="s">
        <v>55</v>
      </c>
      <c r="J112" s="262">
        <f>SUM(J113:J115)</f>
        <v>0</v>
      </c>
      <c r="K112" s="217"/>
      <c r="L112" s="218"/>
      <c r="M112" s="218"/>
      <c r="N112" s="218"/>
      <c r="O112" s="218"/>
      <c r="P112" s="218">
        <v>22050</v>
      </c>
      <c r="Q112" s="218">
        <f>SUM(K112:P112)</f>
        <v>22050</v>
      </c>
      <c r="R112" s="263" t="s">
        <v>38</v>
      </c>
      <c r="S112" s="266" t="s">
        <v>84</v>
      </c>
      <c r="T112" s="229"/>
    </row>
    <row r="113" spans="1:20" ht="26.1" hidden="1" customHeight="1">
      <c r="A113" s="208"/>
      <c r="B113" s="211"/>
      <c r="C113" s="211"/>
      <c r="D113" s="212"/>
      <c r="E113" s="210" t="str">
        <f>IFERROR(VLOOKUP($T113,공사현장대장!$A$5:$T$330,4),"")</f>
        <v/>
      </c>
      <c r="F113" s="212"/>
      <c r="G113" s="265"/>
      <c r="H113" s="265"/>
      <c r="I113" s="265"/>
      <c r="J113" s="265" t="str">
        <f>IFERROR(ROUND(VLOOKUP($T113,공사현장대장!$A$5:$T$330,9)/1000,0),"")</f>
        <v/>
      </c>
      <c r="K113" s="225"/>
      <c r="L113" s="209"/>
      <c r="M113" s="209"/>
      <c r="N113" s="209"/>
      <c r="O113" s="209"/>
      <c r="P113" s="209"/>
      <c r="Q113" s="209"/>
      <c r="R113" s="263" t="s">
        <v>38</v>
      </c>
      <c r="S113" s="266" t="s">
        <v>84</v>
      </c>
      <c r="T113" s="229"/>
    </row>
    <row r="114" spans="1:20" ht="26.1" hidden="1" customHeight="1">
      <c r="A114" s="208"/>
      <c r="B114" s="211"/>
      <c r="C114" s="211"/>
      <c r="D114" s="212"/>
      <c r="E114" s="210" t="str">
        <f>IFERROR(VLOOKUP($T114,공사현장대장!$A$5:$T$330,4),"")</f>
        <v/>
      </c>
      <c r="F114" s="212"/>
      <c r="G114" s="265"/>
      <c r="H114" s="265"/>
      <c r="I114" s="265"/>
      <c r="J114" s="265" t="str">
        <f>IFERROR(ROUND(VLOOKUP($T114,공사현장대장!$A$5:$T$330,9)/1000,0),"")</f>
        <v/>
      </c>
      <c r="K114" s="225"/>
      <c r="L114" s="209"/>
      <c r="M114" s="209"/>
      <c r="N114" s="209"/>
      <c r="O114" s="209"/>
      <c r="P114" s="209"/>
      <c r="Q114" s="209"/>
      <c r="R114" s="263" t="s">
        <v>38</v>
      </c>
      <c r="S114" s="266" t="s">
        <v>84</v>
      </c>
      <c r="T114" s="229"/>
    </row>
    <row r="115" spans="1:20" ht="26.1" hidden="1" customHeight="1">
      <c r="A115" s="208"/>
      <c r="B115" s="211"/>
      <c r="C115" s="211"/>
      <c r="D115" s="212"/>
      <c r="E115" s="210" t="str">
        <f>IFERROR(VLOOKUP($T115,공사현장대장!$A$5:$T$330,4),"")</f>
        <v/>
      </c>
      <c r="F115" s="212"/>
      <c r="G115" s="265"/>
      <c r="H115" s="265"/>
      <c r="I115" s="265"/>
      <c r="J115" s="265" t="str">
        <f>IFERROR(ROUND(VLOOKUP($T115,공사현장대장!$A$5:$T$330,9)/1000,0),"")</f>
        <v/>
      </c>
      <c r="K115" s="225"/>
      <c r="L115" s="209"/>
      <c r="M115" s="209"/>
      <c r="N115" s="209"/>
      <c r="O115" s="209"/>
      <c r="P115" s="209"/>
      <c r="Q115" s="209"/>
      <c r="R115" s="263" t="s">
        <v>38</v>
      </c>
      <c r="S115" s="266" t="s">
        <v>84</v>
      </c>
      <c r="T115" s="229"/>
    </row>
    <row r="116" spans="1:20" ht="26.1" hidden="1" customHeight="1">
      <c r="A116" s="324" t="s">
        <v>40</v>
      </c>
      <c r="B116" s="325"/>
      <c r="C116" s="325"/>
      <c r="D116" s="325"/>
      <c r="E116" s="326"/>
      <c r="F116" s="226"/>
      <c r="G116" s="267"/>
      <c r="H116" s="267"/>
      <c r="I116" s="267"/>
      <c r="J116" s="267"/>
      <c r="K116" s="227">
        <f t="shared" ref="K116:Q116" si="21">SUM(K112-SUM(K113:K115))</f>
        <v>0</v>
      </c>
      <c r="L116" s="227">
        <f t="shared" si="21"/>
        <v>0</v>
      </c>
      <c r="M116" s="227">
        <f t="shared" si="21"/>
        <v>0</v>
      </c>
      <c r="N116" s="227">
        <f t="shared" si="21"/>
        <v>0</v>
      </c>
      <c r="O116" s="227">
        <f t="shared" si="21"/>
        <v>0</v>
      </c>
      <c r="P116" s="227">
        <f t="shared" si="21"/>
        <v>22050</v>
      </c>
      <c r="Q116" s="227">
        <f t="shared" si="21"/>
        <v>22050</v>
      </c>
      <c r="R116" s="268" t="s">
        <v>38</v>
      </c>
      <c r="S116" s="269" t="s">
        <v>84</v>
      </c>
      <c r="T116" s="230"/>
    </row>
    <row r="117" spans="1:20" ht="26.1" hidden="1" customHeight="1">
      <c r="A117" s="213" t="s">
        <v>29</v>
      </c>
      <c r="B117" s="214" t="s">
        <v>50</v>
      </c>
      <c r="C117" s="214" t="s">
        <v>31</v>
      </c>
      <c r="D117" s="215" t="s">
        <v>82</v>
      </c>
      <c r="E117" s="216" t="s">
        <v>97</v>
      </c>
      <c r="F117" s="215" t="s">
        <v>98</v>
      </c>
      <c r="G117" s="262" t="s">
        <v>46</v>
      </c>
      <c r="H117" s="262" t="s">
        <v>54</v>
      </c>
      <c r="I117" s="262" t="s">
        <v>99</v>
      </c>
      <c r="J117" s="262">
        <f>SUM(J118:J120)</f>
        <v>0</v>
      </c>
      <c r="K117" s="217"/>
      <c r="L117" s="218">
        <v>14732</v>
      </c>
      <c r="M117" s="218"/>
      <c r="N117" s="218"/>
      <c r="O117" s="218"/>
      <c r="P117" s="218"/>
      <c r="Q117" s="218">
        <f>SUM(K117:P117)</f>
        <v>14732</v>
      </c>
      <c r="R117" s="274" t="s">
        <v>87</v>
      </c>
      <c r="S117" s="266" t="s">
        <v>100</v>
      </c>
      <c r="T117" s="229"/>
    </row>
    <row r="118" spans="1:20" ht="26.1" hidden="1" customHeight="1">
      <c r="A118" s="208"/>
      <c r="B118" s="211"/>
      <c r="C118" s="211"/>
      <c r="D118" s="212"/>
      <c r="E118" s="210" t="str">
        <f>IFERROR(VLOOKUP($T118,공사현장대장!$A$5:$T$330,4),"")</f>
        <v/>
      </c>
      <c r="F118" s="212"/>
      <c r="G118" s="265"/>
      <c r="H118" s="265"/>
      <c r="I118" s="265"/>
      <c r="J118" s="265" t="str">
        <f>IFERROR(ROUND(VLOOKUP($T118,공사현장대장!$A$5:$T$330,9)/1000,0),"")</f>
        <v/>
      </c>
      <c r="K118" s="225"/>
      <c r="L118" s="209"/>
      <c r="M118" s="209"/>
      <c r="N118" s="209"/>
      <c r="O118" s="209"/>
      <c r="P118" s="209"/>
      <c r="Q118" s="209"/>
      <c r="R118" s="263" t="s">
        <v>87</v>
      </c>
      <c r="S118" s="266" t="s">
        <v>100</v>
      </c>
      <c r="T118" s="229"/>
    </row>
    <row r="119" spans="1:20" ht="26.1" hidden="1" customHeight="1">
      <c r="A119" s="208"/>
      <c r="B119" s="211"/>
      <c r="C119" s="211"/>
      <c r="D119" s="212"/>
      <c r="E119" s="210" t="str">
        <f>IFERROR(VLOOKUP($T119,공사현장대장!$A$5:$T$330,4),"")</f>
        <v/>
      </c>
      <c r="F119" s="212"/>
      <c r="G119" s="265"/>
      <c r="H119" s="265"/>
      <c r="I119" s="265"/>
      <c r="J119" s="265" t="str">
        <f>IFERROR(ROUND(VLOOKUP($T119,공사현장대장!$A$5:$T$330,9)/1000,0),"")</f>
        <v/>
      </c>
      <c r="K119" s="225"/>
      <c r="L119" s="209"/>
      <c r="M119" s="209"/>
      <c r="N119" s="209"/>
      <c r="O119" s="209"/>
      <c r="P119" s="209"/>
      <c r="Q119" s="209"/>
      <c r="R119" s="263" t="s">
        <v>87</v>
      </c>
      <c r="S119" s="266" t="s">
        <v>100</v>
      </c>
      <c r="T119" s="229"/>
    </row>
    <row r="120" spans="1:20" ht="26.1" hidden="1" customHeight="1">
      <c r="A120" s="208"/>
      <c r="B120" s="211"/>
      <c r="C120" s="211"/>
      <c r="D120" s="212"/>
      <c r="E120" s="210" t="str">
        <f>IFERROR(VLOOKUP($T120,공사현장대장!$A$5:$T$330,4),"")</f>
        <v/>
      </c>
      <c r="F120" s="212"/>
      <c r="G120" s="265"/>
      <c r="H120" s="265"/>
      <c r="I120" s="265"/>
      <c r="J120" s="265" t="str">
        <f>IFERROR(ROUND(VLOOKUP($T120,공사현장대장!$A$5:$T$330,9)/1000,0),"")</f>
        <v/>
      </c>
      <c r="K120" s="225"/>
      <c r="L120" s="209"/>
      <c r="M120" s="209"/>
      <c r="N120" s="209"/>
      <c r="O120" s="209"/>
      <c r="P120" s="209"/>
      <c r="Q120" s="209"/>
      <c r="R120" s="263" t="s">
        <v>87</v>
      </c>
      <c r="S120" s="266" t="s">
        <v>100</v>
      </c>
      <c r="T120" s="229"/>
    </row>
    <row r="121" spans="1:20" ht="26.1" hidden="1" customHeight="1">
      <c r="A121" s="324" t="s">
        <v>40</v>
      </c>
      <c r="B121" s="325"/>
      <c r="C121" s="325"/>
      <c r="D121" s="325"/>
      <c r="E121" s="326"/>
      <c r="F121" s="226"/>
      <c r="G121" s="267"/>
      <c r="H121" s="267"/>
      <c r="I121" s="267"/>
      <c r="J121" s="267"/>
      <c r="K121" s="227">
        <f t="shared" ref="K121:Q121" si="22">SUM(K117-SUM(K118:K120))</f>
        <v>0</v>
      </c>
      <c r="L121" s="227">
        <f t="shared" si="22"/>
        <v>14732</v>
      </c>
      <c r="M121" s="227">
        <f t="shared" si="22"/>
        <v>0</v>
      </c>
      <c r="N121" s="227">
        <f t="shared" si="22"/>
        <v>0</v>
      </c>
      <c r="O121" s="227">
        <f t="shared" si="22"/>
        <v>0</v>
      </c>
      <c r="P121" s="227">
        <f t="shared" si="22"/>
        <v>0</v>
      </c>
      <c r="Q121" s="227">
        <f t="shared" si="22"/>
        <v>14732</v>
      </c>
      <c r="R121" s="268" t="s">
        <v>87</v>
      </c>
      <c r="S121" s="269" t="s">
        <v>100</v>
      </c>
      <c r="T121" s="230"/>
    </row>
    <row r="122" spans="1:20" ht="26.1" hidden="1" customHeight="1">
      <c r="A122" s="213" t="s">
        <v>29</v>
      </c>
      <c r="B122" s="214" t="s">
        <v>50</v>
      </c>
      <c r="C122" s="214" t="s">
        <v>31</v>
      </c>
      <c r="D122" s="215" t="s">
        <v>82</v>
      </c>
      <c r="E122" s="216" t="s">
        <v>101</v>
      </c>
      <c r="F122" s="215" t="s">
        <v>102</v>
      </c>
      <c r="G122" s="262" t="s">
        <v>46</v>
      </c>
      <c r="H122" s="262" t="s">
        <v>47</v>
      </c>
      <c r="I122" s="262" t="s">
        <v>48</v>
      </c>
      <c r="J122" s="262">
        <f>SUM(J123:J125)</f>
        <v>0</v>
      </c>
      <c r="K122" s="217"/>
      <c r="L122" s="218"/>
      <c r="M122" s="218"/>
      <c r="N122" s="218"/>
      <c r="O122" s="218"/>
      <c r="P122" s="218">
        <v>65152</v>
      </c>
      <c r="Q122" s="218">
        <f>SUM(K122:P122)</f>
        <v>65152</v>
      </c>
      <c r="R122" s="263" t="s">
        <v>38</v>
      </c>
      <c r="S122" s="266" t="s">
        <v>84</v>
      </c>
      <c r="T122" s="229"/>
    </row>
    <row r="123" spans="1:20" ht="26.1" hidden="1" customHeight="1">
      <c r="A123" s="208"/>
      <c r="B123" s="211"/>
      <c r="C123" s="211"/>
      <c r="D123" s="212"/>
      <c r="E123" s="210" t="str">
        <f>IFERROR(VLOOKUP($T123,공사현장대장!$A$5:$T$330,4),"")</f>
        <v/>
      </c>
      <c r="F123" s="212"/>
      <c r="G123" s="265"/>
      <c r="H123" s="265"/>
      <c r="I123" s="265"/>
      <c r="J123" s="265" t="str">
        <f>IFERROR(ROUND(VLOOKUP($T123,공사현장대장!$A$5:$T$330,9)/1000,0),"")</f>
        <v/>
      </c>
      <c r="K123" s="225"/>
      <c r="L123" s="209"/>
      <c r="M123" s="209"/>
      <c r="N123" s="209"/>
      <c r="O123" s="209"/>
      <c r="P123" s="209"/>
      <c r="Q123" s="209"/>
      <c r="R123" s="263" t="s">
        <v>38</v>
      </c>
      <c r="S123" s="266" t="s">
        <v>84</v>
      </c>
      <c r="T123" s="229"/>
    </row>
    <row r="124" spans="1:20" ht="26.1" hidden="1" customHeight="1">
      <c r="A124" s="208"/>
      <c r="B124" s="211"/>
      <c r="C124" s="211"/>
      <c r="D124" s="212"/>
      <c r="E124" s="210" t="str">
        <f>IFERROR(VLOOKUP($T124,공사현장대장!$A$5:$T$330,4),"")</f>
        <v/>
      </c>
      <c r="F124" s="212"/>
      <c r="G124" s="265"/>
      <c r="H124" s="265"/>
      <c r="I124" s="265"/>
      <c r="J124" s="265" t="str">
        <f>IFERROR(ROUND(VLOOKUP($T124,공사현장대장!$A$5:$T$330,9)/1000,0),"")</f>
        <v/>
      </c>
      <c r="K124" s="225"/>
      <c r="L124" s="209"/>
      <c r="M124" s="209"/>
      <c r="N124" s="209"/>
      <c r="O124" s="209"/>
      <c r="P124" s="209"/>
      <c r="Q124" s="209"/>
      <c r="R124" s="263" t="s">
        <v>38</v>
      </c>
      <c r="S124" s="266" t="s">
        <v>84</v>
      </c>
      <c r="T124" s="229"/>
    </row>
    <row r="125" spans="1:20" ht="26.1" hidden="1" customHeight="1">
      <c r="A125" s="208"/>
      <c r="B125" s="211"/>
      <c r="C125" s="211"/>
      <c r="D125" s="212"/>
      <c r="E125" s="210" t="str">
        <f>IFERROR(VLOOKUP($T125,공사현장대장!$A$5:$T$330,4),"")</f>
        <v/>
      </c>
      <c r="F125" s="212"/>
      <c r="G125" s="265"/>
      <c r="H125" s="265"/>
      <c r="I125" s="265"/>
      <c r="J125" s="265" t="str">
        <f>IFERROR(ROUND(VLOOKUP($T125,공사현장대장!$A$5:$T$330,9)/1000,0),"")</f>
        <v/>
      </c>
      <c r="K125" s="225"/>
      <c r="L125" s="209"/>
      <c r="M125" s="209"/>
      <c r="N125" s="209"/>
      <c r="O125" s="209"/>
      <c r="P125" s="209"/>
      <c r="Q125" s="209"/>
      <c r="R125" s="263" t="s">
        <v>38</v>
      </c>
      <c r="S125" s="266" t="s">
        <v>84</v>
      </c>
      <c r="T125" s="229"/>
    </row>
    <row r="126" spans="1:20" ht="26.1" hidden="1" customHeight="1">
      <c r="A126" s="324" t="s">
        <v>40</v>
      </c>
      <c r="B126" s="325"/>
      <c r="C126" s="325"/>
      <c r="D126" s="325"/>
      <c r="E126" s="326"/>
      <c r="F126" s="226"/>
      <c r="G126" s="267"/>
      <c r="H126" s="267"/>
      <c r="I126" s="267"/>
      <c r="J126" s="267"/>
      <c r="K126" s="227">
        <f t="shared" ref="K126:Q126" si="23">SUM(K122-SUM(K123:K125))</f>
        <v>0</v>
      </c>
      <c r="L126" s="227">
        <f t="shared" si="23"/>
        <v>0</v>
      </c>
      <c r="M126" s="227">
        <f t="shared" si="23"/>
        <v>0</v>
      </c>
      <c r="N126" s="227">
        <f t="shared" si="23"/>
        <v>0</v>
      </c>
      <c r="O126" s="227">
        <f t="shared" si="23"/>
        <v>0</v>
      </c>
      <c r="P126" s="227">
        <f t="shared" si="23"/>
        <v>65152</v>
      </c>
      <c r="Q126" s="227">
        <f t="shared" si="23"/>
        <v>65152</v>
      </c>
      <c r="R126" s="268" t="s">
        <v>38</v>
      </c>
      <c r="S126" s="269" t="s">
        <v>84</v>
      </c>
      <c r="T126" s="230"/>
    </row>
    <row r="127" spans="1:20" ht="26.1" hidden="1" customHeight="1">
      <c r="A127" s="213" t="s">
        <v>29</v>
      </c>
      <c r="B127" s="214" t="s">
        <v>50</v>
      </c>
      <c r="C127" s="214" t="s">
        <v>31</v>
      </c>
      <c r="D127" s="215" t="s">
        <v>82</v>
      </c>
      <c r="E127" s="216" t="s">
        <v>103</v>
      </c>
      <c r="F127" s="215" t="s">
        <v>104</v>
      </c>
      <c r="G127" s="262" t="s">
        <v>46</v>
      </c>
      <c r="H127" s="262" t="s">
        <v>47</v>
      </c>
      <c r="I127" s="262" t="s">
        <v>48</v>
      </c>
      <c r="J127" s="262">
        <f>SUM(J128:J130)</f>
        <v>0</v>
      </c>
      <c r="K127" s="217"/>
      <c r="L127" s="218"/>
      <c r="M127" s="218"/>
      <c r="N127" s="218"/>
      <c r="O127" s="218"/>
      <c r="P127" s="218">
        <v>8129</v>
      </c>
      <c r="Q127" s="218">
        <f>SUM(K127:P127)</f>
        <v>8129</v>
      </c>
      <c r="R127" s="263" t="s">
        <v>38</v>
      </c>
      <c r="S127" s="266" t="s">
        <v>84</v>
      </c>
      <c r="T127" s="229"/>
    </row>
    <row r="128" spans="1:20" ht="26.1" hidden="1" customHeight="1">
      <c r="A128" s="208"/>
      <c r="B128" s="211"/>
      <c r="C128" s="211"/>
      <c r="D128" s="212"/>
      <c r="E128" s="210" t="str">
        <f>IFERROR(VLOOKUP($T128,공사현장대장!$A$5:$T$330,4),"")</f>
        <v/>
      </c>
      <c r="F128" s="212"/>
      <c r="G128" s="265"/>
      <c r="H128" s="265"/>
      <c r="I128" s="265"/>
      <c r="J128" s="265" t="str">
        <f>IFERROR(ROUND(VLOOKUP($T128,공사현장대장!$A$5:$T$330,9)/1000,0),"")</f>
        <v/>
      </c>
      <c r="K128" s="225"/>
      <c r="L128" s="209"/>
      <c r="M128" s="209"/>
      <c r="N128" s="209"/>
      <c r="O128" s="209"/>
      <c r="P128" s="209"/>
      <c r="Q128" s="209"/>
      <c r="R128" s="263" t="s">
        <v>38</v>
      </c>
      <c r="S128" s="266" t="s">
        <v>84</v>
      </c>
      <c r="T128" s="229"/>
    </row>
    <row r="129" spans="1:20" ht="26.1" hidden="1" customHeight="1">
      <c r="A129" s="208"/>
      <c r="B129" s="211"/>
      <c r="C129" s="211"/>
      <c r="D129" s="212"/>
      <c r="E129" s="210" t="str">
        <f>IFERROR(VLOOKUP($T129,공사현장대장!$A$5:$T$330,4),"")</f>
        <v/>
      </c>
      <c r="F129" s="212"/>
      <c r="G129" s="265"/>
      <c r="H129" s="265"/>
      <c r="I129" s="265"/>
      <c r="J129" s="265" t="str">
        <f>IFERROR(ROUND(VLOOKUP($T129,공사현장대장!$A$5:$T$330,9)/1000,0),"")</f>
        <v/>
      </c>
      <c r="K129" s="225"/>
      <c r="L129" s="209"/>
      <c r="M129" s="209"/>
      <c r="N129" s="209"/>
      <c r="O129" s="209"/>
      <c r="P129" s="209"/>
      <c r="Q129" s="209"/>
      <c r="R129" s="263" t="s">
        <v>38</v>
      </c>
      <c r="S129" s="266" t="s">
        <v>84</v>
      </c>
      <c r="T129" s="229"/>
    </row>
    <row r="130" spans="1:20" ht="26.1" hidden="1" customHeight="1">
      <c r="A130" s="208"/>
      <c r="B130" s="211"/>
      <c r="C130" s="211"/>
      <c r="D130" s="212"/>
      <c r="E130" s="210" t="str">
        <f>IFERROR(VLOOKUP($T130,공사현장대장!$A$5:$T$330,4),"")</f>
        <v/>
      </c>
      <c r="F130" s="212"/>
      <c r="G130" s="265"/>
      <c r="H130" s="265"/>
      <c r="I130" s="265"/>
      <c r="J130" s="265" t="str">
        <f>IFERROR(ROUND(VLOOKUP($T130,공사현장대장!$A$5:$T$330,9)/1000,0),"")</f>
        <v/>
      </c>
      <c r="K130" s="225"/>
      <c r="L130" s="209"/>
      <c r="M130" s="209"/>
      <c r="N130" s="209"/>
      <c r="O130" s="209"/>
      <c r="P130" s="209"/>
      <c r="Q130" s="209"/>
      <c r="R130" s="263" t="s">
        <v>38</v>
      </c>
      <c r="S130" s="266" t="s">
        <v>84</v>
      </c>
      <c r="T130" s="229"/>
    </row>
    <row r="131" spans="1:20" ht="26.1" hidden="1" customHeight="1">
      <c r="A131" s="324" t="s">
        <v>40</v>
      </c>
      <c r="B131" s="325"/>
      <c r="C131" s="325"/>
      <c r="D131" s="325"/>
      <c r="E131" s="326"/>
      <c r="F131" s="226"/>
      <c r="G131" s="267"/>
      <c r="H131" s="267"/>
      <c r="I131" s="267"/>
      <c r="J131" s="267"/>
      <c r="K131" s="227">
        <f t="shared" ref="K131:Q131" si="24">SUM(K127-SUM(K128:K130))</f>
        <v>0</v>
      </c>
      <c r="L131" s="227">
        <f t="shared" si="24"/>
        <v>0</v>
      </c>
      <c r="M131" s="227">
        <f t="shared" si="24"/>
        <v>0</v>
      </c>
      <c r="N131" s="227">
        <f t="shared" si="24"/>
        <v>0</v>
      </c>
      <c r="O131" s="227">
        <f t="shared" si="24"/>
        <v>0</v>
      </c>
      <c r="P131" s="227">
        <f t="shared" si="24"/>
        <v>8129</v>
      </c>
      <c r="Q131" s="227">
        <f t="shared" si="24"/>
        <v>8129</v>
      </c>
      <c r="R131" s="268" t="s">
        <v>38</v>
      </c>
      <c r="S131" s="269" t="s">
        <v>84</v>
      </c>
      <c r="T131" s="230"/>
    </row>
    <row r="132" spans="1:20" ht="26.1" hidden="1" customHeight="1">
      <c r="A132" s="213" t="s">
        <v>29</v>
      </c>
      <c r="B132" s="214" t="s">
        <v>50</v>
      </c>
      <c r="C132" s="214" t="s">
        <v>31</v>
      </c>
      <c r="D132" s="215" t="s">
        <v>82</v>
      </c>
      <c r="E132" s="216" t="s">
        <v>105</v>
      </c>
      <c r="F132" s="215" t="s">
        <v>106</v>
      </c>
      <c r="G132" s="262" t="s">
        <v>46</v>
      </c>
      <c r="H132" s="262" t="s">
        <v>107</v>
      </c>
      <c r="I132" s="262" t="s">
        <v>108</v>
      </c>
      <c r="J132" s="262">
        <f>SUM(J133:J135)</f>
        <v>0</v>
      </c>
      <c r="K132" s="217">
        <v>15036</v>
      </c>
      <c r="L132" s="218">
        <v>0</v>
      </c>
      <c r="M132" s="218">
        <v>0</v>
      </c>
      <c r="N132" s="218"/>
      <c r="O132" s="218"/>
      <c r="P132" s="218"/>
      <c r="Q132" s="218">
        <f>SUM(K132:P132)</f>
        <v>15036</v>
      </c>
      <c r="R132" s="263" t="s">
        <v>76</v>
      </c>
      <c r="S132" s="266" t="s">
        <v>84</v>
      </c>
      <c r="T132" s="229"/>
    </row>
    <row r="133" spans="1:20" ht="26.1" hidden="1" customHeight="1">
      <c r="A133" s="208"/>
      <c r="B133" s="211"/>
      <c r="C133" s="211"/>
      <c r="D133" s="212"/>
      <c r="E133" s="210" t="str">
        <f>IFERROR(VLOOKUP($T133,공사현장대장!$A$5:$T$330,4),"")</f>
        <v/>
      </c>
      <c r="F133" s="212"/>
      <c r="G133" s="265"/>
      <c r="H133" s="265"/>
      <c r="I133" s="265"/>
      <c r="J133" s="265" t="str">
        <f>IFERROR(ROUND(VLOOKUP($T133,공사현장대장!$A$5:$T$330,9)/1000,0),"")</f>
        <v/>
      </c>
      <c r="K133" s="225"/>
      <c r="L133" s="209"/>
      <c r="M133" s="209"/>
      <c r="N133" s="209"/>
      <c r="O133" s="209"/>
      <c r="P133" s="209"/>
      <c r="Q133" s="209"/>
      <c r="R133" s="263" t="s">
        <v>76</v>
      </c>
      <c r="S133" s="266" t="s">
        <v>84</v>
      </c>
      <c r="T133" s="229"/>
    </row>
    <row r="134" spans="1:20" ht="26.1" hidden="1" customHeight="1">
      <c r="A134" s="208"/>
      <c r="B134" s="211"/>
      <c r="C134" s="211"/>
      <c r="D134" s="212"/>
      <c r="E134" s="210" t="str">
        <f>IFERROR(VLOOKUP($T134,공사현장대장!$A$5:$T$330,4),"")</f>
        <v/>
      </c>
      <c r="F134" s="212"/>
      <c r="G134" s="265"/>
      <c r="H134" s="265"/>
      <c r="I134" s="265"/>
      <c r="J134" s="265" t="str">
        <f>IFERROR(ROUND(VLOOKUP($T134,공사현장대장!$A$5:$T$330,9)/1000,0),"")</f>
        <v/>
      </c>
      <c r="K134" s="225"/>
      <c r="L134" s="209"/>
      <c r="M134" s="209"/>
      <c r="N134" s="209"/>
      <c r="O134" s="209"/>
      <c r="P134" s="209"/>
      <c r="Q134" s="209"/>
      <c r="R134" s="263" t="s">
        <v>76</v>
      </c>
      <c r="S134" s="266" t="s">
        <v>84</v>
      </c>
      <c r="T134" s="229"/>
    </row>
    <row r="135" spans="1:20" ht="26.1" hidden="1" customHeight="1">
      <c r="A135" s="208"/>
      <c r="B135" s="211"/>
      <c r="C135" s="211"/>
      <c r="D135" s="212"/>
      <c r="E135" s="210" t="str">
        <f>IFERROR(VLOOKUP($T135,공사현장대장!$A$5:$T$330,4),"")</f>
        <v/>
      </c>
      <c r="F135" s="212"/>
      <c r="G135" s="265"/>
      <c r="H135" s="265"/>
      <c r="I135" s="265"/>
      <c r="J135" s="265" t="str">
        <f>IFERROR(ROUND(VLOOKUP($T135,공사현장대장!$A$5:$T$330,9)/1000,0),"")</f>
        <v/>
      </c>
      <c r="K135" s="225"/>
      <c r="L135" s="209"/>
      <c r="M135" s="209"/>
      <c r="N135" s="209"/>
      <c r="O135" s="209"/>
      <c r="P135" s="209"/>
      <c r="Q135" s="209"/>
      <c r="R135" s="263" t="s">
        <v>76</v>
      </c>
      <c r="S135" s="266" t="s">
        <v>84</v>
      </c>
      <c r="T135" s="229"/>
    </row>
    <row r="136" spans="1:20" ht="26.1" hidden="1" customHeight="1">
      <c r="A136" s="324" t="s">
        <v>40</v>
      </c>
      <c r="B136" s="325"/>
      <c r="C136" s="325"/>
      <c r="D136" s="325"/>
      <c r="E136" s="326"/>
      <c r="F136" s="226"/>
      <c r="G136" s="267"/>
      <c r="H136" s="267"/>
      <c r="I136" s="267"/>
      <c r="J136" s="267"/>
      <c r="K136" s="227">
        <f t="shared" ref="K136:Q136" si="25">SUM(K132-SUM(K133:K135))</f>
        <v>15036</v>
      </c>
      <c r="L136" s="227">
        <f t="shared" si="25"/>
        <v>0</v>
      </c>
      <c r="M136" s="227">
        <f t="shared" si="25"/>
        <v>0</v>
      </c>
      <c r="N136" s="227">
        <f t="shared" si="25"/>
        <v>0</v>
      </c>
      <c r="O136" s="227">
        <f t="shared" si="25"/>
        <v>0</v>
      </c>
      <c r="P136" s="227">
        <f t="shared" si="25"/>
        <v>0</v>
      </c>
      <c r="Q136" s="227">
        <f t="shared" si="25"/>
        <v>15036</v>
      </c>
      <c r="R136" s="268" t="s">
        <v>76</v>
      </c>
      <c r="S136" s="269" t="s">
        <v>84</v>
      </c>
      <c r="T136" s="230"/>
    </row>
    <row r="137" spans="1:20" ht="26.1" hidden="1" customHeight="1">
      <c r="A137" s="213" t="s">
        <v>29</v>
      </c>
      <c r="B137" s="214" t="s">
        <v>50</v>
      </c>
      <c r="C137" s="214" t="s">
        <v>31</v>
      </c>
      <c r="D137" s="215" t="s">
        <v>82</v>
      </c>
      <c r="E137" s="216" t="s">
        <v>109</v>
      </c>
      <c r="F137" s="215" t="s">
        <v>110</v>
      </c>
      <c r="G137" s="262" t="s">
        <v>46</v>
      </c>
      <c r="H137" s="262" t="s">
        <v>107</v>
      </c>
      <c r="I137" s="262" t="s">
        <v>108</v>
      </c>
      <c r="J137" s="262">
        <f>SUM(J138:J140)</f>
        <v>0</v>
      </c>
      <c r="K137" s="217">
        <v>12057</v>
      </c>
      <c r="L137" s="218">
        <v>0</v>
      </c>
      <c r="M137" s="218">
        <v>0</v>
      </c>
      <c r="N137" s="218"/>
      <c r="O137" s="218"/>
      <c r="P137" s="218"/>
      <c r="Q137" s="218">
        <f>SUM(K137:P137)</f>
        <v>12057</v>
      </c>
      <c r="R137" s="263" t="s">
        <v>76</v>
      </c>
      <c r="S137" s="266" t="s">
        <v>84</v>
      </c>
      <c r="T137" s="229"/>
    </row>
    <row r="138" spans="1:20" ht="26.1" hidden="1" customHeight="1">
      <c r="A138" s="208"/>
      <c r="B138" s="211"/>
      <c r="C138" s="211"/>
      <c r="D138" s="212"/>
      <c r="E138" s="210" t="str">
        <f>IFERROR(VLOOKUP($T138,공사현장대장!$A$5:$T$330,4),"")</f>
        <v/>
      </c>
      <c r="F138" s="212"/>
      <c r="G138" s="265"/>
      <c r="H138" s="265"/>
      <c r="I138" s="265"/>
      <c r="J138" s="265" t="str">
        <f>IFERROR(ROUND(VLOOKUP($T138,공사현장대장!$A$5:$T$330,9)/1000,0),"")</f>
        <v/>
      </c>
      <c r="K138" s="225"/>
      <c r="L138" s="209"/>
      <c r="M138" s="209"/>
      <c r="N138" s="209"/>
      <c r="O138" s="209"/>
      <c r="P138" s="209"/>
      <c r="Q138" s="209"/>
      <c r="R138" s="263" t="s">
        <v>76</v>
      </c>
      <c r="S138" s="266" t="s">
        <v>84</v>
      </c>
      <c r="T138" s="229"/>
    </row>
    <row r="139" spans="1:20" ht="26.1" hidden="1" customHeight="1">
      <c r="A139" s="208"/>
      <c r="B139" s="211"/>
      <c r="C139" s="211"/>
      <c r="D139" s="212"/>
      <c r="E139" s="210" t="str">
        <f>IFERROR(VLOOKUP($T139,공사현장대장!$A$5:$T$330,4),"")</f>
        <v/>
      </c>
      <c r="F139" s="212"/>
      <c r="G139" s="265"/>
      <c r="H139" s="265"/>
      <c r="I139" s="265"/>
      <c r="J139" s="265" t="str">
        <f>IFERROR(ROUND(VLOOKUP($T139,공사현장대장!$A$5:$T$330,9)/1000,0),"")</f>
        <v/>
      </c>
      <c r="K139" s="225"/>
      <c r="L139" s="209"/>
      <c r="M139" s="209"/>
      <c r="N139" s="209"/>
      <c r="O139" s="209"/>
      <c r="P139" s="209"/>
      <c r="Q139" s="209"/>
      <c r="R139" s="263" t="s">
        <v>76</v>
      </c>
      <c r="S139" s="266" t="s">
        <v>84</v>
      </c>
      <c r="T139" s="229"/>
    </row>
    <row r="140" spans="1:20" ht="26.1" hidden="1" customHeight="1">
      <c r="A140" s="208"/>
      <c r="B140" s="211"/>
      <c r="C140" s="211"/>
      <c r="D140" s="212"/>
      <c r="E140" s="210" t="str">
        <f>IFERROR(VLOOKUP($T140,공사현장대장!$A$5:$T$330,4),"")</f>
        <v/>
      </c>
      <c r="F140" s="212"/>
      <c r="G140" s="265"/>
      <c r="H140" s="265"/>
      <c r="I140" s="265"/>
      <c r="J140" s="265" t="str">
        <f>IFERROR(ROUND(VLOOKUP($T140,공사현장대장!$A$5:$T$330,9)/1000,0),"")</f>
        <v/>
      </c>
      <c r="K140" s="225"/>
      <c r="L140" s="209"/>
      <c r="M140" s="209"/>
      <c r="N140" s="209"/>
      <c r="O140" s="209"/>
      <c r="P140" s="209"/>
      <c r="Q140" s="209"/>
      <c r="R140" s="263" t="s">
        <v>76</v>
      </c>
      <c r="S140" s="266" t="s">
        <v>84</v>
      </c>
      <c r="T140" s="229"/>
    </row>
    <row r="141" spans="1:20" ht="26.1" hidden="1" customHeight="1">
      <c r="A141" s="324" t="s">
        <v>40</v>
      </c>
      <c r="B141" s="325"/>
      <c r="C141" s="325"/>
      <c r="D141" s="325"/>
      <c r="E141" s="326"/>
      <c r="F141" s="226"/>
      <c r="G141" s="267"/>
      <c r="H141" s="267"/>
      <c r="I141" s="267"/>
      <c r="J141" s="267"/>
      <c r="K141" s="227">
        <f t="shared" ref="K141:Q141" si="26">SUM(K137-SUM(K138:K140))</f>
        <v>12057</v>
      </c>
      <c r="L141" s="227">
        <f t="shared" si="26"/>
        <v>0</v>
      </c>
      <c r="M141" s="227">
        <f t="shared" si="26"/>
        <v>0</v>
      </c>
      <c r="N141" s="227">
        <f t="shared" si="26"/>
        <v>0</v>
      </c>
      <c r="O141" s="227">
        <f t="shared" si="26"/>
        <v>0</v>
      </c>
      <c r="P141" s="227">
        <f t="shared" si="26"/>
        <v>0</v>
      </c>
      <c r="Q141" s="227">
        <f t="shared" si="26"/>
        <v>12057</v>
      </c>
      <c r="R141" s="268" t="s">
        <v>76</v>
      </c>
      <c r="S141" s="269" t="s">
        <v>84</v>
      </c>
      <c r="T141" s="230"/>
    </row>
    <row r="142" spans="1:20" ht="26.1" hidden="1" customHeight="1">
      <c r="A142" s="213" t="s">
        <v>29</v>
      </c>
      <c r="B142" s="214" t="s">
        <v>50</v>
      </c>
      <c r="C142" s="214" t="s">
        <v>31</v>
      </c>
      <c r="D142" s="215" t="s">
        <v>111</v>
      </c>
      <c r="E142" s="216" t="s">
        <v>112</v>
      </c>
      <c r="F142" s="215" t="s">
        <v>113</v>
      </c>
      <c r="G142" s="262" t="s">
        <v>46</v>
      </c>
      <c r="H142" s="262" t="s">
        <v>47</v>
      </c>
      <c r="I142" s="262" t="s">
        <v>114</v>
      </c>
      <c r="J142" s="262">
        <f>SUM(J143:J145)</f>
        <v>0</v>
      </c>
      <c r="K142" s="217"/>
      <c r="L142" s="218">
        <v>29400</v>
      </c>
      <c r="M142" s="218"/>
      <c r="N142" s="218"/>
      <c r="O142" s="218"/>
      <c r="P142" s="218"/>
      <c r="Q142" s="218">
        <f>SUM(K142:P142)</f>
        <v>29400</v>
      </c>
      <c r="R142" s="263" t="s">
        <v>38</v>
      </c>
      <c r="S142" s="266" t="s">
        <v>115</v>
      </c>
      <c r="T142" s="229"/>
    </row>
    <row r="143" spans="1:20" ht="26.1" hidden="1" customHeight="1">
      <c r="A143" s="208"/>
      <c r="B143" s="211"/>
      <c r="C143" s="211"/>
      <c r="D143" s="212"/>
      <c r="E143" s="210" t="str">
        <f>IFERROR(VLOOKUP($T143,공사현장대장!$A$5:$T$330,4),"")</f>
        <v/>
      </c>
      <c r="F143" s="212"/>
      <c r="G143" s="265"/>
      <c r="H143" s="265"/>
      <c r="I143" s="265"/>
      <c r="J143" s="265" t="str">
        <f>IFERROR(ROUND(VLOOKUP($T143,공사현장대장!$A$5:$T$330,9)/1000,0),"")</f>
        <v/>
      </c>
      <c r="K143" s="225"/>
      <c r="L143" s="209"/>
      <c r="M143" s="209"/>
      <c r="N143" s="209"/>
      <c r="O143" s="209"/>
      <c r="P143" s="209"/>
      <c r="Q143" s="209"/>
      <c r="R143" s="263" t="s">
        <v>38</v>
      </c>
      <c r="S143" s="266" t="s">
        <v>115</v>
      </c>
      <c r="T143" s="229"/>
    </row>
    <row r="144" spans="1:20" ht="26.1" hidden="1" customHeight="1">
      <c r="A144" s="208"/>
      <c r="B144" s="211"/>
      <c r="C144" s="211"/>
      <c r="D144" s="212"/>
      <c r="E144" s="210" t="str">
        <f>IFERROR(VLOOKUP($T144,공사현장대장!$A$5:$T$330,4),"")</f>
        <v/>
      </c>
      <c r="F144" s="212"/>
      <c r="G144" s="265"/>
      <c r="H144" s="265"/>
      <c r="I144" s="265"/>
      <c r="J144" s="265" t="str">
        <f>IFERROR(ROUND(VLOOKUP($T144,공사현장대장!$A$5:$T$330,9)/1000,0),"")</f>
        <v/>
      </c>
      <c r="K144" s="225"/>
      <c r="L144" s="209"/>
      <c r="M144" s="209"/>
      <c r="N144" s="209"/>
      <c r="O144" s="209"/>
      <c r="P144" s="209"/>
      <c r="Q144" s="209"/>
      <c r="R144" s="263" t="s">
        <v>38</v>
      </c>
      <c r="S144" s="266" t="s">
        <v>115</v>
      </c>
      <c r="T144" s="229"/>
    </row>
    <row r="145" spans="1:20" ht="26.1" hidden="1" customHeight="1">
      <c r="A145" s="208"/>
      <c r="B145" s="211"/>
      <c r="C145" s="211"/>
      <c r="D145" s="212"/>
      <c r="E145" s="210" t="str">
        <f>IFERROR(VLOOKUP($T145,공사현장대장!$A$5:$T$330,4),"")</f>
        <v/>
      </c>
      <c r="F145" s="212"/>
      <c r="G145" s="265"/>
      <c r="H145" s="265"/>
      <c r="I145" s="265"/>
      <c r="J145" s="265" t="str">
        <f>IFERROR(ROUND(VLOOKUP($T145,공사현장대장!$A$5:$T$330,9)/1000,0),"")</f>
        <v/>
      </c>
      <c r="K145" s="225"/>
      <c r="L145" s="209"/>
      <c r="M145" s="209"/>
      <c r="N145" s="209"/>
      <c r="O145" s="209"/>
      <c r="P145" s="209"/>
      <c r="Q145" s="209"/>
      <c r="R145" s="263" t="s">
        <v>38</v>
      </c>
      <c r="S145" s="266" t="s">
        <v>115</v>
      </c>
      <c r="T145" s="229"/>
    </row>
    <row r="146" spans="1:20" ht="26.1" hidden="1" customHeight="1">
      <c r="A146" s="324" t="s">
        <v>40</v>
      </c>
      <c r="B146" s="325"/>
      <c r="C146" s="325"/>
      <c r="D146" s="325"/>
      <c r="E146" s="326"/>
      <c r="F146" s="226"/>
      <c r="G146" s="267"/>
      <c r="H146" s="267"/>
      <c r="I146" s="267"/>
      <c r="J146" s="267"/>
      <c r="K146" s="227">
        <f t="shared" ref="K146:Q146" si="27">SUM(K142-SUM(K143:K145))</f>
        <v>0</v>
      </c>
      <c r="L146" s="227">
        <f t="shared" si="27"/>
        <v>29400</v>
      </c>
      <c r="M146" s="227">
        <f t="shared" si="27"/>
        <v>0</v>
      </c>
      <c r="N146" s="227">
        <f t="shared" si="27"/>
        <v>0</v>
      </c>
      <c r="O146" s="227">
        <f t="shared" si="27"/>
        <v>0</v>
      </c>
      <c r="P146" s="227">
        <f t="shared" si="27"/>
        <v>0</v>
      </c>
      <c r="Q146" s="227">
        <f t="shared" si="27"/>
        <v>29400</v>
      </c>
      <c r="R146" s="268" t="s">
        <v>38</v>
      </c>
      <c r="S146" s="269" t="s">
        <v>115</v>
      </c>
      <c r="T146" s="230"/>
    </row>
    <row r="147" spans="1:20" ht="26.1" hidden="1" customHeight="1">
      <c r="A147" s="213" t="s">
        <v>29</v>
      </c>
      <c r="B147" s="214" t="s">
        <v>50</v>
      </c>
      <c r="C147" s="214" t="s">
        <v>31</v>
      </c>
      <c r="D147" s="215" t="s">
        <v>111</v>
      </c>
      <c r="E147" s="216" t="s">
        <v>116</v>
      </c>
      <c r="F147" s="215" t="s">
        <v>117</v>
      </c>
      <c r="G147" s="262" t="s">
        <v>46</v>
      </c>
      <c r="H147" s="262" t="s">
        <v>47</v>
      </c>
      <c r="I147" s="262" t="s">
        <v>118</v>
      </c>
      <c r="J147" s="262">
        <f>SUM(J148:J150)</f>
        <v>0</v>
      </c>
      <c r="K147" s="217"/>
      <c r="L147" s="218">
        <v>107360</v>
      </c>
      <c r="M147" s="218"/>
      <c r="N147" s="218"/>
      <c r="O147" s="218"/>
      <c r="P147" s="218"/>
      <c r="Q147" s="218">
        <f>SUM(K147:P147)</f>
        <v>107360</v>
      </c>
      <c r="R147" s="263" t="s">
        <v>38</v>
      </c>
      <c r="S147" s="266" t="s">
        <v>115</v>
      </c>
      <c r="T147" s="229"/>
    </row>
    <row r="148" spans="1:20" ht="26.1" hidden="1" customHeight="1">
      <c r="A148" s="208"/>
      <c r="B148" s="211"/>
      <c r="C148" s="211"/>
      <c r="D148" s="212"/>
      <c r="E148" s="210" t="str">
        <f>IFERROR(VLOOKUP($T148,공사현장대장!$A$5:$T$330,4),"")</f>
        <v/>
      </c>
      <c r="F148" s="212"/>
      <c r="G148" s="265"/>
      <c r="H148" s="265"/>
      <c r="I148" s="265"/>
      <c r="J148" s="265" t="str">
        <f>IFERROR(ROUND(VLOOKUP($T148,공사현장대장!$A$5:$T$330,9)/1000,0),"")</f>
        <v/>
      </c>
      <c r="K148" s="225"/>
      <c r="L148" s="209"/>
      <c r="M148" s="209"/>
      <c r="N148" s="209"/>
      <c r="O148" s="209"/>
      <c r="P148" s="209"/>
      <c r="Q148" s="209"/>
      <c r="R148" s="263" t="s">
        <v>38</v>
      </c>
      <c r="S148" s="266" t="s">
        <v>115</v>
      </c>
      <c r="T148" s="229"/>
    </row>
    <row r="149" spans="1:20" ht="26.1" hidden="1" customHeight="1">
      <c r="A149" s="208"/>
      <c r="B149" s="211"/>
      <c r="C149" s="211"/>
      <c r="D149" s="212"/>
      <c r="E149" s="210" t="str">
        <f>IFERROR(VLOOKUP($T149,공사현장대장!$A$5:$T$330,4),"")</f>
        <v/>
      </c>
      <c r="F149" s="212"/>
      <c r="G149" s="265"/>
      <c r="H149" s="265"/>
      <c r="I149" s="265"/>
      <c r="J149" s="265" t="str">
        <f>IFERROR(ROUND(VLOOKUP($T149,공사현장대장!$A$5:$T$330,9)/1000,0),"")</f>
        <v/>
      </c>
      <c r="K149" s="225"/>
      <c r="L149" s="209"/>
      <c r="M149" s="209"/>
      <c r="N149" s="209"/>
      <c r="O149" s="209"/>
      <c r="P149" s="209"/>
      <c r="Q149" s="209"/>
      <c r="R149" s="263" t="s">
        <v>38</v>
      </c>
      <c r="S149" s="266" t="s">
        <v>115</v>
      </c>
      <c r="T149" s="229"/>
    </row>
    <row r="150" spans="1:20" ht="26.1" hidden="1" customHeight="1">
      <c r="A150" s="208"/>
      <c r="B150" s="211"/>
      <c r="C150" s="211"/>
      <c r="D150" s="212"/>
      <c r="E150" s="210" t="str">
        <f>IFERROR(VLOOKUP($T150,공사현장대장!$A$5:$T$330,4),"")</f>
        <v/>
      </c>
      <c r="F150" s="212"/>
      <c r="G150" s="265"/>
      <c r="H150" s="265"/>
      <c r="I150" s="265"/>
      <c r="J150" s="265" t="str">
        <f>IFERROR(ROUND(VLOOKUP($T150,공사현장대장!$A$5:$T$330,9)/1000,0),"")</f>
        <v/>
      </c>
      <c r="K150" s="225"/>
      <c r="L150" s="209"/>
      <c r="M150" s="209"/>
      <c r="N150" s="209"/>
      <c r="O150" s="209"/>
      <c r="P150" s="209"/>
      <c r="Q150" s="209"/>
      <c r="R150" s="263" t="s">
        <v>38</v>
      </c>
      <c r="S150" s="266" t="s">
        <v>115</v>
      </c>
      <c r="T150" s="229"/>
    </row>
    <row r="151" spans="1:20" ht="26.1" hidden="1" customHeight="1">
      <c r="A151" s="324" t="s">
        <v>40</v>
      </c>
      <c r="B151" s="325"/>
      <c r="C151" s="325"/>
      <c r="D151" s="325"/>
      <c r="E151" s="326"/>
      <c r="F151" s="226"/>
      <c r="G151" s="267"/>
      <c r="H151" s="267"/>
      <c r="I151" s="267"/>
      <c r="J151" s="267"/>
      <c r="K151" s="227">
        <f t="shared" ref="K151:Q151" si="28">SUM(K147-SUM(K148:K150))</f>
        <v>0</v>
      </c>
      <c r="L151" s="227">
        <f t="shared" si="28"/>
        <v>107360</v>
      </c>
      <c r="M151" s="227">
        <f t="shared" si="28"/>
        <v>0</v>
      </c>
      <c r="N151" s="227">
        <f t="shared" si="28"/>
        <v>0</v>
      </c>
      <c r="O151" s="227">
        <f t="shared" si="28"/>
        <v>0</v>
      </c>
      <c r="P151" s="227">
        <f t="shared" si="28"/>
        <v>0</v>
      </c>
      <c r="Q151" s="227">
        <f t="shared" si="28"/>
        <v>107360</v>
      </c>
      <c r="R151" s="268" t="s">
        <v>38</v>
      </c>
      <c r="S151" s="269" t="s">
        <v>115</v>
      </c>
      <c r="T151" s="230"/>
    </row>
    <row r="152" spans="1:20" ht="26.1" hidden="1" customHeight="1">
      <c r="A152" s="213" t="s">
        <v>29</v>
      </c>
      <c r="B152" s="214" t="s">
        <v>50</v>
      </c>
      <c r="C152" s="214" t="s">
        <v>31</v>
      </c>
      <c r="D152" s="215" t="s">
        <v>111</v>
      </c>
      <c r="E152" s="216" t="s">
        <v>119</v>
      </c>
      <c r="F152" s="224" t="s">
        <v>120</v>
      </c>
      <c r="G152" s="262" t="s">
        <v>46</v>
      </c>
      <c r="H152" s="262" t="s">
        <v>54</v>
      </c>
      <c r="I152" s="262" t="s">
        <v>121</v>
      </c>
      <c r="J152" s="262">
        <f>SUM(J153:J155)</f>
        <v>0</v>
      </c>
      <c r="K152" s="217"/>
      <c r="L152" s="218">
        <v>117600</v>
      </c>
      <c r="M152" s="218"/>
      <c r="N152" s="218"/>
      <c r="O152" s="218"/>
      <c r="P152" s="218"/>
      <c r="Q152" s="218">
        <f>SUM(K152:P152)</f>
        <v>117600</v>
      </c>
      <c r="R152" s="263" t="s">
        <v>38</v>
      </c>
      <c r="S152" s="266" t="s">
        <v>115</v>
      </c>
      <c r="T152" s="229"/>
    </row>
    <row r="153" spans="1:20" ht="26.1" hidden="1" customHeight="1">
      <c r="A153" s="208"/>
      <c r="B153" s="211"/>
      <c r="C153" s="211"/>
      <c r="D153" s="212"/>
      <c r="E153" s="210" t="str">
        <f>IFERROR(VLOOKUP($T153,공사현장대장!$A$5:$T$330,4),"")</f>
        <v/>
      </c>
      <c r="F153" s="212"/>
      <c r="G153" s="265"/>
      <c r="H153" s="265"/>
      <c r="I153" s="265"/>
      <c r="J153" s="265" t="str">
        <f>IFERROR(ROUND(VLOOKUP($T153,공사현장대장!$A$5:$T$330,9)/1000,0),"")</f>
        <v/>
      </c>
      <c r="K153" s="225"/>
      <c r="L153" s="209"/>
      <c r="M153" s="209"/>
      <c r="N153" s="209"/>
      <c r="O153" s="209"/>
      <c r="P153" s="209"/>
      <c r="Q153" s="209"/>
      <c r="R153" s="263" t="s">
        <v>38</v>
      </c>
      <c r="S153" s="266" t="s">
        <v>115</v>
      </c>
      <c r="T153" s="229"/>
    </row>
    <row r="154" spans="1:20" ht="26.1" hidden="1" customHeight="1">
      <c r="A154" s="208"/>
      <c r="B154" s="211"/>
      <c r="C154" s="211"/>
      <c r="D154" s="212"/>
      <c r="E154" s="210" t="str">
        <f>IFERROR(VLOOKUP($T154,공사현장대장!$A$5:$T$330,4),"")</f>
        <v/>
      </c>
      <c r="F154" s="212"/>
      <c r="G154" s="265"/>
      <c r="H154" s="265"/>
      <c r="I154" s="265"/>
      <c r="J154" s="265" t="str">
        <f>IFERROR(ROUND(VLOOKUP($T154,공사현장대장!$A$5:$T$330,9)/1000,0),"")</f>
        <v/>
      </c>
      <c r="K154" s="225"/>
      <c r="L154" s="209"/>
      <c r="M154" s="209"/>
      <c r="N154" s="209"/>
      <c r="O154" s="209"/>
      <c r="P154" s="209"/>
      <c r="Q154" s="209"/>
      <c r="R154" s="263" t="s">
        <v>38</v>
      </c>
      <c r="S154" s="266" t="s">
        <v>115</v>
      </c>
      <c r="T154" s="229"/>
    </row>
    <row r="155" spans="1:20" ht="26.1" hidden="1" customHeight="1">
      <c r="A155" s="208"/>
      <c r="B155" s="211"/>
      <c r="C155" s="211"/>
      <c r="D155" s="212"/>
      <c r="E155" s="210" t="str">
        <f>IFERROR(VLOOKUP($T155,공사현장대장!$A$5:$T$330,4),"")</f>
        <v/>
      </c>
      <c r="F155" s="212"/>
      <c r="G155" s="265"/>
      <c r="H155" s="265"/>
      <c r="I155" s="265"/>
      <c r="J155" s="265" t="str">
        <f>IFERROR(ROUND(VLOOKUP($T155,공사현장대장!$A$5:$T$330,9)/1000,0),"")</f>
        <v/>
      </c>
      <c r="K155" s="225"/>
      <c r="L155" s="209"/>
      <c r="M155" s="209"/>
      <c r="N155" s="209"/>
      <c r="O155" s="209"/>
      <c r="P155" s="209"/>
      <c r="Q155" s="209"/>
      <c r="R155" s="263" t="s">
        <v>38</v>
      </c>
      <c r="S155" s="266" t="s">
        <v>115</v>
      </c>
      <c r="T155" s="229"/>
    </row>
    <row r="156" spans="1:20" ht="26.1" hidden="1" customHeight="1">
      <c r="A156" s="324" t="s">
        <v>40</v>
      </c>
      <c r="B156" s="325"/>
      <c r="C156" s="325"/>
      <c r="D156" s="325"/>
      <c r="E156" s="326"/>
      <c r="F156" s="226"/>
      <c r="G156" s="267"/>
      <c r="H156" s="267"/>
      <c r="I156" s="267"/>
      <c r="J156" s="267"/>
      <c r="K156" s="227">
        <f t="shared" ref="K156:Q156" si="29">SUM(K152-SUM(K153:K155))</f>
        <v>0</v>
      </c>
      <c r="L156" s="227">
        <f t="shared" si="29"/>
        <v>117600</v>
      </c>
      <c r="M156" s="227">
        <f t="shared" si="29"/>
        <v>0</v>
      </c>
      <c r="N156" s="227">
        <f t="shared" si="29"/>
        <v>0</v>
      </c>
      <c r="O156" s="227">
        <f t="shared" si="29"/>
        <v>0</v>
      </c>
      <c r="P156" s="227">
        <f t="shared" si="29"/>
        <v>0</v>
      </c>
      <c r="Q156" s="227">
        <f t="shared" si="29"/>
        <v>117600</v>
      </c>
      <c r="R156" s="268" t="s">
        <v>38</v>
      </c>
      <c r="S156" s="269" t="s">
        <v>115</v>
      </c>
      <c r="T156" s="230"/>
    </row>
    <row r="157" spans="1:20" ht="26.1" hidden="1" customHeight="1">
      <c r="A157" s="213" t="s">
        <v>29</v>
      </c>
      <c r="B157" s="214" t="s">
        <v>50</v>
      </c>
      <c r="C157" s="214" t="s">
        <v>31</v>
      </c>
      <c r="D157" s="215" t="s">
        <v>111</v>
      </c>
      <c r="E157" s="216" t="s">
        <v>122</v>
      </c>
      <c r="F157" s="224" t="s">
        <v>123</v>
      </c>
      <c r="G157" s="262" t="s">
        <v>46</v>
      </c>
      <c r="H157" s="262" t="s">
        <v>54</v>
      </c>
      <c r="I157" s="262" t="s">
        <v>121</v>
      </c>
      <c r="J157" s="262">
        <f>SUM(J158:J160)</f>
        <v>0</v>
      </c>
      <c r="K157" s="217"/>
      <c r="L157" s="218">
        <v>92185</v>
      </c>
      <c r="M157" s="218"/>
      <c r="N157" s="218"/>
      <c r="O157" s="218"/>
      <c r="P157" s="218"/>
      <c r="Q157" s="218">
        <f>SUM(K157:P157)</f>
        <v>92185</v>
      </c>
      <c r="R157" s="263" t="s">
        <v>38</v>
      </c>
      <c r="S157" s="266" t="s">
        <v>115</v>
      </c>
      <c r="T157" s="229"/>
    </row>
    <row r="158" spans="1:20" ht="26.1" hidden="1" customHeight="1">
      <c r="A158" s="208"/>
      <c r="B158" s="211"/>
      <c r="C158" s="211"/>
      <c r="D158" s="212"/>
      <c r="E158" s="210" t="str">
        <f>IFERROR(VLOOKUP($T158,공사현장대장!$A$5:$T$330,4),"")</f>
        <v/>
      </c>
      <c r="F158" s="212"/>
      <c r="G158" s="265"/>
      <c r="H158" s="265"/>
      <c r="I158" s="265"/>
      <c r="J158" s="265" t="str">
        <f>IFERROR(ROUND(VLOOKUP($T158,공사현장대장!$A$5:$T$330,9)/1000,0),"")</f>
        <v/>
      </c>
      <c r="K158" s="225"/>
      <c r="L158" s="209"/>
      <c r="M158" s="209"/>
      <c r="N158" s="209"/>
      <c r="O158" s="209"/>
      <c r="P158" s="209"/>
      <c r="Q158" s="209"/>
      <c r="R158" s="263" t="s">
        <v>38</v>
      </c>
      <c r="S158" s="266" t="s">
        <v>115</v>
      </c>
      <c r="T158" s="229"/>
    </row>
    <row r="159" spans="1:20" ht="26.1" hidden="1" customHeight="1">
      <c r="A159" s="208"/>
      <c r="B159" s="211"/>
      <c r="C159" s="211"/>
      <c r="D159" s="212"/>
      <c r="E159" s="210" t="str">
        <f>IFERROR(VLOOKUP($T159,공사현장대장!$A$5:$T$330,4),"")</f>
        <v/>
      </c>
      <c r="F159" s="212"/>
      <c r="G159" s="265"/>
      <c r="H159" s="265"/>
      <c r="I159" s="265"/>
      <c r="J159" s="265" t="str">
        <f>IFERROR(ROUND(VLOOKUP($T159,공사현장대장!$A$5:$T$330,9)/1000,0),"")</f>
        <v/>
      </c>
      <c r="K159" s="225"/>
      <c r="L159" s="209"/>
      <c r="M159" s="209"/>
      <c r="N159" s="209"/>
      <c r="O159" s="209"/>
      <c r="P159" s="209"/>
      <c r="Q159" s="209"/>
      <c r="R159" s="263" t="s">
        <v>38</v>
      </c>
      <c r="S159" s="266" t="s">
        <v>115</v>
      </c>
      <c r="T159" s="229"/>
    </row>
    <row r="160" spans="1:20" ht="26.1" hidden="1" customHeight="1">
      <c r="A160" s="208"/>
      <c r="B160" s="211"/>
      <c r="C160" s="211"/>
      <c r="D160" s="212"/>
      <c r="E160" s="210" t="str">
        <f>IFERROR(VLOOKUP($T160,공사현장대장!$A$5:$T$330,4),"")</f>
        <v/>
      </c>
      <c r="F160" s="212"/>
      <c r="G160" s="265"/>
      <c r="H160" s="265"/>
      <c r="I160" s="265"/>
      <c r="J160" s="265" t="str">
        <f>IFERROR(ROUND(VLOOKUP($T160,공사현장대장!$A$5:$T$330,9)/1000,0),"")</f>
        <v/>
      </c>
      <c r="K160" s="225"/>
      <c r="L160" s="209"/>
      <c r="M160" s="209"/>
      <c r="N160" s="209"/>
      <c r="O160" s="209"/>
      <c r="P160" s="209"/>
      <c r="Q160" s="209"/>
      <c r="R160" s="263" t="s">
        <v>38</v>
      </c>
      <c r="S160" s="266" t="s">
        <v>115</v>
      </c>
      <c r="T160" s="229"/>
    </row>
    <row r="161" spans="1:29" ht="26.1" hidden="1" customHeight="1">
      <c r="A161" s="324" t="s">
        <v>40</v>
      </c>
      <c r="B161" s="325"/>
      <c r="C161" s="325"/>
      <c r="D161" s="325"/>
      <c r="E161" s="326"/>
      <c r="F161" s="226"/>
      <c r="G161" s="267"/>
      <c r="H161" s="267"/>
      <c r="I161" s="267"/>
      <c r="J161" s="267"/>
      <c r="K161" s="227">
        <f t="shared" ref="K161:Q161" si="30">SUM(K157-SUM(K158:K160))</f>
        <v>0</v>
      </c>
      <c r="L161" s="227">
        <f t="shared" si="30"/>
        <v>92185</v>
      </c>
      <c r="M161" s="227">
        <f t="shared" si="30"/>
        <v>0</v>
      </c>
      <c r="N161" s="227">
        <f t="shared" si="30"/>
        <v>0</v>
      </c>
      <c r="O161" s="227">
        <f t="shared" si="30"/>
        <v>0</v>
      </c>
      <c r="P161" s="227">
        <f t="shared" si="30"/>
        <v>0</v>
      </c>
      <c r="Q161" s="227">
        <f t="shared" si="30"/>
        <v>92185</v>
      </c>
      <c r="R161" s="268" t="s">
        <v>38</v>
      </c>
      <c r="S161" s="269" t="s">
        <v>115</v>
      </c>
      <c r="T161" s="230"/>
    </row>
    <row r="162" spans="1:29" ht="26.1" hidden="1" customHeight="1">
      <c r="A162" s="213" t="s">
        <v>29</v>
      </c>
      <c r="B162" s="214" t="s">
        <v>50</v>
      </c>
      <c r="C162" s="214" t="s">
        <v>31</v>
      </c>
      <c r="D162" s="215" t="s">
        <v>124</v>
      </c>
      <c r="E162" s="216" t="s">
        <v>125</v>
      </c>
      <c r="F162" s="215" t="s">
        <v>126</v>
      </c>
      <c r="G162" s="262" t="s">
        <v>127</v>
      </c>
      <c r="H162" s="262" t="s">
        <v>128</v>
      </c>
      <c r="I162" s="262" t="s">
        <v>125</v>
      </c>
      <c r="J162" s="262">
        <f>SUM(J163:J165)</f>
        <v>0</v>
      </c>
      <c r="K162" s="217">
        <v>55127</v>
      </c>
      <c r="L162" s="218"/>
      <c r="M162" s="218"/>
      <c r="N162" s="218"/>
      <c r="O162" s="218"/>
      <c r="P162" s="218"/>
      <c r="Q162" s="218">
        <f>SUM(K162:P162)</f>
        <v>55127</v>
      </c>
      <c r="R162" s="263" t="s">
        <v>38</v>
      </c>
      <c r="S162" s="266" t="s">
        <v>71</v>
      </c>
      <c r="T162" s="229"/>
    </row>
    <row r="163" spans="1:29" ht="26.1" hidden="1" customHeight="1">
      <c r="A163" s="208"/>
      <c r="B163" s="211"/>
      <c r="C163" s="211"/>
      <c r="D163" s="212"/>
      <c r="E163" s="210" t="str">
        <f>IFERROR(VLOOKUP($T163,공사현장대장!$A$5:$T$330,4),"")</f>
        <v/>
      </c>
      <c r="F163" s="212"/>
      <c r="G163" s="265"/>
      <c r="H163" s="265"/>
      <c r="I163" s="265"/>
      <c r="J163" s="265" t="str">
        <f>IFERROR(ROUND(VLOOKUP($T163,공사현장대장!$A$5:$T$330,9)/1000,0),"")</f>
        <v/>
      </c>
      <c r="K163" s="225"/>
      <c r="L163" s="209"/>
      <c r="M163" s="209"/>
      <c r="N163" s="209"/>
      <c r="O163" s="209"/>
      <c r="P163" s="209"/>
      <c r="Q163" s="209"/>
      <c r="R163" s="263" t="s">
        <v>38</v>
      </c>
      <c r="S163" s="266" t="s">
        <v>71</v>
      </c>
      <c r="T163" s="229"/>
    </row>
    <row r="164" spans="1:29" ht="26.1" hidden="1" customHeight="1">
      <c r="A164" s="208"/>
      <c r="B164" s="211"/>
      <c r="C164" s="211"/>
      <c r="D164" s="212"/>
      <c r="E164" s="210" t="str">
        <f>IFERROR(VLOOKUP($T164,공사현장대장!$A$5:$T$330,4),"")</f>
        <v/>
      </c>
      <c r="F164" s="212"/>
      <c r="G164" s="265"/>
      <c r="H164" s="265"/>
      <c r="I164" s="265"/>
      <c r="J164" s="265" t="str">
        <f>IFERROR(ROUND(VLOOKUP($T164,공사현장대장!$A$5:$T$330,9)/1000,0),"")</f>
        <v/>
      </c>
      <c r="K164" s="225"/>
      <c r="L164" s="209"/>
      <c r="M164" s="209"/>
      <c r="N164" s="209"/>
      <c r="O164" s="209"/>
      <c r="P164" s="209"/>
      <c r="Q164" s="209"/>
      <c r="R164" s="263" t="s">
        <v>38</v>
      </c>
      <c r="S164" s="266" t="s">
        <v>71</v>
      </c>
      <c r="T164" s="229"/>
    </row>
    <row r="165" spans="1:29" ht="26.1" hidden="1" customHeight="1">
      <c r="A165" s="208"/>
      <c r="B165" s="211"/>
      <c r="C165" s="211"/>
      <c r="D165" s="212"/>
      <c r="E165" s="210" t="str">
        <f>IFERROR(VLOOKUP($T165,공사현장대장!$A$5:$T$330,4),"")</f>
        <v/>
      </c>
      <c r="F165" s="212"/>
      <c r="G165" s="265"/>
      <c r="H165" s="265"/>
      <c r="I165" s="265"/>
      <c r="J165" s="265" t="str">
        <f>IFERROR(ROUND(VLOOKUP($T165,공사현장대장!$A$5:$T$330,9)/1000,0),"")</f>
        <v/>
      </c>
      <c r="K165" s="225"/>
      <c r="L165" s="209"/>
      <c r="M165" s="209"/>
      <c r="N165" s="209"/>
      <c r="O165" s="209"/>
      <c r="P165" s="209"/>
      <c r="Q165" s="209"/>
      <c r="R165" s="263" t="s">
        <v>38</v>
      </c>
      <c r="S165" s="266" t="s">
        <v>71</v>
      </c>
      <c r="T165" s="229"/>
    </row>
    <row r="166" spans="1:29" ht="26.1" hidden="1" customHeight="1">
      <c r="A166" s="324" t="s">
        <v>40</v>
      </c>
      <c r="B166" s="325"/>
      <c r="C166" s="325"/>
      <c r="D166" s="325"/>
      <c r="E166" s="326"/>
      <c r="F166" s="226"/>
      <c r="G166" s="267"/>
      <c r="H166" s="267"/>
      <c r="I166" s="267"/>
      <c r="J166" s="267"/>
      <c r="K166" s="227">
        <f t="shared" ref="K166:Q166" si="31">SUM(K162-SUM(K163:K165))</f>
        <v>55127</v>
      </c>
      <c r="L166" s="227">
        <f t="shared" si="31"/>
        <v>0</v>
      </c>
      <c r="M166" s="227">
        <f t="shared" si="31"/>
        <v>0</v>
      </c>
      <c r="N166" s="227">
        <f t="shared" si="31"/>
        <v>0</v>
      </c>
      <c r="O166" s="227">
        <f t="shared" si="31"/>
        <v>0</v>
      </c>
      <c r="P166" s="227">
        <f t="shared" si="31"/>
        <v>0</v>
      </c>
      <c r="Q166" s="227">
        <f t="shared" si="31"/>
        <v>55127</v>
      </c>
      <c r="R166" s="268" t="s">
        <v>38</v>
      </c>
      <c r="S166" s="269" t="s">
        <v>71</v>
      </c>
      <c r="T166" s="230"/>
    </row>
    <row r="167" spans="1:29" ht="26.1" hidden="1" customHeight="1">
      <c r="A167" s="213" t="s">
        <v>29</v>
      </c>
      <c r="B167" s="214" t="s">
        <v>50</v>
      </c>
      <c r="C167" s="214" t="s">
        <v>31</v>
      </c>
      <c r="D167" s="215" t="s">
        <v>124</v>
      </c>
      <c r="E167" s="216" t="s">
        <v>129</v>
      </c>
      <c r="F167" s="215" t="s">
        <v>130</v>
      </c>
      <c r="G167" s="262" t="s">
        <v>127</v>
      </c>
      <c r="H167" s="262" t="s">
        <v>128</v>
      </c>
      <c r="I167" s="262" t="s">
        <v>125</v>
      </c>
      <c r="J167" s="262">
        <f>SUM(J168:J170)</f>
        <v>0</v>
      </c>
      <c r="K167" s="217">
        <v>15575</v>
      </c>
      <c r="L167" s="218">
        <v>1561402</v>
      </c>
      <c r="M167" s="218">
        <v>18736</v>
      </c>
      <c r="N167" s="218">
        <v>5621</v>
      </c>
      <c r="O167" s="218"/>
      <c r="P167" s="218"/>
      <c r="Q167" s="218">
        <f>SUM(K167:P167)</f>
        <v>1601334</v>
      </c>
      <c r="R167" s="270" t="s">
        <v>41</v>
      </c>
      <c r="S167" s="266" t="s">
        <v>71</v>
      </c>
      <c r="T167" s="229"/>
      <c r="V167" s="241" t="str">
        <f>B167</f>
        <v>초</v>
      </c>
      <c r="W167" s="241" t="str">
        <f>C167</f>
        <v>공립</v>
      </c>
      <c r="X167" s="241" t="str">
        <f>D167</f>
        <v>대곡초</v>
      </c>
      <c r="Y167" s="241" t="str">
        <f>E167</f>
        <v xml:space="preserve"> 교실 증축</v>
      </c>
      <c r="Z167" s="241" t="str">
        <f>F167</f>
        <v>343㎡</v>
      </c>
      <c r="AA167" s="244">
        <f>Q167</f>
        <v>1601334</v>
      </c>
      <c r="AB167" s="271" t="str">
        <f>R167</f>
        <v>1회추경</v>
      </c>
      <c r="AC167" s="241">
        <v>420</v>
      </c>
    </row>
    <row r="168" spans="1:29" ht="26.1" hidden="1" customHeight="1">
      <c r="A168" s="208"/>
      <c r="B168" s="211"/>
      <c r="C168" s="211"/>
      <c r="D168" s="212"/>
      <c r="E168" s="210" t="str">
        <f>IFERROR(VLOOKUP($T168,공사현장대장!$A$5:$T$330,4),"")</f>
        <v/>
      </c>
      <c r="F168" s="212"/>
      <c r="G168" s="265"/>
      <c r="H168" s="265"/>
      <c r="I168" s="265"/>
      <c r="J168" s="265" t="str">
        <f>IFERROR(ROUND(VLOOKUP($T168,공사현장대장!$A$5:$T$330,9)/1000,0),"")</f>
        <v/>
      </c>
      <c r="K168" s="225"/>
      <c r="L168" s="209"/>
      <c r="M168" s="209"/>
      <c r="N168" s="209"/>
      <c r="O168" s="209"/>
      <c r="P168" s="209"/>
      <c r="Q168" s="209"/>
      <c r="R168" s="263" t="s">
        <v>41</v>
      </c>
      <c r="S168" s="266" t="s">
        <v>71</v>
      </c>
      <c r="T168" s="229"/>
      <c r="AA168" s="244"/>
      <c r="AB168" s="271"/>
    </row>
    <row r="169" spans="1:29" ht="26.1" hidden="1" customHeight="1">
      <c r="A169" s="208"/>
      <c r="B169" s="211"/>
      <c r="C169" s="211"/>
      <c r="D169" s="212"/>
      <c r="E169" s="210" t="str">
        <f>IFERROR(VLOOKUP($T169,공사현장대장!$A$5:$T$330,4),"")</f>
        <v/>
      </c>
      <c r="F169" s="212"/>
      <c r="G169" s="265"/>
      <c r="H169" s="265"/>
      <c r="I169" s="265"/>
      <c r="J169" s="265" t="str">
        <f>IFERROR(ROUND(VLOOKUP($T169,공사현장대장!$A$5:$T$330,9)/1000,0),"")</f>
        <v/>
      </c>
      <c r="K169" s="225"/>
      <c r="L169" s="209"/>
      <c r="M169" s="209"/>
      <c r="N169" s="209"/>
      <c r="O169" s="209"/>
      <c r="P169" s="209"/>
      <c r="Q169" s="209"/>
      <c r="R169" s="263" t="s">
        <v>41</v>
      </c>
      <c r="S169" s="266" t="s">
        <v>71</v>
      </c>
      <c r="T169" s="229"/>
      <c r="AA169" s="244"/>
      <c r="AB169" s="271"/>
    </row>
    <row r="170" spans="1:29" ht="26.1" hidden="1" customHeight="1">
      <c r="A170" s="208"/>
      <c r="B170" s="211"/>
      <c r="C170" s="211"/>
      <c r="D170" s="212"/>
      <c r="E170" s="210" t="str">
        <f>IFERROR(VLOOKUP($T170,공사현장대장!$A$5:$T$330,4),"")</f>
        <v/>
      </c>
      <c r="F170" s="212"/>
      <c r="G170" s="265"/>
      <c r="H170" s="265"/>
      <c r="I170" s="265"/>
      <c r="J170" s="265" t="str">
        <f>IFERROR(ROUND(VLOOKUP($T170,공사현장대장!$A$5:$T$330,9)/1000,0),"")</f>
        <v/>
      </c>
      <c r="K170" s="225"/>
      <c r="L170" s="209"/>
      <c r="M170" s="209"/>
      <c r="N170" s="209"/>
      <c r="O170" s="209"/>
      <c r="P170" s="209"/>
      <c r="Q170" s="209"/>
      <c r="R170" s="263" t="s">
        <v>41</v>
      </c>
      <c r="S170" s="266" t="s">
        <v>71</v>
      </c>
      <c r="T170" s="229"/>
      <c r="AA170" s="244"/>
      <c r="AB170" s="271"/>
    </row>
    <row r="171" spans="1:29" ht="26.1" hidden="1" customHeight="1">
      <c r="A171" s="324" t="s">
        <v>40</v>
      </c>
      <c r="B171" s="325"/>
      <c r="C171" s="325"/>
      <c r="D171" s="325"/>
      <c r="E171" s="326"/>
      <c r="F171" s="226"/>
      <c r="G171" s="267"/>
      <c r="H171" s="267"/>
      <c r="I171" s="267"/>
      <c r="J171" s="267"/>
      <c r="K171" s="227">
        <f t="shared" ref="K171:Q171" si="32">SUM(K167-SUM(K168:K170))</f>
        <v>15575</v>
      </c>
      <c r="L171" s="227">
        <f t="shared" si="32"/>
        <v>1561402</v>
      </c>
      <c r="M171" s="227">
        <f t="shared" si="32"/>
        <v>18736</v>
      </c>
      <c r="N171" s="227">
        <f t="shared" si="32"/>
        <v>5621</v>
      </c>
      <c r="O171" s="227">
        <f t="shared" si="32"/>
        <v>0</v>
      </c>
      <c r="P171" s="227">
        <f t="shared" si="32"/>
        <v>0</v>
      </c>
      <c r="Q171" s="227">
        <f t="shared" si="32"/>
        <v>1601334</v>
      </c>
      <c r="R171" s="268" t="s">
        <v>41</v>
      </c>
      <c r="S171" s="269" t="s">
        <v>71</v>
      </c>
      <c r="T171" s="230"/>
      <c r="AA171" s="244"/>
      <c r="AB171" s="271"/>
    </row>
    <row r="172" spans="1:29" ht="26.1" hidden="1" customHeight="1">
      <c r="A172" s="213" t="s">
        <v>29</v>
      </c>
      <c r="B172" s="214" t="s">
        <v>50</v>
      </c>
      <c r="C172" s="214" t="s">
        <v>31</v>
      </c>
      <c r="D172" s="215" t="s">
        <v>124</v>
      </c>
      <c r="E172" s="216" t="s">
        <v>131</v>
      </c>
      <c r="F172" s="215" t="s">
        <v>132</v>
      </c>
      <c r="G172" s="262" t="s">
        <v>46</v>
      </c>
      <c r="H172" s="262" t="s">
        <v>133</v>
      </c>
      <c r="I172" s="262" t="s">
        <v>134</v>
      </c>
      <c r="J172" s="262">
        <f>SUM(J173:J175)</f>
        <v>0</v>
      </c>
      <c r="K172" s="217"/>
      <c r="L172" s="218">
        <v>40795</v>
      </c>
      <c r="M172" s="218"/>
      <c r="N172" s="218"/>
      <c r="O172" s="218"/>
      <c r="P172" s="218"/>
      <c r="Q172" s="218">
        <f>SUM(K172:P172)</f>
        <v>40795</v>
      </c>
      <c r="R172" s="270" t="s">
        <v>41</v>
      </c>
      <c r="S172" s="266" t="s">
        <v>71</v>
      </c>
      <c r="T172" s="229"/>
      <c r="V172" s="241" t="str">
        <f>B172</f>
        <v>초</v>
      </c>
      <c r="W172" s="241" t="str">
        <f>C172</f>
        <v>공립</v>
      </c>
      <c r="X172" s="241" t="str">
        <f>D172</f>
        <v>대곡초</v>
      </c>
      <c r="Y172" s="241" t="str">
        <f>E172</f>
        <v xml:space="preserve"> 연결통로 설치</v>
      </c>
      <c r="Z172" s="241" t="str">
        <f>F172</f>
        <v xml:space="preserve">41m </v>
      </c>
      <c r="AA172" s="244">
        <f>Q172</f>
        <v>40795</v>
      </c>
      <c r="AB172" s="271" t="str">
        <f>R172</f>
        <v>1회추경</v>
      </c>
      <c r="AC172" s="241">
        <v>420</v>
      </c>
    </row>
    <row r="173" spans="1:29" ht="26.1" hidden="1" customHeight="1">
      <c r="A173" s="208"/>
      <c r="B173" s="211"/>
      <c r="C173" s="211"/>
      <c r="D173" s="212"/>
      <c r="E173" s="210" t="str">
        <f>IFERROR(VLOOKUP($T173,공사현장대장!$A$5:$T$330,4),"")</f>
        <v/>
      </c>
      <c r="F173" s="212"/>
      <c r="G173" s="265"/>
      <c r="H173" s="265"/>
      <c r="I173" s="265"/>
      <c r="J173" s="265" t="str">
        <f>IFERROR(ROUND(VLOOKUP($T173,공사현장대장!$A$5:$T$330,9)/1000,0),"")</f>
        <v/>
      </c>
      <c r="K173" s="225"/>
      <c r="L173" s="209"/>
      <c r="M173" s="209"/>
      <c r="N173" s="209"/>
      <c r="O173" s="209"/>
      <c r="P173" s="209"/>
      <c r="Q173" s="209"/>
      <c r="R173" s="263" t="s">
        <v>41</v>
      </c>
      <c r="S173" s="266" t="s">
        <v>71</v>
      </c>
      <c r="T173" s="229"/>
      <c r="AA173" s="244"/>
      <c r="AB173" s="271"/>
    </row>
    <row r="174" spans="1:29" ht="26.1" hidden="1" customHeight="1">
      <c r="A174" s="208"/>
      <c r="B174" s="211"/>
      <c r="C174" s="211"/>
      <c r="D174" s="212"/>
      <c r="E174" s="210" t="str">
        <f>IFERROR(VLOOKUP($T174,공사현장대장!$A$5:$T$330,4),"")</f>
        <v/>
      </c>
      <c r="F174" s="212"/>
      <c r="G174" s="265"/>
      <c r="H174" s="265"/>
      <c r="I174" s="265"/>
      <c r="J174" s="265" t="str">
        <f>IFERROR(ROUND(VLOOKUP($T174,공사현장대장!$A$5:$T$330,9)/1000,0),"")</f>
        <v/>
      </c>
      <c r="K174" s="225"/>
      <c r="L174" s="209"/>
      <c r="M174" s="209"/>
      <c r="N174" s="209"/>
      <c r="O174" s="209"/>
      <c r="P174" s="209"/>
      <c r="Q174" s="209"/>
      <c r="R174" s="263" t="s">
        <v>41</v>
      </c>
      <c r="S174" s="266" t="s">
        <v>71</v>
      </c>
      <c r="T174" s="229"/>
      <c r="AA174" s="244"/>
      <c r="AB174" s="271"/>
    </row>
    <row r="175" spans="1:29" ht="26.1" hidden="1" customHeight="1">
      <c r="A175" s="208"/>
      <c r="B175" s="211"/>
      <c r="C175" s="211"/>
      <c r="D175" s="212"/>
      <c r="E175" s="210" t="str">
        <f>IFERROR(VLOOKUP($T175,공사현장대장!$A$5:$T$330,4),"")</f>
        <v/>
      </c>
      <c r="F175" s="212"/>
      <c r="G175" s="265"/>
      <c r="H175" s="265"/>
      <c r="I175" s="265"/>
      <c r="J175" s="265" t="str">
        <f>IFERROR(ROUND(VLOOKUP($T175,공사현장대장!$A$5:$T$330,9)/1000,0),"")</f>
        <v/>
      </c>
      <c r="K175" s="225"/>
      <c r="L175" s="209"/>
      <c r="M175" s="209"/>
      <c r="N175" s="209"/>
      <c r="O175" s="209"/>
      <c r="P175" s="209"/>
      <c r="Q175" s="209"/>
      <c r="R175" s="263" t="s">
        <v>41</v>
      </c>
      <c r="S175" s="266" t="s">
        <v>71</v>
      </c>
      <c r="T175" s="229"/>
      <c r="AA175" s="244"/>
      <c r="AB175" s="271"/>
    </row>
    <row r="176" spans="1:29" ht="26.1" hidden="1" customHeight="1">
      <c r="A176" s="324" t="s">
        <v>40</v>
      </c>
      <c r="B176" s="325"/>
      <c r="C176" s="325"/>
      <c r="D176" s="325"/>
      <c r="E176" s="326"/>
      <c r="F176" s="226"/>
      <c r="G176" s="267"/>
      <c r="H176" s="267"/>
      <c r="I176" s="267"/>
      <c r="J176" s="267"/>
      <c r="K176" s="227">
        <f t="shared" ref="K176:Q176" si="33">SUM(K172-SUM(K173:K175))</f>
        <v>0</v>
      </c>
      <c r="L176" s="227">
        <f t="shared" si="33"/>
        <v>40795</v>
      </c>
      <c r="M176" s="227">
        <f t="shared" si="33"/>
        <v>0</v>
      </c>
      <c r="N176" s="227">
        <f t="shared" si="33"/>
        <v>0</v>
      </c>
      <c r="O176" s="227">
        <f t="shared" si="33"/>
        <v>0</v>
      </c>
      <c r="P176" s="227">
        <f t="shared" si="33"/>
        <v>0</v>
      </c>
      <c r="Q176" s="227">
        <f t="shared" si="33"/>
        <v>40795</v>
      </c>
      <c r="R176" s="268" t="s">
        <v>41</v>
      </c>
      <c r="S176" s="269" t="s">
        <v>71</v>
      </c>
      <c r="T176" s="230"/>
      <c r="AA176" s="244"/>
      <c r="AB176" s="271"/>
    </row>
    <row r="177" spans="1:29" ht="26.1" hidden="1" customHeight="1">
      <c r="A177" s="213" t="s">
        <v>29</v>
      </c>
      <c r="B177" s="214" t="s">
        <v>50</v>
      </c>
      <c r="C177" s="214" t="s">
        <v>31</v>
      </c>
      <c r="D177" s="215" t="s">
        <v>124</v>
      </c>
      <c r="E177" s="216" t="s">
        <v>135</v>
      </c>
      <c r="F177" s="215" t="s">
        <v>136</v>
      </c>
      <c r="G177" s="262" t="s">
        <v>46</v>
      </c>
      <c r="H177" s="262" t="s">
        <v>47</v>
      </c>
      <c r="I177" s="262" t="s">
        <v>137</v>
      </c>
      <c r="J177" s="262">
        <f>SUM(J178:J180)</f>
        <v>0</v>
      </c>
      <c r="K177" s="217"/>
      <c r="L177" s="218">
        <v>40768</v>
      </c>
      <c r="M177" s="218"/>
      <c r="N177" s="218"/>
      <c r="O177" s="218"/>
      <c r="P177" s="218"/>
      <c r="Q177" s="218">
        <f>SUM(K177:P177)</f>
        <v>40768</v>
      </c>
      <c r="R177" s="270" t="s">
        <v>41</v>
      </c>
      <c r="S177" s="266" t="s">
        <v>71</v>
      </c>
      <c r="T177" s="229"/>
      <c r="V177" s="241" t="str">
        <f>B177</f>
        <v>초</v>
      </c>
      <c r="W177" s="241" t="str">
        <f>C177</f>
        <v>공립</v>
      </c>
      <c r="X177" s="241" t="str">
        <f>D177</f>
        <v>대곡초</v>
      </c>
      <c r="Y177" s="241" t="str">
        <f>E177</f>
        <v xml:space="preserve"> 교사동 옥상난간 설치</v>
      </c>
      <c r="Z177" s="241" t="str">
        <f>F177</f>
        <v>1식</v>
      </c>
      <c r="AA177" s="244">
        <f>Q177</f>
        <v>40768</v>
      </c>
      <c r="AB177" s="271" t="str">
        <f>R177</f>
        <v>1회추경</v>
      </c>
      <c r="AC177" s="241">
        <v>420</v>
      </c>
    </row>
    <row r="178" spans="1:29" ht="26.1" hidden="1" customHeight="1">
      <c r="A178" s="208"/>
      <c r="B178" s="211"/>
      <c r="C178" s="211"/>
      <c r="D178" s="212"/>
      <c r="E178" s="210" t="str">
        <f>IFERROR(VLOOKUP($T178,공사현장대장!$A$5:$T$330,4),"")</f>
        <v/>
      </c>
      <c r="F178" s="212"/>
      <c r="G178" s="265"/>
      <c r="H178" s="265"/>
      <c r="I178" s="265"/>
      <c r="J178" s="265" t="str">
        <f>IFERROR(ROUND(VLOOKUP($T178,공사현장대장!$A$5:$T$330,9)/1000,0),"")</f>
        <v/>
      </c>
      <c r="K178" s="225"/>
      <c r="L178" s="209"/>
      <c r="M178" s="209"/>
      <c r="N178" s="209"/>
      <c r="O178" s="209"/>
      <c r="P178" s="209"/>
      <c r="Q178" s="209"/>
      <c r="R178" s="263" t="s">
        <v>41</v>
      </c>
      <c r="S178" s="266" t="s">
        <v>71</v>
      </c>
      <c r="T178" s="229"/>
      <c r="AA178" s="244"/>
      <c r="AB178" s="271"/>
    </row>
    <row r="179" spans="1:29" ht="26.1" hidden="1" customHeight="1">
      <c r="A179" s="208"/>
      <c r="B179" s="211"/>
      <c r="C179" s="211"/>
      <c r="D179" s="212"/>
      <c r="E179" s="210" t="str">
        <f>IFERROR(VLOOKUP($T179,공사현장대장!$A$5:$T$330,4),"")</f>
        <v/>
      </c>
      <c r="F179" s="212"/>
      <c r="G179" s="265"/>
      <c r="H179" s="265"/>
      <c r="I179" s="265"/>
      <c r="J179" s="265" t="str">
        <f>IFERROR(ROUND(VLOOKUP($T179,공사현장대장!$A$5:$T$330,9)/1000,0),"")</f>
        <v/>
      </c>
      <c r="K179" s="225"/>
      <c r="L179" s="209"/>
      <c r="M179" s="209"/>
      <c r="N179" s="209"/>
      <c r="O179" s="209"/>
      <c r="P179" s="209"/>
      <c r="Q179" s="209"/>
      <c r="R179" s="263" t="s">
        <v>41</v>
      </c>
      <c r="S179" s="266" t="s">
        <v>71</v>
      </c>
      <c r="T179" s="229"/>
      <c r="AA179" s="244"/>
      <c r="AB179" s="271"/>
    </row>
    <row r="180" spans="1:29" ht="26.1" hidden="1" customHeight="1">
      <c r="A180" s="208"/>
      <c r="B180" s="211"/>
      <c r="C180" s="211"/>
      <c r="D180" s="212"/>
      <c r="E180" s="210" t="str">
        <f>IFERROR(VLOOKUP($T180,공사현장대장!$A$5:$T$330,4),"")</f>
        <v/>
      </c>
      <c r="F180" s="212"/>
      <c r="G180" s="265"/>
      <c r="H180" s="265"/>
      <c r="I180" s="265"/>
      <c r="J180" s="265" t="str">
        <f>IFERROR(ROUND(VLOOKUP($T180,공사현장대장!$A$5:$T$330,9)/1000,0),"")</f>
        <v/>
      </c>
      <c r="K180" s="225"/>
      <c r="L180" s="209"/>
      <c r="M180" s="209"/>
      <c r="N180" s="209"/>
      <c r="O180" s="209"/>
      <c r="P180" s="209"/>
      <c r="Q180" s="209"/>
      <c r="R180" s="263" t="s">
        <v>41</v>
      </c>
      <c r="S180" s="266" t="s">
        <v>71</v>
      </c>
      <c r="T180" s="229"/>
      <c r="AA180" s="244"/>
      <c r="AB180" s="271"/>
    </row>
    <row r="181" spans="1:29" ht="26.1" hidden="1" customHeight="1">
      <c r="A181" s="324" t="s">
        <v>40</v>
      </c>
      <c r="B181" s="325"/>
      <c r="C181" s="325"/>
      <c r="D181" s="325"/>
      <c r="E181" s="326"/>
      <c r="F181" s="226"/>
      <c r="G181" s="267"/>
      <c r="H181" s="267"/>
      <c r="I181" s="267"/>
      <c r="J181" s="267"/>
      <c r="K181" s="227">
        <f t="shared" ref="K181:Q181" si="34">SUM(K177-SUM(K178:K180))</f>
        <v>0</v>
      </c>
      <c r="L181" s="227">
        <f t="shared" si="34"/>
        <v>40768</v>
      </c>
      <c r="M181" s="227">
        <f t="shared" si="34"/>
        <v>0</v>
      </c>
      <c r="N181" s="227">
        <f t="shared" si="34"/>
        <v>0</v>
      </c>
      <c r="O181" s="227">
        <f t="shared" si="34"/>
        <v>0</v>
      </c>
      <c r="P181" s="227">
        <f t="shared" si="34"/>
        <v>0</v>
      </c>
      <c r="Q181" s="227">
        <f t="shared" si="34"/>
        <v>40768</v>
      </c>
      <c r="R181" s="268" t="s">
        <v>41</v>
      </c>
      <c r="S181" s="269" t="s">
        <v>71</v>
      </c>
      <c r="T181" s="230"/>
      <c r="AA181" s="244"/>
      <c r="AB181" s="271"/>
    </row>
    <row r="182" spans="1:29" ht="26.1" hidden="1" customHeight="1">
      <c r="A182" s="213" t="s">
        <v>29</v>
      </c>
      <c r="B182" s="214" t="s">
        <v>50</v>
      </c>
      <c r="C182" s="214" t="s">
        <v>31</v>
      </c>
      <c r="D182" s="215" t="s">
        <v>124</v>
      </c>
      <c r="E182" s="216" t="s">
        <v>138</v>
      </c>
      <c r="F182" s="215" t="s">
        <v>136</v>
      </c>
      <c r="G182" s="262" t="s">
        <v>46</v>
      </c>
      <c r="H182" s="262" t="s">
        <v>47</v>
      </c>
      <c r="I182" s="262" t="s">
        <v>139</v>
      </c>
      <c r="J182" s="262">
        <f>SUM(J183:J185)</f>
        <v>0</v>
      </c>
      <c r="K182" s="217"/>
      <c r="L182" s="218">
        <v>54649</v>
      </c>
      <c r="M182" s="218"/>
      <c r="N182" s="218"/>
      <c r="O182" s="218"/>
      <c r="P182" s="218"/>
      <c r="Q182" s="218">
        <f>SUM(K182:P182)</f>
        <v>54649</v>
      </c>
      <c r="R182" s="270" t="s">
        <v>41</v>
      </c>
      <c r="S182" s="266" t="s">
        <v>71</v>
      </c>
      <c r="T182" s="229"/>
      <c r="V182" s="241" t="str">
        <f>B182</f>
        <v>초</v>
      </c>
      <c r="W182" s="241" t="str">
        <f>C182</f>
        <v>공립</v>
      </c>
      <c r="X182" s="241" t="str">
        <f>D182</f>
        <v>대곡초</v>
      </c>
      <c r="Y182" s="241" t="str">
        <f>E182</f>
        <v xml:space="preserve"> 지하수 관정실 보수</v>
      </c>
      <c r="Z182" s="241" t="str">
        <f>F182</f>
        <v>1식</v>
      </c>
      <c r="AA182" s="244">
        <f>Q182</f>
        <v>54649</v>
      </c>
      <c r="AB182" s="271" t="str">
        <f>R182</f>
        <v>1회추경</v>
      </c>
      <c r="AC182" s="241">
        <v>420</v>
      </c>
    </row>
    <row r="183" spans="1:29" ht="26.1" hidden="1" customHeight="1">
      <c r="A183" s="208"/>
      <c r="B183" s="211"/>
      <c r="C183" s="211"/>
      <c r="D183" s="212"/>
      <c r="E183" s="210" t="str">
        <f>IFERROR(VLOOKUP($T183,공사현장대장!$A$5:$T$330,4),"")</f>
        <v/>
      </c>
      <c r="F183" s="212"/>
      <c r="G183" s="265"/>
      <c r="H183" s="265"/>
      <c r="I183" s="265"/>
      <c r="J183" s="265" t="str">
        <f>IFERROR(ROUND(VLOOKUP($T183,공사현장대장!$A$5:$T$330,9)/1000,0),"")</f>
        <v/>
      </c>
      <c r="K183" s="225"/>
      <c r="L183" s="209"/>
      <c r="M183" s="209"/>
      <c r="N183" s="209"/>
      <c r="O183" s="209"/>
      <c r="P183" s="209"/>
      <c r="Q183" s="209"/>
      <c r="R183" s="263" t="s">
        <v>41</v>
      </c>
      <c r="S183" s="266" t="s">
        <v>71</v>
      </c>
      <c r="T183" s="229"/>
      <c r="AA183" s="244"/>
      <c r="AB183" s="271"/>
    </row>
    <row r="184" spans="1:29" ht="26.1" hidden="1" customHeight="1">
      <c r="A184" s="208"/>
      <c r="B184" s="211"/>
      <c r="C184" s="211"/>
      <c r="D184" s="212"/>
      <c r="E184" s="210" t="str">
        <f>IFERROR(VLOOKUP($T184,공사현장대장!$A$5:$T$330,4),"")</f>
        <v/>
      </c>
      <c r="F184" s="212"/>
      <c r="G184" s="265"/>
      <c r="H184" s="265"/>
      <c r="I184" s="265"/>
      <c r="J184" s="265" t="str">
        <f>IFERROR(ROUND(VLOOKUP($T184,공사현장대장!$A$5:$T$330,9)/1000,0),"")</f>
        <v/>
      </c>
      <c r="K184" s="225"/>
      <c r="L184" s="209"/>
      <c r="M184" s="209"/>
      <c r="N184" s="209"/>
      <c r="O184" s="209"/>
      <c r="P184" s="209"/>
      <c r="Q184" s="209"/>
      <c r="R184" s="263" t="s">
        <v>41</v>
      </c>
      <c r="S184" s="266" t="s">
        <v>71</v>
      </c>
      <c r="T184" s="229"/>
      <c r="AA184" s="244"/>
      <c r="AB184" s="271"/>
    </row>
    <row r="185" spans="1:29" ht="26.1" hidden="1" customHeight="1">
      <c r="A185" s="208"/>
      <c r="B185" s="211"/>
      <c r="C185" s="211"/>
      <c r="D185" s="212"/>
      <c r="E185" s="210" t="str">
        <f>IFERROR(VLOOKUP($T185,공사현장대장!$A$5:$T$330,4),"")</f>
        <v/>
      </c>
      <c r="F185" s="212"/>
      <c r="G185" s="265"/>
      <c r="H185" s="265"/>
      <c r="I185" s="265"/>
      <c r="J185" s="265" t="str">
        <f>IFERROR(ROUND(VLOOKUP($T185,공사현장대장!$A$5:$T$330,9)/1000,0),"")</f>
        <v/>
      </c>
      <c r="K185" s="225"/>
      <c r="L185" s="209"/>
      <c r="M185" s="209"/>
      <c r="N185" s="209"/>
      <c r="O185" s="209"/>
      <c r="P185" s="209"/>
      <c r="Q185" s="209"/>
      <c r="R185" s="263" t="s">
        <v>41</v>
      </c>
      <c r="S185" s="266" t="s">
        <v>71</v>
      </c>
      <c r="T185" s="229"/>
      <c r="AA185" s="244"/>
      <c r="AB185" s="271"/>
    </row>
    <row r="186" spans="1:29" ht="26.1" hidden="1" customHeight="1">
      <c r="A186" s="324" t="s">
        <v>40</v>
      </c>
      <c r="B186" s="325"/>
      <c r="C186" s="325"/>
      <c r="D186" s="325"/>
      <c r="E186" s="326"/>
      <c r="F186" s="226"/>
      <c r="G186" s="267"/>
      <c r="H186" s="267"/>
      <c r="I186" s="267"/>
      <c r="J186" s="267"/>
      <c r="K186" s="227">
        <f t="shared" ref="K186:Q186" si="35">SUM(K182-SUM(K183:K185))</f>
        <v>0</v>
      </c>
      <c r="L186" s="227">
        <f t="shared" si="35"/>
        <v>54649</v>
      </c>
      <c r="M186" s="227">
        <f t="shared" si="35"/>
        <v>0</v>
      </c>
      <c r="N186" s="227">
        <f t="shared" si="35"/>
        <v>0</v>
      </c>
      <c r="O186" s="227">
        <f t="shared" si="35"/>
        <v>0</v>
      </c>
      <c r="P186" s="227">
        <f t="shared" si="35"/>
        <v>0</v>
      </c>
      <c r="Q186" s="227">
        <f t="shared" si="35"/>
        <v>54649</v>
      </c>
      <c r="R186" s="268" t="s">
        <v>41</v>
      </c>
      <c r="S186" s="269" t="s">
        <v>71</v>
      </c>
      <c r="T186" s="230"/>
      <c r="AA186" s="244"/>
      <c r="AB186" s="271"/>
    </row>
    <row r="187" spans="1:29" ht="26.1" hidden="1" customHeight="1">
      <c r="A187" s="213" t="s">
        <v>29</v>
      </c>
      <c r="B187" s="214" t="s">
        <v>50</v>
      </c>
      <c r="C187" s="214" t="s">
        <v>31</v>
      </c>
      <c r="D187" s="215" t="s">
        <v>124</v>
      </c>
      <c r="E187" s="216" t="s">
        <v>140</v>
      </c>
      <c r="F187" s="215" t="s">
        <v>141</v>
      </c>
      <c r="G187" s="262" t="s">
        <v>46</v>
      </c>
      <c r="H187" s="262" t="s">
        <v>54</v>
      </c>
      <c r="I187" s="262" t="s">
        <v>55</v>
      </c>
      <c r="J187" s="262">
        <f>SUM(J188:J190)</f>
        <v>0</v>
      </c>
      <c r="K187" s="217"/>
      <c r="L187" s="218"/>
      <c r="M187" s="218"/>
      <c r="N187" s="218"/>
      <c r="O187" s="218"/>
      <c r="P187" s="218">
        <v>36050</v>
      </c>
      <c r="Q187" s="218">
        <f>SUM(K187:P187)</f>
        <v>36050</v>
      </c>
      <c r="R187" s="263" t="s">
        <v>38</v>
      </c>
      <c r="S187" s="266" t="s">
        <v>71</v>
      </c>
      <c r="T187" s="229"/>
    </row>
    <row r="188" spans="1:29" ht="26.1" hidden="1" customHeight="1">
      <c r="A188" s="208"/>
      <c r="B188" s="211"/>
      <c r="C188" s="211"/>
      <c r="D188" s="212"/>
      <c r="E188" s="210" t="str">
        <f>IFERROR(VLOOKUP($T188,공사현장대장!$A$5:$T$330,4),"")</f>
        <v/>
      </c>
      <c r="F188" s="212"/>
      <c r="G188" s="265"/>
      <c r="H188" s="265"/>
      <c r="I188" s="265"/>
      <c r="J188" s="265" t="str">
        <f>IFERROR(ROUND(VLOOKUP($T188,공사현장대장!$A$5:$T$330,9)/1000,0),"")</f>
        <v/>
      </c>
      <c r="K188" s="225"/>
      <c r="L188" s="209"/>
      <c r="M188" s="209"/>
      <c r="N188" s="209"/>
      <c r="O188" s="209"/>
      <c r="P188" s="209"/>
      <c r="Q188" s="209"/>
      <c r="R188" s="263" t="s">
        <v>38</v>
      </c>
      <c r="S188" s="266" t="s">
        <v>71</v>
      </c>
      <c r="T188" s="229"/>
    </row>
    <row r="189" spans="1:29" ht="26.1" hidden="1" customHeight="1">
      <c r="A189" s="208"/>
      <c r="B189" s="211"/>
      <c r="C189" s="211"/>
      <c r="D189" s="212"/>
      <c r="E189" s="210" t="str">
        <f>IFERROR(VLOOKUP($T189,공사현장대장!$A$5:$T$330,4),"")</f>
        <v/>
      </c>
      <c r="F189" s="212"/>
      <c r="G189" s="265"/>
      <c r="H189" s="265"/>
      <c r="I189" s="265"/>
      <c r="J189" s="265" t="str">
        <f>IFERROR(ROUND(VLOOKUP($T189,공사현장대장!$A$5:$T$330,9)/1000,0),"")</f>
        <v/>
      </c>
      <c r="K189" s="225"/>
      <c r="L189" s="209"/>
      <c r="M189" s="209"/>
      <c r="N189" s="209"/>
      <c r="O189" s="209"/>
      <c r="P189" s="209"/>
      <c r="Q189" s="209"/>
      <c r="R189" s="263" t="s">
        <v>38</v>
      </c>
      <c r="S189" s="266" t="s">
        <v>71</v>
      </c>
      <c r="T189" s="229"/>
    </row>
    <row r="190" spans="1:29" ht="26.1" hidden="1" customHeight="1">
      <c r="A190" s="208"/>
      <c r="B190" s="211"/>
      <c r="C190" s="211"/>
      <c r="D190" s="212"/>
      <c r="E190" s="210" t="str">
        <f>IFERROR(VLOOKUP($T190,공사현장대장!$A$5:$T$330,4),"")</f>
        <v/>
      </c>
      <c r="F190" s="212"/>
      <c r="G190" s="265"/>
      <c r="H190" s="265"/>
      <c r="I190" s="265"/>
      <c r="J190" s="265" t="str">
        <f>IFERROR(ROUND(VLOOKUP($T190,공사현장대장!$A$5:$T$330,9)/1000,0),"")</f>
        <v/>
      </c>
      <c r="K190" s="225"/>
      <c r="L190" s="209"/>
      <c r="M190" s="209"/>
      <c r="N190" s="209"/>
      <c r="O190" s="209"/>
      <c r="P190" s="209"/>
      <c r="Q190" s="209"/>
      <c r="R190" s="263" t="s">
        <v>38</v>
      </c>
      <c r="S190" s="266" t="s">
        <v>71</v>
      </c>
      <c r="T190" s="229"/>
    </row>
    <row r="191" spans="1:29" ht="26.1" hidden="1" customHeight="1">
      <c r="A191" s="324" t="s">
        <v>40</v>
      </c>
      <c r="B191" s="325"/>
      <c r="C191" s="325"/>
      <c r="D191" s="325"/>
      <c r="E191" s="326"/>
      <c r="F191" s="226"/>
      <c r="G191" s="267"/>
      <c r="H191" s="267"/>
      <c r="I191" s="267"/>
      <c r="J191" s="267"/>
      <c r="K191" s="227">
        <f t="shared" ref="K191:Q191" si="36">SUM(K187-SUM(K188:K190))</f>
        <v>0</v>
      </c>
      <c r="L191" s="227">
        <f t="shared" si="36"/>
        <v>0</v>
      </c>
      <c r="M191" s="227">
        <f t="shared" si="36"/>
        <v>0</v>
      </c>
      <c r="N191" s="227">
        <f t="shared" si="36"/>
        <v>0</v>
      </c>
      <c r="O191" s="227">
        <f t="shared" si="36"/>
        <v>0</v>
      </c>
      <c r="P191" s="227">
        <f t="shared" si="36"/>
        <v>36050</v>
      </c>
      <c r="Q191" s="227">
        <f t="shared" si="36"/>
        <v>36050</v>
      </c>
      <c r="R191" s="268" t="s">
        <v>38</v>
      </c>
      <c r="S191" s="269" t="s">
        <v>71</v>
      </c>
      <c r="T191" s="230"/>
    </row>
    <row r="192" spans="1:29" ht="26.1" hidden="1" customHeight="1">
      <c r="A192" s="213" t="s">
        <v>29</v>
      </c>
      <c r="B192" s="214" t="s">
        <v>50</v>
      </c>
      <c r="C192" s="214" t="s">
        <v>31</v>
      </c>
      <c r="D192" s="215" t="s">
        <v>124</v>
      </c>
      <c r="E192" s="216" t="s">
        <v>142</v>
      </c>
      <c r="F192" s="215" t="s">
        <v>143</v>
      </c>
      <c r="G192" s="262" t="s">
        <v>46</v>
      </c>
      <c r="H192" s="262" t="s">
        <v>54</v>
      </c>
      <c r="I192" s="262" t="s">
        <v>121</v>
      </c>
      <c r="J192" s="262">
        <f>SUM(J193:J195)</f>
        <v>0</v>
      </c>
      <c r="K192" s="217"/>
      <c r="L192" s="218">
        <v>121248</v>
      </c>
      <c r="M192" s="218"/>
      <c r="N192" s="218"/>
      <c r="O192" s="218"/>
      <c r="P192" s="218"/>
      <c r="Q192" s="218">
        <f>SUM(K192:P192)</f>
        <v>121248</v>
      </c>
      <c r="R192" s="263" t="s">
        <v>38</v>
      </c>
      <c r="S192" s="266" t="s">
        <v>71</v>
      </c>
      <c r="T192" s="229"/>
    </row>
    <row r="193" spans="1:20" ht="26.1" hidden="1" customHeight="1">
      <c r="A193" s="208"/>
      <c r="B193" s="211"/>
      <c r="C193" s="211"/>
      <c r="D193" s="212"/>
      <c r="E193" s="210" t="str">
        <f>IFERROR(VLOOKUP($T193,공사현장대장!$A$5:$T$330,4),"")</f>
        <v/>
      </c>
      <c r="F193" s="212"/>
      <c r="G193" s="265"/>
      <c r="H193" s="265"/>
      <c r="I193" s="265"/>
      <c r="J193" s="265" t="str">
        <f>IFERROR(ROUND(VLOOKUP($T193,공사현장대장!$A$5:$T$330,9)/1000,0),"")</f>
        <v/>
      </c>
      <c r="K193" s="225"/>
      <c r="L193" s="209"/>
      <c r="M193" s="209"/>
      <c r="N193" s="209"/>
      <c r="O193" s="209"/>
      <c r="P193" s="209"/>
      <c r="Q193" s="209"/>
      <c r="R193" s="263" t="s">
        <v>38</v>
      </c>
      <c r="S193" s="266" t="s">
        <v>71</v>
      </c>
      <c r="T193" s="229"/>
    </row>
    <row r="194" spans="1:20" ht="26.1" hidden="1" customHeight="1">
      <c r="A194" s="208"/>
      <c r="B194" s="211"/>
      <c r="C194" s="211"/>
      <c r="D194" s="212"/>
      <c r="E194" s="210" t="str">
        <f>IFERROR(VLOOKUP($T194,공사현장대장!$A$5:$T$330,4),"")</f>
        <v/>
      </c>
      <c r="F194" s="212"/>
      <c r="G194" s="265"/>
      <c r="H194" s="265"/>
      <c r="I194" s="265"/>
      <c r="J194" s="265" t="str">
        <f>IFERROR(ROUND(VLOOKUP($T194,공사현장대장!$A$5:$T$330,9)/1000,0),"")</f>
        <v/>
      </c>
      <c r="K194" s="225"/>
      <c r="L194" s="209"/>
      <c r="M194" s="209"/>
      <c r="N194" s="209"/>
      <c r="O194" s="209"/>
      <c r="P194" s="209"/>
      <c r="Q194" s="209"/>
      <c r="R194" s="263" t="s">
        <v>38</v>
      </c>
      <c r="S194" s="266" t="s">
        <v>71</v>
      </c>
      <c r="T194" s="229"/>
    </row>
    <row r="195" spans="1:20" ht="26.1" hidden="1" customHeight="1">
      <c r="A195" s="208"/>
      <c r="B195" s="211"/>
      <c r="C195" s="211"/>
      <c r="D195" s="212"/>
      <c r="E195" s="210" t="str">
        <f>IFERROR(VLOOKUP($T195,공사현장대장!$A$5:$T$330,4),"")</f>
        <v/>
      </c>
      <c r="F195" s="212"/>
      <c r="G195" s="265"/>
      <c r="H195" s="265"/>
      <c r="I195" s="265"/>
      <c r="J195" s="265" t="str">
        <f>IFERROR(ROUND(VLOOKUP($T195,공사현장대장!$A$5:$T$330,9)/1000,0),"")</f>
        <v/>
      </c>
      <c r="K195" s="225"/>
      <c r="L195" s="209"/>
      <c r="M195" s="209"/>
      <c r="N195" s="209"/>
      <c r="O195" s="209"/>
      <c r="P195" s="209"/>
      <c r="Q195" s="209"/>
      <c r="R195" s="263" t="s">
        <v>38</v>
      </c>
      <c r="S195" s="266" t="s">
        <v>71</v>
      </c>
      <c r="T195" s="229"/>
    </row>
    <row r="196" spans="1:20" ht="26.1" hidden="1" customHeight="1">
      <c r="A196" s="324" t="s">
        <v>40</v>
      </c>
      <c r="B196" s="325"/>
      <c r="C196" s="325"/>
      <c r="D196" s="325"/>
      <c r="E196" s="326"/>
      <c r="F196" s="226"/>
      <c r="G196" s="267"/>
      <c r="H196" s="267"/>
      <c r="I196" s="267"/>
      <c r="J196" s="267"/>
      <c r="K196" s="227">
        <f t="shared" ref="K196:Q196" si="37">SUM(K192-SUM(K193:K195))</f>
        <v>0</v>
      </c>
      <c r="L196" s="227">
        <f t="shared" si="37"/>
        <v>121248</v>
      </c>
      <c r="M196" s="227">
        <f t="shared" si="37"/>
        <v>0</v>
      </c>
      <c r="N196" s="227">
        <f t="shared" si="37"/>
        <v>0</v>
      </c>
      <c r="O196" s="227">
        <f t="shared" si="37"/>
        <v>0</v>
      </c>
      <c r="P196" s="227">
        <f t="shared" si="37"/>
        <v>0</v>
      </c>
      <c r="Q196" s="227">
        <f t="shared" si="37"/>
        <v>121248</v>
      </c>
      <c r="R196" s="268" t="s">
        <v>38</v>
      </c>
      <c r="S196" s="269" t="s">
        <v>71</v>
      </c>
      <c r="T196" s="230"/>
    </row>
    <row r="197" spans="1:20" ht="26.1" hidden="1" customHeight="1">
      <c r="A197" s="213" t="s">
        <v>29</v>
      </c>
      <c r="B197" s="214" t="s">
        <v>50</v>
      </c>
      <c r="C197" s="214" t="s">
        <v>31</v>
      </c>
      <c r="D197" s="215" t="s">
        <v>124</v>
      </c>
      <c r="E197" s="216" t="s">
        <v>144</v>
      </c>
      <c r="F197" s="215" t="s">
        <v>143</v>
      </c>
      <c r="G197" s="262" t="s">
        <v>46</v>
      </c>
      <c r="H197" s="262" t="s">
        <v>145</v>
      </c>
      <c r="I197" s="262" t="s">
        <v>99</v>
      </c>
      <c r="J197" s="262">
        <f>SUM(J198:J200)</f>
        <v>0</v>
      </c>
      <c r="K197" s="217"/>
      <c r="L197" s="218">
        <v>33147</v>
      </c>
      <c r="M197" s="218"/>
      <c r="N197" s="218"/>
      <c r="O197" s="218"/>
      <c r="P197" s="218"/>
      <c r="Q197" s="218">
        <f>SUM(K197:P197)</f>
        <v>33147</v>
      </c>
      <c r="R197" s="263" t="s">
        <v>38</v>
      </c>
      <c r="S197" s="266" t="s">
        <v>100</v>
      </c>
      <c r="T197" s="229"/>
    </row>
    <row r="198" spans="1:20" ht="26.1" hidden="1" customHeight="1">
      <c r="A198" s="208"/>
      <c r="B198" s="211"/>
      <c r="C198" s="211"/>
      <c r="D198" s="212"/>
      <c r="E198" s="210" t="str">
        <f>IFERROR(VLOOKUP($T198,공사현장대장!$A$5:$T$330,4),"")</f>
        <v/>
      </c>
      <c r="F198" s="212"/>
      <c r="G198" s="265"/>
      <c r="H198" s="265"/>
      <c r="I198" s="265"/>
      <c r="J198" s="265" t="str">
        <f>IFERROR(ROUND(VLOOKUP($T198,공사현장대장!$A$5:$T$330,9)/1000,0),"")</f>
        <v/>
      </c>
      <c r="K198" s="225"/>
      <c r="L198" s="209"/>
      <c r="M198" s="209"/>
      <c r="N198" s="209"/>
      <c r="O198" s="209"/>
      <c r="P198" s="209"/>
      <c r="Q198" s="209"/>
      <c r="R198" s="263" t="s">
        <v>38</v>
      </c>
      <c r="S198" s="266" t="s">
        <v>100</v>
      </c>
      <c r="T198" s="229"/>
    </row>
    <row r="199" spans="1:20" ht="26.1" hidden="1" customHeight="1">
      <c r="A199" s="208"/>
      <c r="B199" s="211"/>
      <c r="C199" s="211"/>
      <c r="D199" s="212"/>
      <c r="E199" s="210" t="str">
        <f>IFERROR(VLOOKUP($T199,공사현장대장!$A$5:$T$330,4),"")</f>
        <v/>
      </c>
      <c r="F199" s="212"/>
      <c r="G199" s="265"/>
      <c r="H199" s="265"/>
      <c r="I199" s="265"/>
      <c r="J199" s="265" t="str">
        <f>IFERROR(ROUND(VLOOKUP($T199,공사현장대장!$A$5:$T$330,9)/1000,0),"")</f>
        <v/>
      </c>
      <c r="K199" s="225"/>
      <c r="L199" s="209"/>
      <c r="M199" s="209"/>
      <c r="N199" s="209"/>
      <c r="O199" s="209"/>
      <c r="P199" s="209"/>
      <c r="Q199" s="209"/>
      <c r="R199" s="263" t="s">
        <v>38</v>
      </c>
      <c r="S199" s="266" t="s">
        <v>100</v>
      </c>
      <c r="T199" s="229"/>
    </row>
    <row r="200" spans="1:20" ht="26.1" hidden="1" customHeight="1">
      <c r="A200" s="208"/>
      <c r="B200" s="211"/>
      <c r="C200" s="211"/>
      <c r="D200" s="212"/>
      <c r="E200" s="210" t="str">
        <f>IFERROR(VLOOKUP($T200,공사현장대장!$A$5:$T$330,4),"")</f>
        <v/>
      </c>
      <c r="F200" s="212"/>
      <c r="G200" s="265"/>
      <c r="H200" s="265"/>
      <c r="I200" s="265"/>
      <c r="J200" s="265" t="str">
        <f>IFERROR(ROUND(VLOOKUP($T200,공사현장대장!$A$5:$T$330,9)/1000,0),"")</f>
        <v/>
      </c>
      <c r="K200" s="225"/>
      <c r="L200" s="209"/>
      <c r="M200" s="209"/>
      <c r="N200" s="209"/>
      <c r="O200" s="209"/>
      <c r="P200" s="209"/>
      <c r="Q200" s="209"/>
      <c r="R200" s="263" t="s">
        <v>38</v>
      </c>
      <c r="S200" s="266" t="s">
        <v>100</v>
      </c>
      <c r="T200" s="229"/>
    </row>
    <row r="201" spans="1:20" ht="26.1" hidden="1" customHeight="1">
      <c r="A201" s="324" t="s">
        <v>40</v>
      </c>
      <c r="B201" s="325"/>
      <c r="C201" s="325"/>
      <c r="D201" s="325"/>
      <c r="E201" s="326"/>
      <c r="F201" s="226"/>
      <c r="G201" s="267"/>
      <c r="H201" s="267"/>
      <c r="I201" s="267"/>
      <c r="J201" s="267"/>
      <c r="K201" s="227">
        <f t="shared" ref="K201:Q201" si="38">SUM(K197-SUM(K198:K200))</f>
        <v>0</v>
      </c>
      <c r="L201" s="227">
        <f t="shared" si="38"/>
        <v>33147</v>
      </c>
      <c r="M201" s="227">
        <f t="shared" si="38"/>
        <v>0</v>
      </c>
      <c r="N201" s="227">
        <f t="shared" si="38"/>
        <v>0</v>
      </c>
      <c r="O201" s="227">
        <f t="shared" si="38"/>
        <v>0</v>
      </c>
      <c r="P201" s="227">
        <f t="shared" si="38"/>
        <v>0</v>
      </c>
      <c r="Q201" s="227">
        <f t="shared" si="38"/>
        <v>33147</v>
      </c>
      <c r="R201" s="268" t="s">
        <v>38</v>
      </c>
      <c r="S201" s="269" t="s">
        <v>100</v>
      </c>
      <c r="T201" s="230"/>
    </row>
    <row r="202" spans="1:20" ht="26.1" hidden="1" customHeight="1">
      <c r="A202" s="213" t="s">
        <v>29</v>
      </c>
      <c r="B202" s="214" t="s">
        <v>50</v>
      </c>
      <c r="C202" s="214" t="s">
        <v>31</v>
      </c>
      <c r="D202" s="215" t="s">
        <v>124</v>
      </c>
      <c r="E202" s="216" t="s">
        <v>146</v>
      </c>
      <c r="F202" s="215" t="s">
        <v>147</v>
      </c>
      <c r="G202" s="262" t="s">
        <v>46</v>
      </c>
      <c r="H202" s="262" t="s">
        <v>133</v>
      </c>
      <c r="I202" s="262" t="s">
        <v>148</v>
      </c>
      <c r="J202" s="262">
        <f>SUM(J203:J205)</f>
        <v>0</v>
      </c>
      <c r="K202" s="217"/>
      <c r="L202" s="218">
        <v>105930</v>
      </c>
      <c r="M202" s="218"/>
      <c r="N202" s="218"/>
      <c r="O202" s="218"/>
      <c r="P202" s="218"/>
      <c r="Q202" s="218">
        <f>SUM(K202:P202)</f>
        <v>105930</v>
      </c>
      <c r="R202" s="274" t="s">
        <v>87</v>
      </c>
      <c r="S202" s="266" t="s">
        <v>71</v>
      </c>
      <c r="T202" s="229"/>
    </row>
    <row r="203" spans="1:20" ht="26.1" hidden="1" customHeight="1">
      <c r="A203" s="208"/>
      <c r="B203" s="211"/>
      <c r="C203" s="211"/>
      <c r="D203" s="212"/>
      <c r="E203" s="210" t="str">
        <f>IFERROR(VLOOKUP($T203,공사현장대장!$A$5:$T$330,4),"")</f>
        <v/>
      </c>
      <c r="F203" s="212"/>
      <c r="G203" s="265"/>
      <c r="H203" s="265"/>
      <c r="I203" s="265"/>
      <c r="J203" s="265" t="str">
        <f>IFERROR(ROUND(VLOOKUP($T203,공사현장대장!$A$5:$T$330,9)/1000,0),"")</f>
        <v/>
      </c>
      <c r="K203" s="225"/>
      <c r="L203" s="209"/>
      <c r="M203" s="209"/>
      <c r="N203" s="209"/>
      <c r="O203" s="209"/>
      <c r="P203" s="209"/>
      <c r="Q203" s="209"/>
      <c r="R203" s="263" t="s">
        <v>87</v>
      </c>
      <c r="S203" s="266" t="s">
        <v>71</v>
      </c>
      <c r="T203" s="229"/>
    </row>
    <row r="204" spans="1:20" ht="26.1" hidden="1" customHeight="1">
      <c r="A204" s="208"/>
      <c r="B204" s="211"/>
      <c r="C204" s="211"/>
      <c r="D204" s="212"/>
      <c r="E204" s="210" t="str">
        <f>IFERROR(VLOOKUP($T204,공사현장대장!$A$5:$T$330,4),"")</f>
        <v/>
      </c>
      <c r="F204" s="212"/>
      <c r="G204" s="265"/>
      <c r="H204" s="265"/>
      <c r="I204" s="265"/>
      <c r="J204" s="265" t="str">
        <f>IFERROR(ROUND(VLOOKUP($T204,공사현장대장!$A$5:$T$330,9)/1000,0),"")</f>
        <v/>
      </c>
      <c r="K204" s="225"/>
      <c r="L204" s="209"/>
      <c r="M204" s="209"/>
      <c r="N204" s="209"/>
      <c r="O204" s="209"/>
      <c r="P204" s="209"/>
      <c r="Q204" s="209"/>
      <c r="R204" s="263" t="s">
        <v>87</v>
      </c>
      <c r="S204" s="266" t="s">
        <v>71</v>
      </c>
      <c r="T204" s="229"/>
    </row>
    <row r="205" spans="1:20" ht="26.1" hidden="1" customHeight="1">
      <c r="A205" s="208"/>
      <c r="B205" s="211"/>
      <c r="C205" s="211"/>
      <c r="D205" s="212"/>
      <c r="E205" s="210" t="str">
        <f>IFERROR(VLOOKUP($T205,공사현장대장!$A$5:$T$330,4),"")</f>
        <v/>
      </c>
      <c r="F205" s="212"/>
      <c r="G205" s="265"/>
      <c r="H205" s="265"/>
      <c r="I205" s="265"/>
      <c r="J205" s="265" t="str">
        <f>IFERROR(ROUND(VLOOKUP($T205,공사현장대장!$A$5:$T$330,9)/1000,0),"")</f>
        <v/>
      </c>
      <c r="K205" s="225"/>
      <c r="L205" s="209"/>
      <c r="M205" s="209"/>
      <c r="N205" s="209"/>
      <c r="O205" s="209"/>
      <c r="P205" s="209"/>
      <c r="Q205" s="209"/>
      <c r="R205" s="263" t="s">
        <v>87</v>
      </c>
      <c r="S205" s="266" t="s">
        <v>71</v>
      </c>
      <c r="T205" s="229"/>
    </row>
    <row r="206" spans="1:20" ht="26.1" hidden="1" customHeight="1">
      <c r="A206" s="324" t="s">
        <v>40</v>
      </c>
      <c r="B206" s="325"/>
      <c r="C206" s="325"/>
      <c r="D206" s="325"/>
      <c r="E206" s="326"/>
      <c r="F206" s="226"/>
      <c r="G206" s="267"/>
      <c r="H206" s="267"/>
      <c r="I206" s="267"/>
      <c r="J206" s="267"/>
      <c r="K206" s="227">
        <f t="shared" ref="K206:Q206" si="39">SUM(K202-SUM(K203:K205))</f>
        <v>0</v>
      </c>
      <c r="L206" s="227">
        <f t="shared" si="39"/>
        <v>105930</v>
      </c>
      <c r="M206" s="227">
        <f t="shared" si="39"/>
        <v>0</v>
      </c>
      <c r="N206" s="227">
        <f t="shared" si="39"/>
        <v>0</v>
      </c>
      <c r="O206" s="227">
        <f t="shared" si="39"/>
        <v>0</v>
      </c>
      <c r="P206" s="227">
        <f t="shared" si="39"/>
        <v>0</v>
      </c>
      <c r="Q206" s="227">
        <f t="shared" si="39"/>
        <v>105930</v>
      </c>
      <c r="R206" s="268" t="s">
        <v>87</v>
      </c>
      <c r="S206" s="269" t="s">
        <v>71</v>
      </c>
      <c r="T206" s="230"/>
    </row>
    <row r="207" spans="1:20" ht="26.1" hidden="1" customHeight="1">
      <c r="A207" s="213" t="s">
        <v>29</v>
      </c>
      <c r="B207" s="214" t="s">
        <v>50</v>
      </c>
      <c r="C207" s="214" t="s">
        <v>31</v>
      </c>
      <c r="D207" s="215" t="s">
        <v>124</v>
      </c>
      <c r="E207" s="216" t="s">
        <v>149</v>
      </c>
      <c r="F207" s="215" t="s">
        <v>150</v>
      </c>
      <c r="G207" s="262" t="s">
        <v>46</v>
      </c>
      <c r="H207" s="262" t="s">
        <v>133</v>
      </c>
      <c r="I207" s="262" t="s">
        <v>151</v>
      </c>
      <c r="J207" s="262">
        <f>SUM(J208:J210)</f>
        <v>0</v>
      </c>
      <c r="K207" s="217"/>
      <c r="L207" s="218">
        <v>151999</v>
      </c>
      <c r="M207" s="218"/>
      <c r="N207" s="218"/>
      <c r="O207" s="218"/>
      <c r="P207" s="218"/>
      <c r="Q207" s="218">
        <f>SUM(K207:P207)</f>
        <v>151999</v>
      </c>
      <c r="R207" s="274" t="s">
        <v>87</v>
      </c>
      <c r="S207" s="266" t="s">
        <v>71</v>
      </c>
      <c r="T207" s="229"/>
    </row>
    <row r="208" spans="1:20" ht="26.1" hidden="1" customHeight="1">
      <c r="A208" s="208"/>
      <c r="B208" s="211"/>
      <c r="C208" s="211"/>
      <c r="D208" s="212"/>
      <c r="E208" s="210" t="str">
        <f>IFERROR(VLOOKUP($T208,공사현장대장!$A$5:$T$330,4),"")</f>
        <v/>
      </c>
      <c r="F208" s="212"/>
      <c r="G208" s="265"/>
      <c r="H208" s="265"/>
      <c r="I208" s="265"/>
      <c r="J208" s="265" t="str">
        <f>IFERROR(ROUND(VLOOKUP($T208,공사현장대장!$A$5:$T$330,9)/1000,0),"")</f>
        <v/>
      </c>
      <c r="K208" s="225"/>
      <c r="L208" s="209"/>
      <c r="M208" s="209"/>
      <c r="N208" s="209"/>
      <c r="O208" s="209"/>
      <c r="P208" s="209"/>
      <c r="Q208" s="209"/>
      <c r="R208" s="263" t="s">
        <v>87</v>
      </c>
      <c r="S208" s="266" t="s">
        <v>71</v>
      </c>
      <c r="T208" s="229"/>
    </row>
    <row r="209" spans="1:20" ht="26.1" hidden="1" customHeight="1">
      <c r="A209" s="208"/>
      <c r="B209" s="211"/>
      <c r="C209" s="211"/>
      <c r="D209" s="212"/>
      <c r="E209" s="210" t="str">
        <f>IFERROR(VLOOKUP($T209,공사현장대장!$A$5:$T$330,4),"")</f>
        <v/>
      </c>
      <c r="F209" s="212"/>
      <c r="G209" s="265"/>
      <c r="H209" s="265"/>
      <c r="I209" s="265"/>
      <c r="J209" s="265" t="str">
        <f>IFERROR(ROUND(VLOOKUP($T209,공사현장대장!$A$5:$T$330,9)/1000,0),"")</f>
        <v/>
      </c>
      <c r="K209" s="225"/>
      <c r="L209" s="209"/>
      <c r="M209" s="209"/>
      <c r="N209" s="209"/>
      <c r="O209" s="209"/>
      <c r="P209" s="209"/>
      <c r="Q209" s="209"/>
      <c r="R209" s="263" t="s">
        <v>87</v>
      </c>
      <c r="S209" s="266" t="s">
        <v>71</v>
      </c>
      <c r="T209" s="229"/>
    </row>
    <row r="210" spans="1:20" ht="26.1" hidden="1" customHeight="1">
      <c r="A210" s="208"/>
      <c r="B210" s="211"/>
      <c r="C210" s="211"/>
      <c r="D210" s="212"/>
      <c r="E210" s="210" t="str">
        <f>IFERROR(VLOOKUP($T210,공사현장대장!$A$5:$T$330,4),"")</f>
        <v/>
      </c>
      <c r="F210" s="212"/>
      <c r="G210" s="265"/>
      <c r="H210" s="265"/>
      <c r="I210" s="265"/>
      <c r="J210" s="265" t="str">
        <f>IFERROR(ROUND(VLOOKUP($T210,공사현장대장!$A$5:$T$330,9)/1000,0),"")</f>
        <v/>
      </c>
      <c r="K210" s="225"/>
      <c r="L210" s="209"/>
      <c r="M210" s="209"/>
      <c r="N210" s="209"/>
      <c r="O210" s="209"/>
      <c r="P210" s="209"/>
      <c r="Q210" s="209"/>
      <c r="R210" s="263" t="s">
        <v>87</v>
      </c>
      <c r="S210" s="266" t="s">
        <v>71</v>
      </c>
      <c r="T210" s="229"/>
    </row>
    <row r="211" spans="1:20" ht="26.1" hidden="1" customHeight="1">
      <c r="A211" s="324" t="s">
        <v>40</v>
      </c>
      <c r="B211" s="325"/>
      <c r="C211" s="325"/>
      <c r="D211" s="325"/>
      <c r="E211" s="326"/>
      <c r="F211" s="226"/>
      <c r="G211" s="267"/>
      <c r="H211" s="267"/>
      <c r="I211" s="267"/>
      <c r="J211" s="267"/>
      <c r="K211" s="227">
        <f t="shared" ref="K211:Q211" si="40">SUM(K207-SUM(K208:K210))</f>
        <v>0</v>
      </c>
      <c r="L211" s="227">
        <f t="shared" si="40"/>
        <v>151999</v>
      </c>
      <c r="M211" s="227">
        <f t="shared" si="40"/>
        <v>0</v>
      </c>
      <c r="N211" s="227">
        <f t="shared" si="40"/>
        <v>0</v>
      </c>
      <c r="O211" s="227">
        <f t="shared" si="40"/>
        <v>0</v>
      </c>
      <c r="P211" s="227">
        <f t="shared" si="40"/>
        <v>0</v>
      </c>
      <c r="Q211" s="227">
        <f t="shared" si="40"/>
        <v>151999</v>
      </c>
      <c r="R211" s="268" t="s">
        <v>87</v>
      </c>
      <c r="S211" s="269" t="s">
        <v>71</v>
      </c>
      <c r="T211" s="230"/>
    </row>
    <row r="212" spans="1:20" ht="26.1" hidden="1" customHeight="1">
      <c r="A212" s="213" t="s">
        <v>29</v>
      </c>
      <c r="B212" s="214" t="s">
        <v>50</v>
      </c>
      <c r="C212" s="214" t="s">
        <v>31</v>
      </c>
      <c r="D212" s="215" t="s">
        <v>124</v>
      </c>
      <c r="E212" s="216" t="s">
        <v>152</v>
      </c>
      <c r="F212" s="215" t="s">
        <v>153</v>
      </c>
      <c r="G212" s="262" t="s">
        <v>154</v>
      </c>
      <c r="H212" s="262" t="s">
        <v>155</v>
      </c>
      <c r="I212" s="262" t="s">
        <v>156</v>
      </c>
      <c r="J212" s="262">
        <f>SUM(J213:J215)</f>
        <v>0</v>
      </c>
      <c r="K212" s="217"/>
      <c r="L212" s="218">
        <v>1646178</v>
      </c>
      <c r="M212" s="218">
        <v>81853</v>
      </c>
      <c r="N212" s="218"/>
      <c r="O212" s="218"/>
      <c r="P212" s="218">
        <v>14900</v>
      </c>
      <c r="Q212" s="218">
        <f>SUM(K212:P212)</f>
        <v>1742931</v>
      </c>
      <c r="R212" s="263" t="s">
        <v>38</v>
      </c>
      <c r="S212" s="266" t="s">
        <v>71</v>
      </c>
      <c r="T212" s="229"/>
    </row>
    <row r="213" spans="1:20" ht="26.1" hidden="1" customHeight="1">
      <c r="A213" s="208"/>
      <c r="B213" s="211"/>
      <c r="C213" s="211"/>
      <c r="D213" s="212"/>
      <c r="E213" s="210" t="str">
        <f>IFERROR(VLOOKUP($T213,공사현장대장!$A$5:$T$330,4),"")</f>
        <v/>
      </c>
      <c r="F213" s="212"/>
      <c r="G213" s="265"/>
      <c r="H213" s="265"/>
      <c r="I213" s="265"/>
      <c r="J213" s="265" t="str">
        <f>IFERROR(ROUND(VLOOKUP($T213,공사현장대장!$A$5:$T$330,9)/1000,0),"")</f>
        <v/>
      </c>
      <c r="K213" s="225"/>
      <c r="L213" s="209"/>
      <c r="M213" s="209"/>
      <c r="N213" s="209"/>
      <c r="O213" s="209"/>
      <c r="P213" s="209"/>
      <c r="Q213" s="209"/>
      <c r="R213" s="263" t="s">
        <v>38</v>
      </c>
      <c r="S213" s="266" t="s">
        <v>71</v>
      </c>
      <c r="T213" s="229"/>
    </row>
    <row r="214" spans="1:20" ht="26.1" hidden="1" customHeight="1">
      <c r="A214" s="208"/>
      <c r="B214" s="211"/>
      <c r="C214" s="211"/>
      <c r="D214" s="212"/>
      <c r="E214" s="210" t="str">
        <f>IFERROR(VLOOKUP($T214,공사현장대장!$A$5:$T$330,4),"")</f>
        <v/>
      </c>
      <c r="F214" s="212"/>
      <c r="G214" s="265"/>
      <c r="H214" s="265"/>
      <c r="I214" s="265"/>
      <c r="J214" s="265" t="str">
        <f>IFERROR(ROUND(VLOOKUP($T214,공사현장대장!$A$5:$T$330,9)/1000,0),"")</f>
        <v/>
      </c>
      <c r="K214" s="225"/>
      <c r="L214" s="209"/>
      <c r="M214" s="209"/>
      <c r="N214" s="209"/>
      <c r="O214" s="209"/>
      <c r="P214" s="209"/>
      <c r="Q214" s="209"/>
      <c r="R214" s="263" t="s">
        <v>38</v>
      </c>
      <c r="S214" s="266" t="s">
        <v>71</v>
      </c>
      <c r="T214" s="229"/>
    </row>
    <row r="215" spans="1:20" ht="26.1" hidden="1" customHeight="1">
      <c r="A215" s="208"/>
      <c r="B215" s="211"/>
      <c r="C215" s="211"/>
      <c r="D215" s="212"/>
      <c r="E215" s="210" t="str">
        <f>IFERROR(VLOOKUP($T215,공사현장대장!$A$5:$T$330,4),"")</f>
        <v/>
      </c>
      <c r="F215" s="212"/>
      <c r="G215" s="265"/>
      <c r="H215" s="265"/>
      <c r="I215" s="265"/>
      <c r="J215" s="265" t="str">
        <f>IFERROR(ROUND(VLOOKUP($T215,공사현장대장!$A$5:$T$330,9)/1000,0),"")</f>
        <v/>
      </c>
      <c r="K215" s="225"/>
      <c r="L215" s="209"/>
      <c r="M215" s="209"/>
      <c r="N215" s="209"/>
      <c r="O215" s="209"/>
      <c r="P215" s="209"/>
      <c r="Q215" s="209"/>
      <c r="R215" s="263" t="s">
        <v>38</v>
      </c>
      <c r="S215" s="266" t="s">
        <v>71</v>
      </c>
      <c r="T215" s="229"/>
    </row>
    <row r="216" spans="1:20" ht="26.1" hidden="1" customHeight="1">
      <c r="A216" s="324" t="s">
        <v>40</v>
      </c>
      <c r="B216" s="325"/>
      <c r="C216" s="325"/>
      <c r="D216" s="325"/>
      <c r="E216" s="326"/>
      <c r="F216" s="226"/>
      <c r="G216" s="267"/>
      <c r="H216" s="267"/>
      <c r="I216" s="267"/>
      <c r="J216" s="267"/>
      <c r="K216" s="227">
        <f t="shared" ref="K216:Q216" si="41">SUM(K212-SUM(K213:K215))</f>
        <v>0</v>
      </c>
      <c r="L216" s="227">
        <f t="shared" si="41"/>
        <v>1646178</v>
      </c>
      <c r="M216" s="227">
        <f t="shared" si="41"/>
        <v>81853</v>
      </c>
      <c r="N216" s="227">
        <f t="shared" si="41"/>
        <v>0</v>
      </c>
      <c r="O216" s="227">
        <f t="shared" si="41"/>
        <v>0</v>
      </c>
      <c r="P216" s="227">
        <f t="shared" si="41"/>
        <v>14900</v>
      </c>
      <c r="Q216" s="227">
        <f t="shared" si="41"/>
        <v>1742931</v>
      </c>
      <c r="R216" s="268" t="s">
        <v>38</v>
      </c>
      <c r="S216" s="269" t="s">
        <v>71</v>
      </c>
      <c r="T216" s="230"/>
    </row>
    <row r="217" spans="1:20" ht="26.1" hidden="1" customHeight="1">
      <c r="A217" s="213" t="s">
        <v>29</v>
      </c>
      <c r="B217" s="214" t="s">
        <v>50</v>
      </c>
      <c r="C217" s="214" t="s">
        <v>31</v>
      </c>
      <c r="D217" s="215" t="s">
        <v>124</v>
      </c>
      <c r="E217" s="216" t="s">
        <v>152</v>
      </c>
      <c r="F217" s="215" t="s">
        <v>153</v>
      </c>
      <c r="G217" s="262" t="s">
        <v>154</v>
      </c>
      <c r="H217" s="262" t="s">
        <v>155</v>
      </c>
      <c r="I217" s="262" t="s">
        <v>156</v>
      </c>
      <c r="J217" s="262">
        <f>SUM(J218:J220)</f>
        <v>0</v>
      </c>
      <c r="K217" s="221"/>
      <c r="L217" s="222">
        <v>55442</v>
      </c>
      <c r="M217" s="222"/>
      <c r="N217" s="222"/>
      <c r="O217" s="222"/>
      <c r="P217" s="222"/>
      <c r="Q217" s="223">
        <f>SUM(K217:P217)</f>
        <v>55442</v>
      </c>
      <c r="R217" s="273" t="s">
        <v>157</v>
      </c>
      <c r="S217" s="275" t="s">
        <v>71</v>
      </c>
      <c r="T217" s="232"/>
    </row>
    <row r="218" spans="1:20" ht="26.1" hidden="1" customHeight="1">
      <c r="A218" s="208"/>
      <c r="B218" s="211"/>
      <c r="C218" s="211"/>
      <c r="D218" s="212"/>
      <c r="E218" s="210" t="str">
        <f>IFERROR(VLOOKUP($T218,공사현장대장!$A$5:$T$330,4),"")</f>
        <v/>
      </c>
      <c r="F218" s="212"/>
      <c r="G218" s="265"/>
      <c r="H218" s="265"/>
      <c r="I218" s="265"/>
      <c r="J218" s="265" t="str">
        <f>IFERROR(ROUND(VLOOKUP($T218,공사현장대장!$A$5:$T$330,9)/1000,0),"")</f>
        <v/>
      </c>
      <c r="K218" s="225"/>
      <c r="L218" s="209"/>
      <c r="M218" s="209"/>
      <c r="N218" s="209"/>
      <c r="O218" s="209"/>
      <c r="P218" s="209"/>
      <c r="Q218" s="209"/>
      <c r="R218" s="263" t="s">
        <v>157</v>
      </c>
      <c r="S218" s="266" t="s">
        <v>71</v>
      </c>
      <c r="T218" s="229"/>
    </row>
    <row r="219" spans="1:20" ht="26.1" hidden="1" customHeight="1">
      <c r="A219" s="208"/>
      <c r="B219" s="211"/>
      <c r="C219" s="211"/>
      <c r="D219" s="212"/>
      <c r="E219" s="210" t="str">
        <f>IFERROR(VLOOKUP($T219,공사현장대장!$A$5:$T$330,4),"")</f>
        <v/>
      </c>
      <c r="F219" s="212"/>
      <c r="G219" s="265"/>
      <c r="H219" s="265"/>
      <c r="I219" s="265"/>
      <c r="J219" s="265" t="str">
        <f>IFERROR(ROUND(VLOOKUP($T219,공사현장대장!$A$5:$T$330,9)/1000,0),"")</f>
        <v/>
      </c>
      <c r="K219" s="225"/>
      <c r="L219" s="209"/>
      <c r="M219" s="209"/>
      <c r="N219" s="209"/>
      <c r="O219" s="209"/>
      <c r="P219" s="209"/>
      <c r="Q219" s="209"/>
      <c r="R219" s="263" t="s">
        <v>157</v>
      </c>
      <c r="S219" s="266" t="s">
        <v>71</v>
      </c>
      <c r="T219" s="229"/>
    </row>
    <row r="220" spans="1:20" ht="26.1" hidden="1" customHeight="1">
      <c r="A220" s="208"/>
      <c r="B220" s="211"/>
      <c r="C220" s="211"/>
      <c r="D220" s="212"/>
      <c r="E220" s="210" t="str">
        <f>IFERROR(VLOOKUP($T220,공사현장대장!$A$5:$T$330,4),"")</f>
        <v/>
      </c>
      <c r="F220" s="212"/>
      <c r="G220" s="265"/>
      <c r="H220" s="265"/>
      <c r="I220" s="265"/>
      <c r="J220" s="265" t="str">
        <f>IFERROR(ROUND(VLOOKUP($T220,공사현장대장!$A$5:$T$330,9)/1000,0),"")</f>
        <v/>
      </c>
      <c r="K220" s="225"/>
      <c r="L220" s="209"/>
      <c r="M220" s="209"/>
      <c r="N220" s="209"/>
      <c r="O220" s="209"/>
      <c r="P220" s="209"/>
      <c r="Q220" s="209"/>
      <c r="R220" s="263" t="s">
        <v>157</v>
      </c>
      <c r="S220" s="266" t="s">
        <v>71</v>
      </c>
      <c r="T220" s="229"/>
    </row>
    <row r="221" spans="1:20" ht="26.1" hidden="1" customHeight="1">
      <c r="A221" s="324" t="s">
        <v>40</v>
      </c>
      <c r="B221" s="325"/>
      <c r="C221" s="325"/>
      <c r="D221" s="325"/>
      <c r="E221" s="326"/>
      <c r="F221" s="226"/>
      <c r="G221" s="267"/>
      <c r="H221" s="267"/>
      <c r="I221" s="267"/>
      <c r="J221" s="267"/>
      <c r="K221" s="227">
        <f t="shared" ref="K221:Q221" si="42">SUM(K217-SUM(K218:K220))</f>
        <v>0</v>
      </c>
      <c r="L221" s="227">
        <f t="shared" si="42"/>
        <v>55442</v>
      </c>
      <c r="M221" s="227">
        <f t="shared" si="42"/>
        <v>0</v>
      </c>
      <c r="N221" s="227">
        <f t="shared" si="42"/>
        <v>0</v>
      </c>
      <c r="O221" s="227">
        <f t="shared" si="42"/>
        <v>0</v>
      </c>
      <c r="P221" s="227">
        <f t="shared" si="42"/>
        <v>0</v>
      </c>
      <c r="Q221" s="227">
        <f t="shared" si="42"/>
        <v>55442</v>
      </c>
      <c r="R221" s="268" t="s">
        <v>157</v>
      </c>
      <c r="S221" s="269" t="s">
        <v>71</v>
      </c>
      <c r="T221" s="230"/>
    </row>
    <row r="222" spans="1:20" ht="26.1" hidden="1" customHeight="1">
      <c r="A222" s="213" t="s">
        <v>29</v>
      </c>
      <c r="B222" s="214" t="s">
        <v>50</v>
      </c>
      <c r="C222" s="214" t="s">
        <v>31</v>
      </c>
      <c r="D222" s="215" t="s">
        <v>158</v>
      </c>
      <c r="E222" s="216" t="s">
        <v>88</v>
      </c>
      <c r="F222" s="215" t="s">
        <v>159</v>
      </c>
      <c r="G222" s="262" t="s">
        <v>46</v>
      </c>
      <c r="H222" s="262" t="s">
        <v>54</v>
      </c>
      <c r="I222" s="262" t="s">
        <v>55</v>
      </c>
      <c r="J222" s="262">
        <f>SUM(J223:J225)</f>
        <v>0</v>
      </c>
      <c r="K222" s="217"/>
      <c r="L222" s="218">
        <v>362600</v>
      </c>
      <c r="M222" s="218"/>
      <c r="N222" s="218"/>
      <c r="O222" s="218"/>
      <c r="P222" s="218"/>
      <c r="Q222" s="218">
        <f>SUM(K222:P222)</f>
        <v>362600</v>
      </c>
      <c r="R222" s="263" t="s">
        <v>38</v>
      </c>
      <c r="S222" s="266" t="s">
        <v>71</v>
      </c>
      <c r="T222" s="229"/>
    </row>
    <row r="223" spans="1:20" ht="26.1" hidden="1" customHeight="1">
      <c r="A223" s="208"/>
      <c r="B223" s="211"/>
      <c r="C223" s="211"/>
      <c r="D223" s="212"/>
      <c r="E223" s="210" t="str">
        <f>IFERROR(VLOOKUP($T223,공사현장대장!$A$5:$T$330,4),"")</f>
        <v/>
      </c>
      <c r="F223" s="212"/>
      <c r="G223" s="265"/>
      <c r="H223" s="265"/>
      <c r="I223" s="265"/>
      <c r="J223" s="265" t="str">
        <f>IFERROR(ROUND(VLOOKUP($T223,공사현장대장!$A$5:$T$330,9)/1000,0),"")</f>
        <v/>
      </c>
      <c r="K223" s="225"/>
      <c r="L223" s="209"/>
      <c r="M223" s="209"/>
      <c r="N223" s="209"/>
      <c r="O223" s="209"/>
      <c r="P223" s="209"/>
      <c r="Q223" s="209"/>
      <c r="R223" s="263" t="s">
        <v>38</v>
      </c>
      <c r="S223" s="266" t="s">
        <v>71</v>
      </c>
      <c r="T223" s="229"/>
    </row>
    <row r="224" spans="1:20" ht="26.1" hidden="1" customHeight="1">
      <c r="A224" s="208"/>
      <c r="B224" s="211"/>
      <c r="C224" s="211"/>
      <c r="D224" s="212"/>
      <c r="E224" s="210" t="str">
        <f>IFERROR(VLOOKUP($T224,공사현장대장!$A$5:$T$330,4),"")</f>
        <v/>
      </c>
      <c r="F224" s="212"/>
      <c r="G224" s="265"/>
      <c r="H224" s="265"/>
      <c r="I224" s="265"/>
      <c r="J224" s="265" t="str">
        <f>IFERROR(ROUND(VLOOKUP($T224,공사현장대장!$A$5:$T$330,9)/1000,0),"")</f>
        <v/>
      </c>
      <c r="K224" s="225"/>
      <c r="L224" s="209"/>
      <c r="M224" s="209"/>
      <c r="N224" s="209"/>
      <c r="O224" s="209"/>
      <c r="P224" s="209"/>
      <c r="Q224" s="209"/>
      <c r="R224" s="263" t="s">
        <v>38</v>
      </c>
      <c r="S224" s="266" t="s">
        <v>71</v>
      </c>
      <c r="T224" s="229"/>
    </row>
    <row r="225" spans="1:21" ht="26.1" hidden="1" customHeight="1">
      <c r="A225" s="208"/>
      <c r="B225" s="211"/>
      <c r="C225" s="211"/>
      <c r="D225" s="212"/>
      <c r="E225" s="210" t="str">
        <f>IFERROR(VLOOKUP($T225,공사현장대장!$A$5:$T$330,4),"")</f>
        <v/>
      </c>
      <c r="F225" s="212"/>
      <c r="G225" s="265"/>
      <c r="H225" s="265"/>
      <c r="I225" s="265"/>
      <c r="J225" s="265" t="str">
        <f>IFERROR(ROUND(VLOOKUP($T225,공사현장대장!$A$5:$T$330,9)/1000,0),"")</f>
        <v/>
      </c>
      <c r="K225" s="225"/>
      <c r="L225" s="209"/>
      <c r="M225" s="209"/>
      <c r="N225" s="209"/>
      <c r="O225" s="209"/>
      <c r="P225" s="209"/>
      <c r="Q225" s="209"/>
      <c r="R225" s="263" t="s">
        <v>38</v>
      </c>
      <c r="S225" s="266" t="s">
        <v>71</v>
      </c>
      <c r="T225" s="229"/>
    </row>
    <row r="226" spans="1:21" ht="26.1" hidden="1" customHeight="1">
      <c r="A226" s="324" t="s">
        <v>40</v>
      </c>
      <c r="B226" s="325"/>
      <c r="C226" s="325"/>
      <c r="D226" s="325"/>
      <c r="E226" s="326"/>
      <c r="F226" s="226"/>
      <c r="G226" s="267"/>
      <c r="H226" s="267"/>
      <c r="I226" s="267"/>
      <c r="J226" s="267"/>
      <c r="K226" s="227">
        <f t="shared" ref="K226:Q226" si="43">SUM(K222-SUM(K223:K225))</f>
        <v>0</v>
      </c>
      <c r="L226" s="227">
        <f t="shared" si="43"/>
        <v>362600</v>
      </c>
      <c r="M226" s="227">
        <f t="shared" si="43"/>
        <v>0</v>
      </c>
      <c r="N226" s="227">
        <f t="shared" si="43"/>
        <v>0</v>
      </c>
      <c r="O226" s="227">
        <f t="shared" si="43"/>
        <v>0</v>
      </c>
      <c r="P226" s="227">
        <f t="shared" si="43"/>
        <v>0</v>
      </c>
      <c r="Q226" s="227">
        <f t="shared" si="43"/>
        <v>362600</v>
      </c>
      <c r="R226" s="268" t="s">
        <v>38</v>
      </c>
      <c r="S226" s="269" t="s">
        <v>71</v>
      </c>
      <c r="T226" s="230"/>
    </row>
    <row r="227" spans="1:21" ht="26.1" hidden="1" customHeight="1">
      <c r="A227" s="213" t="s">
        <v>29</v>
      </c>
      <c r="B227" s="214" t="s">
        <v>50</v>
      </c>
      <c r="C227" s="214" t="s">
        <v>31</v>
      </c>
      <c r="D227" s="215" t="s">
        <v>158</v>
      </c>
      <c r="E227" s="216" t="s">
        <v>90</v>
      </c>
      <c r="F227" s="215" t="s">
        <v>160</v>
      </c>
      <c r="G227" s="262" t="s">
        <v>46</v>
      </c>
      <c r="H227" s="262" t="s">
        <v>54</v>
      </c>
      <c r="I227" s="262" t="s">
        <v>55</v>
      </c>
      <c r="J227" s="262">
        <f>SUM(J228:J230)</f>
        <v>0</v>
      </c>
      <c r="K227" s="217"/>
      <c r="L227" s="218">
        <v>74900</v>
      </c>
      <c r="M227" s="218"/>
      <c r="N227" s="218"/>
      <c r="O227" s="218"/>
      <c r="P227" s="218"/>
      <c r="Q227" s="218">
        <f>SUM(K227:P227)</f>
        <v>74900</v>
      </c>
      <c r="R227" s="274" t="s">
        <v>87</v>
      </c>
      <c r="S227" s="266" t="s">
        <v>71</v>
      </c>
      <c r="T227" s="229"/>
      <c r="U227" s="241">
        <v>214</v>
      </c>
    </row>
    <row r="228" spans="1:21" ht="26.1" hidden="1" customHeight="1">
      <c r="A228" s="208"/>
      <c r="B228" s="211"/>
      <c r="C228" s="211"/>
      <c r="D228" s="212"/>
      <c r="E228" s="210" t="str">
        <f>IFERROR(VLOOKUP($T228,공사현장대장!$A$5:$T$330,4),"")</f>
        <v/>
      </c>
      <c r="F228" s="212"/>
      <c r="G228" s="265"/>
      <c r="H228" s="265"/>
      <c r="I228" s="265"/>
      <c r="J228" s="265" t="str">
        <f>IFERROR(ROUND(VLOOKUP($T228,공사현장대장!$A$5:$T$330,9)/1000,0),"")</f>
        <v/>
      </c>
      <c r="K228" s="225"/>
      <c r="L228" s="209"/>
      <c r="M228" s="209"/>
      <c r="N228" s="209"/>
      <c r="O228" s="209"/>
      <c r="P228" s="209"/>
      <c r="Q228" s="209"/>
      <c r="R228" s="263" t="s">
        <v>87</v>
      </c>
      <c r="S228" s="266" t="s">
        <v>71</v>
      </c>
      <c r="T228" s="229"/>
    </row>
    <row r="229" spans="1:21" ht="26.1" hidden="1" customHeight="1">
      <c r="A229" s="208"/>
      <c r="B229" s="211"/>
      <c r="C229" s="211"/>
      <c r="D229" s="212"/>
      <c r="E229" s="210" t="str">
        <f>IFERROR(VLOOKUP($T229,공사현장대장!$A$5:$T$330,4),"")</f>
        <v/>
      </c>
      <c r="F229" s="212"/>
      <c r="G229" s="265"/>
      <c r="H229" s="265"/>
      <c r="I229" s="265"/>
      <c r="J229" s="265" t="str">
        <f>IFERROR(ROUND(VLOOKUP($T229,공사현장대장!$A$5:$T$330,9)/1000,0),"")</f>
        <v/>
      </c>
      <c r="K229" s="225"/>
      <c r="L229" s="209"/>
      <c r="M229" s="209"/>
      <c r="N229" s="209"/>
      <c r="O229" s="209"/>
      <c r="P229" s="209"/>
      <c r="Q229" s="209"/>
      <c r="R229" s="263" t="s">
        <v>87</v>
      </c>
      <c r="S229" s="266" t="s">
        <v>71</v>
      </c>
      <c r="T229" s="229"/>
    </row>
    <row r="230" spans="1:21" ht="26.1" hidden="1" customHeight="1">
      <c r="A230" s="208"/>
      <c r="B230" s="211"/>
      <c r="C230" s="211"/>
      <c r="D230" s="212"/>
      <c r="E230" s="210" t="str">
        <f>IFERROR(VLOOKUP($T230,공사현장대장!$A$5:$T$330,4),"")</f>
        <v/>
      </c>
      <c r="F230" s="212"/>
      <c r="G230" s="265"/>
      <c r="H230" s="265"/>
      <c r="I230" s="265"/>
      <c r="J230" s="265" t="str">
        <f>IFERROR(ROUND(VLOOKUP($T230,공사현장대장!$A$5:$T$330,9)/1000,0),"")</f>
        <v/>
      </c>
      <c r="K230" s="225"/>
      <c r="L230" s="209"/>
      <c r="M230" s="209"/>
      <c r="N230" s="209"/>
      <c r="O230" s="209"/>
      <c r="P230" s="209"/>
      <c r="Q230" s="209"/>
      <c r="R230" s="263" t="s">
        <v>87</v>
      </c>
      <c r="S230" s="266" t="s">
        <v>71</v>
      </c>
      <c r="T230" s="229"/>
    </row>
    <row r="231" spans="1:21" ht="26.1" hidden="1" customHeight="1">
      <c r="A231" s="324" t="s">
        <v>40</v>
      </c>
      <c r="B231" s="325"/>
      <c r="C231" s="325"/>
      <c r="D231" s="325"/>
      <c r="E231" s="326"/>
      <c r="F231" s="226"/>
      <c r="G231" s="267"/>
      <c r="H231" s="267"/>
      <c r="I231" s="267"/>
      <c r="J231" s="267"/>
      <c r="K231" s="227">
        <f t="shared" ref="K231:Q231" si="44">SUM(K227-SUM(K228:K230))</f>
        <v>0</v>
      </c>
      <c r="L231" s="227">
        <f t="shared" si="44"/>
        <v>74900</v>
      </c>
      <c r="M231" s="227">
        <f t="shared" si="44"/>
        <v>0</v>
      </c>
      <c r="N231" s="227">
        <f t="shared" si="44"/>
        <v>0</v>
      </c>
      <c r="O231" s="227">
        <f t="shared" si="44"/>
        <v>0</v>
      </c>
      <c r="P231" s="227">
        <f t="shared" si="44"/>
        <v>0</v>
      </c>
      <c r="Q231" s="227">
        <f t="shared" si="44"/>
        <v>74900</v>
      </c>
      <c r="R231" s="268" t="s">
        <v>87</v>
      </c>
      <c r="S231" s="269" t="s">
        <v>71</v>
      </c>
      <c r="T231" s="230"/>
    </row>
    <row r="232" spans="1:21" ht="26.1" hidden="1" customHeight="1">
      <c r="A232" s="213" t="s">
        <v>29</v>
      </c>
      <c r="B232" s="214" t="s">
        <v>50</v>
      </c>
      <c r="C232" s="214" t="s">
        <v>31</v>
      </c>
      <c r="D232" s="215" t="s">
        <v>158</v>
      </c>
      <c r="E232" s="216" t="s">
        <v>142</v>
      </c>
      <c r="F232" s="215" t="s">
        <v>161</v>
      </c>
      <c r="G232" s="262" t="s">
        <v>46</v>
      </c>
      <c r="H232" s="262" t="s">
        <v>54</v>
      </c>
      <c r="I232" s="262" t="s">
        <v>121</v>
      </c>
      <c r="J232" s="262">
        <f>SUM(J233:J235)</f>
        <v>0</v>
      </c>
      <c r="K232" s="217"/>
      <c r="L232" s="218">
        <v>127984</v>
      </c>
      <c r="M232" s="218"/>
      <c r="N232" s="218"/>
      <c r="O232" s="218"/>
      <c r="P232" s="218"/>
      <c r="Q232" s="218">
        <f>SUM(K232:P232)</f>
        <v>127984</v>
      </c>
      <c r="R232" s="263" t="s">
        <v>38</v>
      </c>
      <c r="S232" s="266" t="s">
        <v>71</v>
      </c>
      <c r="T232" s="229"/>
    </row>
    <row r="233" spans="1:21" ht="26.1" hidden="1" customHeight="1">
      <c r="A233" s="208"/>
      <c r="B233" s="211"/>
      <c r="C233" s="211"/>
      <c r="D233" s="212"/>
      <c r="E233" s="210" t="str">
        <f>IFERROR(VLOOKUP($T233,공사현장대장!$A$5:$T$330,4),"")</f>
        <v/>
      </c>
      <c r="F233" s="212"/>
      <c r="G233" s="265"/>
      <c r="H233" s="265"/>
      <c r="I233" s="265"/>
      <c r="J233" s="265" t="str">
        <f>IFERROR(ROUND(VLOOKUP($T233,공사현장대장!$A$5:$T$330,9)/1000,0),"")</f>
        <v/>
      </c>
      <c r="K233" s="225"/>
      <c r="L233" s="209"/>
      <c r="M233" s="209"/>
      <c r="N233" s="209"/>
      <c r="O233" s="209"/>
      <c r="P233" s="209"/>
      <c r="Q233" s="209"/>
      <c r="R233" s="263" t="s">
        <v>38</v>
      </c>
      <c r="S233" s="266" t="s">
        <v>71</v>
      </c>
      <c r="T233" s="229"/>
    </row>
    <row r="234" spans="1:21" ht="26.1" hidden="1" customHeight="1">
      <c r="A234" s="208"/>
      <c r="B234" s="211"/>
      <c r="C234" s="211"/>
      <c r="D234" s="212"/>
      <c r="E234" s="210" t="str">
        <f>IFERROR(VLOOKUP($T234,공사현장대장!$A$5:$T$330,4),"")</f>
        <v/>
      </c>
      <c r="F234" s="212"/>
      <c r="G234" s="265"/>
      <c r="H234" s="265"/>
      <c r="I234" s="265"/>
      <c r="J234" s="265" t="str">
        <f>IFERROR(ROUND(VLOOKUP($T234,공사현장대장!$A$5:$T$330,9)/1000,0),"")</f>
        <v/>
      </c>
      <c r="K234" s="225"/>
      <c r="L234" s="209"/>
      <c r="M234" s="209"/>
      <c r="N234" s="209"/>
      <c r="O234" s="209"/>
      <c r="P234" s="209"/>
      <c r="Q234" s="209"/>
      <c r="R234" s="263" t="s">
        <v>38</v>
      </c>
      <c r="S234" s="266" t="s">
        <v>71</v>
      </c>
      <c r="T234" s="229"/>
    </row>
    <row r="235" spans="1:21" ht="26.1" hidden="1" customHeight="1">
      <c r="A235" s="208"/>
      <c r="B235" s="211"/>
      <c r="C235" s="211"/>
      <c r="D235" s="212"/>
      <c r="E235" s="210" t="str">
        <f>IFERROR(VLOOKUP($T235,공사현장대장!$A$5:$T$330,4),"")</f>
        <v/>
      </c>
      <c r="F235" s="212"/>
      <c r="G235" s="265"/>
      <c r="H235" s="265"/>
      <c r="I235" s="265"/>
      <c r="J235" s="265" t="str">
        <f>IFERROR(ROUND(VLOOKUP($T235,공사현장대장!$A$5:$T$330,9)/1000,0),"")</f>
        <v/>
      </c>
      <c r="K235" s="225"/>
      <c r="L235" s="209"/>
      <c r="M235" s="209"/>
      <c r="N235" s="209"/>
      <c r="O235" s="209"/>
      <c r="P235" s="209"/>
      <c r="Q235" s="209"/>
      <c r="R235" s="263" t="s">
        <v>38</v>
      </c>
      <c r="S235" s="266" t="s">
        <v>71</v>
      </c>
      <c r="T235" s="229"/>
    </row>
    <row r="236" spans="1:21" ht="26.1" hidden="1" customHeight="1">
      <c r="A236" s="324" t="s">
        <v>40</v>
      </c>
      <c r="B236" s="325"/>
      <c r="C236" s="325"/>
      <c r="D236" s="325"/>
      <c r="E236" s="326"/>
      <c r="F236" s="226"/>
      <c r="G236" s="267"/>
      <c r="H236" s="267"/>
      <c r="I236" s="267"/>
      <c r="J236" s="267"/>
      <c r="K236" s="227">
        <f t="shared" ref="K236:Q236" si="45">SUM(K232-SUM(K233:K235))</f>
        <v>0</v>
      </c>
      <c r="L236" s="227">
        <f t="shared" si="45"/>
        <v>127984</v>
      </c>
      <c r="M236" s="227">
        <f t="shared" si="45"/>
        <v>0</v>
      </c>
      <c r="N236" s="227">
        <f t="shared" si="45"/>
        <v>0</v>
      </c>
      <c r="O236" s="227">
        <f t="shared" si="45"/>
        <v>0</v>
      </c>
      <c r="P236" s="227">
        <f t="shared" si="45"/>
        <v>0</v>
      </c>
      <c r="Q236" s="227">
        <f t="shared" si="45"/>
        <v>127984</v>
      </c>
      <c r="R236" s="268" t="s">
        <v>38</v>
      </c>
      <c r="S236" s="269" t="s">
        <v>71</v>
      </c>
      <c r="T236" s="230"/>
    </row>
    <row r="237" spans="1:21" ht="26.1" hidden="1" customHeight="1">
      <c r="A237" s="213" t="s">
        <v>29</v>
      </c>
      <c r="B237" s="214" t="s">
        <v>50</v>
      </c>
      <c r="C237" s="214" t="s">
        <v>31</v>
      </c>
      <c r="D237" s="215" t="s">
        <v>158</v>
      </c>
      <c r="E237" s="216" t="s">
        <v>162</v>
      </c>
      <c r="F237" s="215" t="s">
        <v>163</v>
      </c>
      <c r="G237" s="262" t="s">
        <v>46</v>
      </c>
      <c r="H237" s="262" t="s">
        <v>47</v>
      </c>
      <c r="I237" s="262" t="s">
        <v>48</v>
      </c>
      <c r="J237" s="262">
        <f>SUM(J238:J240)</f>
        <v>0</v>
      </c>
      <c r="K237" s="217"/>
      <c r="L237" s="218"/>
      <c r="M237" s="218"/>
      <c r="N237" s="218"/>
      <c r="O237" s="218"/>
      <c r="P237" s="218">
        <v>9400</v>
      </c>
      <c r="Q237" s="218">
        <f>SUM(K237:P237)</f>
        <v>9400</v>
      </c>
      <c r="R237" s="263" t="s">
        <v>38</v>
      </c>
      <c r="S237" s="266" t="s">
        <v>71</v>
      </c>
      <c r="T237" s="229"/>
    </row>
    <row r="238" spans="1:21" ht="26.1" hidden="1" customHeight="1">
      <c r="A238" s="208"/>
      <c r="B238" s="211"/>
      <c r="C238" s="211"/>
      <c r="D238" s="212"/>
      <c r="E238" s="210" t="str">
        <f>IFERROR(VLOOKUP($T238,공사현장대장!$A$5:$T$330,4),"")</f>
        <v/>
      </c>
      <c r="F238" s="212"/>
      <c r="G238" s="265"/>
      <c r="H238" s="265"/>
      <c r="I238" s="265"/>
      <c r="J238" s="265" t="str">
        <f>IFERROR(ROUND(VLOOKUP($T238,공사현장대장!$A$5:$T$330,9)/1000,0),"")</f>
        <v/>
      </c>
      <c r="K238" s="225"/>
      <c r="L238" s="209"/>
      <c r="M238" s="209"/>
      <c r="N238" s="209"/>
      <c r="O238" s="209"/>
      <c r="P238" s="209"/>
      <c r="Q238" s="209"/>
      <c r="R238" s="263" t="s">
        <v>38</v>
      </c>
      <c r="S238" s="266" t="s">
        <v>71</v>
      </c>
      <c r="T238" s="229"/>
    </row>
    <row r="239" spans="1:21" ht="26.1" hidden="1" customHeight="1">
      <c r="A239" s="208"/>
      <c r="B239" s="211"/>
      <c r="C239" s="211"/>
      <c r="D239" s="212"/>
      <c r="E239" s="210" t="str">
        <f>IFERROR(VLOOKUP($T239,공사현장대장!$A$5:$T$330,4),"")</f>
        <v/>
      </c>
      <c r="F239" s="212"/>
      <c r="G239" s="265"/>
      <c r="H239" s="265"/>
      <c r="I239" s="265"/>
      <c r="J239" s="265" t="str">
        <f>IFERROR(ROUND(VLOOKUP($T239,공사현장대장!$A$5:$T$330,9)/1000,0),"")</f>
        <v/>
      </c>
      <c r="K239" s="225"/>
      <c r="L239" s="209"/>
      <c r="M239" s="209"/>
      <c r="N239" s="209"/>
      <c r="O239" s="209"/>
      <c r="P239" s="209"/>
      <c r="Q239" s="209"/>
      <c r="R239" s="263" t="s">
        <v>38</v>
      </c>
      <c r="S239" s="266" t="s">
        <v>71</v>
      </c>
      <c r="T239" s="229"/>
    </row>
    <row r="240" spans="1:21" ht="26.1" hidden="1" customHeight="1">
      <c r="A240" s="208"/>
      <c r="B240" s="211"/>
      <c r="C240" s="211"/>
      <c r="D240" s="212"/>
      <c r="E240" s="210" t="str">
        <f>IFERROR(VLOOKUP($T240,공사현장대장!$A$5:$T$330,4),"")</f>
        <v/>
      </c>
      <c r="F240" s="212"/>
      <c r="G240" s="265"/>
      <c r="H240" s="265"/>
      <c r="I240" s="265"/>
      <c r="J240" s="265" t="str">
        <f>IFERROR(ROUND(VLOOKUP($T240,공사현장대장!$A$5:$T$330,9)/1000,0),"")</f>
        <v/>
      </c>
      <c r="K240" s="225"/>
      <c r="L240" s="209"/>
      <c r="M240" s="209"/>
      <c r="N240" s="209"/>
      <c r="O240" s="209"/>
      <c r="P240" s="209"/>
      <c r="Q240" s="209"/>
      <c r="R240" s="263" t="s">
        <v>38</v>
      </c>
      <c r="S240" s="266" t="s">
        <v>71</v>
      </c>
      <c r="T240" s="229"/>
    </row>
    <row r="241" spans="1:29" ht="26.1" hidden="1" customHeight="1">
      <c r="A241" s="324" t="s">
        <v>40</v>
      </c>
      <c r="B241" s="325"/>
      <c r="C241" s="325"/>
      <c r="D241" s="325"/>
      <c r="E241" s="326"/>
      <c r="F241" s="226"/>
      <c r="G241" s="267"/>
      <c r="H241" s="267"/>
      <c r="I241" s="267"/>
      <c r="J241" s="267"/>
      <c r="K241" s="227">
        <f t="shared" ref="K241:Q241" si="46">SUM(K237-SUM(K238:K240))</f>
        <v>0</v>
      </c>
      <c r="L241" s="227">
        <f t="shared" si="46"/>
        <v>0</v>
      </c>
      <c r="M241" s="227">
        <f t="shared" si="46"/>
        <v>0</v>
      </c>
      <c r="N241" s="227">
        <f t="shared" si="46"/>
        <v>0</v>
      </c>
      <c r="O241" s="227">
        <f t="shared" si="46"/>
        <v>0</v>
      </c>
      <c r="P241" s="227">
        <f t="shared" si="46"/>
        <v>9400</v>
      </c>
      <c r="Q241" s="227">
        <f t="shared" si="46"/>
        <v>9400</v>
      </c>
      <c r="R241" s="268" t="s">
        <v>38</v>
      </c>
      <c r="S241" s="269" t="s">
        <v>71</v>
      </c>
      <c r="T241" s="230"/>
    </row>
    <row r="242" spans="1:29" ht="26.1" hidden="1" customHeight="1">
      <c r="A242" s="213" t="s">
        <v>29</v>
      </c>
      <c r="B242" s="214" t="s">
        <v>50</v>
      </c>
      <c r="C242" s="214" t="s">
        <v>31</v>
      </c>
      <c r="D242" s="215" t="s">
        <v>158</v>
      </c>
      <c r="E242" s="216" t="s">
        <v>164</v>
      </c>
      <c r="F242" s="215" t="s">
        <v>80</v>
      </c>
      <c r="G242" s="262" t="s">
        <v>46</v>
      </c>
      <c r="H242" s="262" t="s">
        <v>47</v>
      </c>
      <c r="I242" s="262" t="s">
        <v>48</v>
      </c>
      <c r="J242" s="262">
        <f>SUM(J243:J245)</f>
        <v>0</v>
      </c>
      <c r="K242" s="217"/>
      <c r="L242" s="218"/>
      <c r="M242" s="218"/>
      <c r="N242" s="218"/>
      <c r="O242" s="218"/>
      <c r="P242" s="218">
        <v>14680</v>
      </c>
      <c r="Q242" s="218">
        <f>SUM(K242:P242)</f>
        <v>14680</v>
      </c>
      <c r="R242" s="263" t="s">
        <v>38</v>
      </c>
      <c r="S242" s="266" t="s">
        <v>71</v>
      </c>
      <c r="T242" s="229"/>
    </row>
    <row r="243" spans="1:29" ht="26.1" hidden="1" customHeight="1">
      <c r="A243" s="208"/>
      <c r="B243" s="211"/>
      <c r="C243" s="211"/>
      <c r="D243" s="212"/>
      <c r="E243" s="210" t="str">
        <f>IFERROR(VLOOKUP($T243,공사현장대장!$A$5:$T$330,4),"")</f>
        <v/>
      </c>
      <c r="F243" s="212"/>
      <c r="G243" s="265"/>
      <c r="H243" s="265"/>
      <c r="I243" s="265"/>
      <c r="J243" s="265" t="str">
        <f>IFERROR(ROUND(VLOOKUP($T243,공사현장대장!$A$5:$T$330,9)/1000,0),"")</f>
        <v/>
      </c>
      <c r="K243" s="225"/>
      <c r="L243" s="209"/>
      <c r="M243" s="209"/>
      <c r="N243" s="209"/>
      <c r="O243" s="209"/>
      <c r="P243" s="209"/>
      <c r="Q243" s="209"/>
      <c r="R243" s="263" t="s">
        <v>38</v>
      </c>
      <c r="S243" s="266" t="s">
        <v>71</v>
      </c>
      <c r="T243" s="229"/>
    </row>
    <row r="244" spans="1:29" ht="26.1" hidden="1" customHeight="1">
      <c r="A244" s="208"/>
      <c r="B244" s="211"/>
      <c r="C244" s="211"/>
      <c r="D244" s="212"/>
      <c r="E244" s="210" t="str">
        <f>IFERROR(VLOOKUP($T244,공사현장대장!$A$5:$T$330,4),"")</f>
        <v/>
      </c>
      <c r="F244" s="212"/>
      <c r="G244" s="265"/>
      <c r="H244" s="265"/>
      <c r="I244" s="265"/>
      <c r="J244" s="265" t="str">
        <f>IFERROR(ROUND(VLOOKUP($T244,공사현장대장!$A$5:$T$330,9)/1000,0),"")</f>
        <v/>
      </c>
      <c r="K244" s="225"/>
      <c r="L244" s="209"/>
      <c r="M244" s="209"/>
      <c r="N244" s="209"/>
      <c r="O244" s="209"/>
      <c r="P244" s="209"/>
      <c r="Q244" s="209"/>
      <c r="R244" s="263" t="s">
        <v>38</v>
      </c>
      <c r="S244" s="266" t="s">
        <v>71</v>
      </c>
      <c r="T244" s="229"/>
    </row>
    <row r="245" spans="1:29" ht="26.1" hidden="1" customHeight="1">
      <c r="A245" s="208"/>
      <c r="B245" s="211"/>
      <c r="C245" s="211"/>
      <c r="D245" s="212"/>
      <c r="E245" s="210" t="str">
        <f>IFERROR(VLOOKUP($T245,공사현장대장!$A$5:$T$330,4),"")</f>
        <v/>
      </c>
      <c r="F245" s="212"/>
      <c r="G245" s="265"/>
      <c r="H245" s="265"/>
      <c r="I245" s="265"/>
      <c r="J245" s="265" t="str">
        <f>IFERROR(ROUND(VLOOKUP($T245,공사현장대장!$A$5:$T$330,9)/1000,0),"")</f>
        <v/>
      </c>
      <c r="K245" s="225"/>
      <c r="L245" s="209"/>
      <c r="M245" s="209"/>
      <c r="N245" s="209"/>
      <c r="O245" s="209"/>
      <c r="P245" s="209"/>
      <c r="Q245" s="209"/>
      <c r="R245" s="263" t="s">
        <v>38</v>
      </c>
      <c r="S245" s="266" t="s">
        <v>71</v>
      </c>
      <c r="T245" s="229"/>
    </row>
    <row r="246" spans="1:29" ht="26.1" hidden="1" customHeight="1">
      <c r="A246" s="324" t="s">
        <v>40</v>
      </c>
      <c r="B246" s="325"/>
      <c r="C246" s="325"/>
      <c r="D246" s="325"/>
      <c r="E246" s="326"/>
      <c r="F246" s="226"/>
      <c r="G246" s="267"/>
      <c r="H246" s="267"/>
      <c r="I246" s="267"/>
      <c r="J246" s="267"/>
      <c r="K246" s="227">
        <f t="shared" ref="K246:Q246" si="47">SUM(K242-SUM(K243:K245))</f>
        <v>0</v>
      </c>
      <c r="L246" s="227">
        <f t="shared" si="47"/>
        <v>0</v>
      </c>
      <c r="M246" s="227">
        <f t="shared" si="47"/>
        <v>0</v>
      </c>
      <c r="N246" s="227">
        <f t="shared" si="47"/>
        <v>0</v>
      </c>
      <c r="O246" s="227">
        <f t="shared" si="47"/>
        <v>0</v>
      </c>
      <c r="P246" s="227">
        <f t="shared" si="47"/>
        <v>14680</v>
      </c>
      <c r="Q246" s="227">
        <f t="shared" si="47"/>
        <v>14680</v>
      </c>
      <c r="R246" s="268" t="s">
        <v>38</v>
      </c>
      <c r="S246" s="269" t="s">
        <v>71</v>
      </c>
      <c r="T246" s="230"/>
    </row>
    <row r="247" spans="1:29" ht="26.1" hidden="1" customHeight="1">
      <c r="A247" s="213" t="s">
        <v>29</v>
      </c>
      <c r="B247" s="214" t="s">
        <v>50</v>
      </c>
      <c r="C247" s="214" t="s">
        <v>31</v>
      </c>
      <c r="D247" s="215" t="s">
        <v>158</v>
      </c>
      <c r="E247" s="216" t="s">
        <v>44</v>
      </c>
      <c r="F247" s="215" t="s">
        <v>165</v>
      </c>
      <c r="G247" s="262" t="s">
        <v>46</v>
      </c>
      <c r="H247" s="262" t="s">
        <v>47</v>
      </c>
      <c r="I247" s="262" t="s">
        <v>48</v>
      </c>
      <c r="J247" s="262">
        <f>SUM(J248:J250)</f>
        <v>0</v>
      </c>
      <c r="K247" s="217"/>
      <c r="L247" s="218"/>
      <c r="M247" s="218"/>
      <c r="N247" s="218"/>
      <c r="O247" s="218"/>
      <c r="P247" s="218">
        <v>15400</v>
      </c>
      <c r="Q247" s="218">
        <f>SUM(K247:P247)</f>
        <v>15400</v>
      </c>
      <c r="R247" s="263" t="s">
        <v>38</v>
      </c>
      <c r="S247" s="266" t="s">
        <v>71</v>
      </c>
      <c r="T247" s="229"/>
    </row>
    <row r="248" spans="1:29" ht="26.1" hidden="1" customHeight="1">
      <c r="A248" s="208"/>
      <c r="B248" s="211"/>
      <c r="C248" s="211"/>
      <c r="D248" s="212"/>
      <c r="E248" s="210" t="str">
        <f>IFERROR(VLOOKUP($T248,공사현장대장!$A$5:$T$330,4),"")</f>
        <v/>
      </c>
      <c r="F248" s="212"/>
      <c r="G248" s="265"/>
      <c r="H248" s="265"/>
      <c r="I248" s="265"/>
      <c r="J248" s="265" t="str">
        <f>IFERROR(ROUND(VLOOKUP($T248,공사현장대장!$A$5:$T$330,9)/1000,0),"")</f>
        <v/>
      </c>
      <c r="K248" s="225"/>
      <c r="L248" s="209"/>
      <c r="M248" s="209"/>
      <c r="N248" s="209"/>
      <c r="O248" s="209"/>
      <c r="P248" s="209"/>
      <c r="Q248" s="209"/>
      <c r="R248" s="263" t="s">
        <v>38</v>
      </c>
      <c r="S248" s="266" t="s">
        <v>71</v>
      </c>
      <c r="T248" s="229"/>
    </row>
    <row r="249" spans="1:29" ht="26.1" hidden="1" customHeight="1">
      <c r="A249" s="208"/>
      <c r="B249" s="211"/>
      <c r="C249" s="211"/>
      <c r="D249" s="212"/>
      <c r="E249" s="210" t="str">
        <f>IFERROR(VLOOKUP($T249,공사현장대장!$A$5:$T$330,4),"")</f>
        <v/>
      </c>
      <c r="F249" s="212"/>
      <c r="G249" s="265"/>
      <c r="H249" s="265"/>
      <c r="I249" s="265"/>
      <c r="J249" s="265" t="str">
        <f>IFERROR(ROUND(VLOOKUP($T249,공사현장대장!$A$5:$T$330,9)/1000,0),"")</f>
        <v/>
      </c>
      <c r="K249" s="225"/>
      <c r="L249" s="209"/>
      <c r="M249" s="209"/>
      <c r="N249" s="209"/>
      <c r="O249" s="209"/>
      <c r="P249" s="209"/>
      <c r="Q249" s="209"/>
      <c r="R249" s="263" t="s">
        <v>38</v>
      </c>
      <c r="S249" s="266" t="s">
        <v>71</v>
      </c>
      <c r="T249" s="229"/>
    </row>
    <row r="250" spans="1:29" ht="26.1" hidden="1" customHeight="1">
      <c r="A250" s="208"/>
      <c r="B250" s="211"/>
      <c r="C250" s="211"/>
      <c r="D250" s="212"/>
      <c r="E250" s="210" t="str">
        <f>IFERROR(VLOOKUP($T250,공사현장대장!$A$5:$T$330,4),"")</f>
        <v/>
      </c>
      <c r="F250" s="212"/>
      <c r="G250" s="265"/>
      <c r="H250" s="265"/>
      <c r="I250" s="265"/>
      <c r="J250" s="265" t="str">
        <f>IFERROR(ROUND(VLOOKUP($T250,공사현장대장!$A$5:$T$330,9)/1000,0),"")</f>
        <v/>
      </c>
      <c r="K250" s="225"/>
      <c r="L250" s="209"/>
      <c r="M250" s="209"/>
      <c r="N250" s="209"/>
      <c r="O250" s="209"/>
      <c r="P250" s="209"/>
      <c r="Q250" s="209"/>
      <c r="R250" s="263" t="s">
        <v>38</v>
      </c>
      <c r="S250" s="266" t="s">
        <v>71</v>
      </c>
      <c r="T250" s="229"/>
    </row>
    <row r="251" spans="1:29" ht="26.1" hidden="1" customHeight="1">
      <c r="A251" s="324" t="s">
        <v>40</v>
      </c>
      <c r="B251" s="325"/>
      <c r="C251" s="325"/>
      <c r="D251" s="325"/>
      <c r="E251" s="326"/>
      <c r="F251" s="226"/>
      <c r="G251" s="267"/>
      <c r="H251" s="267"/>
      <c r="I251" s="267"/>
      <c r="J251" s="267"/>
      <c r="K251" s="227">
        <f t="shared" ref="K251:Q251" si="48">SUM(K247-SUM(K248:K250))</f>
        <v>0</v>
      </c>
      <c r="L251" s="227">
        <f t="shared" si="48"/>
        <v>0</v>
      </c>
      <c r="M251" s="227">
        <f t="shared" si="48"/>
        <v>0</v>
      </c>
      <c r="N251" s="227">
        <f t="shared" si="48"/>
        <v>0</v>
      </c>
      <c r="O251" s="227">
        <f t="shared" si="48"/>
        <v>0</v>
      </c>
      <c r="P251" s="227">
        <f t="shared" si="48"/>
        <v>15400</v>
      </c>
      <c r="Q251" s="227">
        <f t="shared" si="48"/>
        <v>15400</v>
      </c>
      <c r="R251" s="268" t="s">
        <v>38</v>
      </c>
      <c r="S251" s="269" t="s">
        <v>71</v>
      </c>
      <c r="T251" s="230"/>
    </row>
    <row r="252" spans="1:29" ht="26.1" hidden="1" customHeight="1">
      <c r="A252" s="213" t="s">
        <v>29</v>
      </c>
      <c r="B252" s="214" t="s">
        <v>50</v>
      </c>
      <c r="C252" s="214" t="s">
        <v>31</v>
      </c>
      <c r="D252" s="215" t="s">
        <v>158</v>
      </c>
      <c r="E252" s="216" t="s">
        <v>166</v>
      </c>
      <c r="F252" s="215" t="s">
        <v>167</v>
      </c>
      <c r="G252" s="262" t="s">
        <v>46</v>
      </c>
      <c r="H252" s="262" t="s">
        <v>54</v>
      </c>
      <c r="I252" s="262" t="s">
        <v>168</v>
      </c>
      <c r="J252" s="262">
        <f>SUM(J253:J255)</f>
        <v>0</v>
      </c>
      <c r="K252" s="217"/>
      <c r="L252" s="218">
        <v>478765</v>
      </c>
      <c r="M252" s="218"/>
      <c r="N252" s="218"/>
      <c r="O252" s="218"/>
      <c r="P252" s="218"/>
      <c r="Q252" s="218">
        <f>SUM(K252:P252)</f>
        <v>478765</v>
      </c>
      <c r="R252" s="270" t="s">
        <v>41</v>
      </c>
      <c r="S252" s="266" t="s">
        <v>71</v>
      </c>
      <c r="T252" s="229"/>
      <c r="V252" s="241" t="str">
        <f>B252</f>
        <v>초</v>
      </c>
      <c r="W252" s="241" t="str">
        <f>C252</f>
        <v>공립</v>
      </c>
      <c r="X252" s="241" t="str">
        <f>D252</f>
        <v>두촌초</v>
      </c>
      <c r="Y252" s="241" t="str">
        <f>E252</f>
        <v xml:space="preserve"> 교사동 창호교체</v>
      </c>
      <c r="Z252" s="241" t="str">
        <f>F252</f>
        <v>23.5실</v>
      </c>
      <c r="AA252" s="244">
        <f>Q252</f>
        <v>478765</v>
      </c>
      <c r="AB252" s="271" t="str">
        <f>R252</f>
        <v>1회추경</v>
      </c>
      <c r="AC252" s="241">
        <v>420</v>
      </c>
    </row>
    <row r="253" spans="1:29" ht="26.1" hidden="1" customHeight="1">
      <c r="A253" s="208"/>
      <c r="B253" s="211"/>
      <c r="C253" s="211"/>
      <c r="D253" s="212"/>
      <c r="E253" s="210" t="str">
        <f>IFERROR(VLOOKUP($T253,공사현장대장!$A$5:$T$330,4),"")</f>
        <v/>
      </c>
      <c r="F253" s="212"/>
      <c r="G253" s="265"/>
      <c r="H253" s="265"/>
      <c r="I253" s="265"/>
      <c r="J253" s="265" t="str">
        <f>IFERROR(ROUND(VLOOKUP($T253,공사현장대장!$A$5:$T$330,9)/1000,0),"")</f>
        <v/>
      </c>
      <c r="K253" s="225"/>
      <c r="L253" s="209"/>
      <c r="M253" s="209"/>
      <c r="N253" s="209"/>
      <c r="O253" s="209"/>
      <c r="P253" s="209"/>
      <c r="Q253" s="209"/>
      <c r="R253" s="263" t="s">
        <v>41</v>
      </c>
      <c r="S253" s="266" t="s">
        <v>71</v>
      </c>
      <c r="T253" s="229"/>
      <c r="AA253" s="244"/>
      <c r="AB253" s="271"/>
    </row>
    <row r="254" spans="1:29" ht="26.1" hidden="1" customHeight="1">
      <c r="A254" s="208"/>
      <c r="B254" s="211"/>
      <c r="C254" s="211"/>
      <c r="D254" s="212"/>
      <c r="E254" s="210" t="str">
        <f>IFERROR(VLOOKUP($T254,공사현장대장!$A$5:$T$330,4),"")</f>
        <v/>
      </c>
      <c r="F254" s="212"/>
      <c r="G254" s="265"/>
      <c r="H254" s="265"/>
      <c r="I254" s="265"/>
      <c r="J254" s="265" t="str">
        <f>IFERROR(ROUND(VLOOKUP($T254,공사현장대장!$A$5:$T$330,9)/1000,0),"")</f>
        <v/>
      </c>
      <c r="K254" s="225"/>
      <c r="L254" s="209"/>
      <c r="M254" s="209"/>
      <c r="N254" s="209"/>
      <c r="O254" s="209"/>
      <c r="P254" s="209"/>
      <c r="Q254" s="209"/>
      <c r="R254" s="263" t="s">
        <v>41</v>
      </c>
      <c r="S254" s="266" t="s">
        <v>71</v>
      </c>
      <c r="T254" s="229"/>
      <c r="AA254" s="244"/>
      <c r="AB254" s="271"/>
    </row>
    <row r="255" spans="1:29" ht="26.1" hidden="1" customHeight="1">
      <c r="A255" s="208"/>
      <c r="B255" s="211"/>
      <c r="C255" s="211"/>
      <c r="D255" s="212"/>
      <c r="E255" s="210" t="str">
        <f>IFERROR(VLOOKUP($T255,공사현장대장!$A$5:$T$330,4),"")</f>
        <v/>
      </c>
      <c r="F255" s="212"/>
      <c r="G255" s="265"/>
      <c r="H255" s="265"/>
      <c r="I255" s="265"/>
      <c r="J255" s="265" t="str">
        <f>IFERROR(ROUND(VLOOKUP($T255,공사현장대장!$A$5:$T$330,9)/1000,0),"")</f>
        <v/>
      </c>
      <c r="K255" s="225"/>
      <c r="L255" s="209"/>
      <c r="M255" s="209"/>
      <c r="N255" s="209"/>
      <c r="O255" s="209"/>
      <c r="P255" s="209"/>
      <c r="Q255" s="209"/>
      <c r="R255" s="263" t="s">
        <v>41</v>
      </c>
      <c r="S255" s="266" t="s">
        <v>71</v>
      </c>
      <c r="T255" s="229"/>
      <c r="AA255" s="244"/>
      <c r="AB255" s="271"/>
    </row>
    <row r="256" spans="1:29" ht="26.1" hidden="1" customHeight="1">
      <c r="A256" s="324" t="s">
        <v>40</v>
      </c>
      <c r="B256" s="325"/>
      <c r="C256" s="325"/>
      <c r="D256" s="325"/>
      <c r="E256" s="326"/>
      <c r="F256" s="226"/>
      <c r="G256" s="267"/>
      <c r="H256" s="267"/>
      <c r="I256" s="267"/>
      <c r="J256" s="267"/>
      <c r="K256" s="227">
        <f t="shared" ref="K256:Q256" si="49">SUM(K252-SUM(K253:K255))</f>
        <v>0</v>
      </c>
      <c r="L256" s="227">
        <f t="shared" si="49"/>
        <v>478765</v>
      </c>
      <c r="M256" s="227">
        <f t="shared" si="49"/>
        <v>0</v>
      </c>
      <c r="N256" s="227">
        <f t="shared" si="49"/>
        <v>0</v>
      </c>
      <c r="O256" s="227">
        <f t="shared" si="49"/>
        <v>0</v>
      </c>
      <c r="P256" s="227">
        <f t="shared" si="49"/>
        <v>0</v>
      </c>
      <c r="Q256" s="227">
        <f t="shared" si="49"/>
        <v>478765</v>
      </c>
      <c r="R256" s="268" t="s">
        <v>41</v>
      </c>
      <c r="S256" s="269" t="s">
        <v>71</v>
      </c>
      <c r="T256" s="230"/>
      <c r="AA256" s="244"/>
      <c r="AB256" s="271"/>
    </row>
    <row r="257" spans="1:20" ht="26.1" hidden="1" customHeight="1">
      <c r="A257" s="213" t="s">
        <v>29</v>
      </c>
      <c r="B257" s="214" t="s">
        <v>50</v>
      </c>
      <c r="C257" s="214" t="s">
        <v>31</v>
      </c>
      <c r="D257" s="215" t="s">
        <v>158</v>
      </c>
      <c r="E257" s="216" t="s">
        <v>169</v>
      </c>
      <c r="F257" s="215" t="s">
        <v>170</v>
      </c>
      <c r="G257" s="262" t="s">
        <v>46</v>
      </c>
      <c r="H257" s="262" t="s">
        <v>107</v>
      </c>
      <c r="I257" s="262" t="s">
        <v>171</v>
      </c>
      <c r="J257" s="262">
        <f>SUM(J258:J260)</f>
        <v>0</v>
      </c>
      <c r="K257" s="217">
        <v>0</v>
      </c>
      <c r="L257" s="218">
        <v>420484</v>
      </c>
      <c r="M257" s="218">
        <v>25229</v>
      </c>
      <c r="N257" s="218"/>
      <c r="O257" s="218"/>
      <c r="P257" s="218"/>
      <c r="Q257" s="218">
        <f>SUM(K257:P257)</f>
        <v>445713</v>
      </c>
      <c r="R257" s="263" t="s">
        <v>76</v>
      </c>
      <c r="S257" s="266" t="s">
        <v>71</v>
      </c>
      <c r="T257" s="229"/>
    </row>
    <row r="258" spans="1:20" ht="26.1" hidden="1" customHeight="1">
      <c r="A258" s="208"/>
      <c r="B258" s="211"/>
      <c r="C258" s="211"/>
      <c r="D258" s="212"/>
      <c r="E258" s="210" t="str">
        <f>IFERROR(VLOOKUP($T258,공사현장대장!$A$5:$T$330,4),"")</f>
        <v/>
      </c>
      <c r="F258" s="212"/>
      <c r="G258" s="265"/>
      <c r="H258" s="265"/>
      <c r="I258" s="265"/>
      <c r="J258" s="265" t="str">
        <f>IFERROR(ROUND(VLOOKUP($T258,공사현장대장!$A$5:$T$330,9)/1000,0),"")</f>
        <v/>
      </c>
      <c r="K258" s="225"/>
      <c r="L258" s="209"/>
      <c r="M258" s="209"/>
      <c r="N258" s="209"/>
      <c r="O258" s="209"/>
      <c r="P258" s="209"/>
      <c r="Q258" s="209"/>
      <c r="R258" s="263" t="s">
        <v>76</v>
      </c>
      <c r="S258" s="266" t="s">
        <v>71</v>
      </c>
      <c r="T258" s="229"/>
    </row>
    <row r="259" spans="1:20" ht="26.1" hidden="1" customHeight="1">
      <c r="A259" s="208"/>
      <c r="B259" s="211"/>
      <c r="C259" s="211"/>
      <c r="D259" s="212"/>
      <c r="E259" s="210" t="str">
        <f>IFERROR(VLOOKUP($T259,공사현장대장!$A$5:$T$330,4),"")</f>
        <v/>
      </c>
      <c r="F259" s="212"/>
      <c r="G259" s="265"/>
      <c r="H259" s="265"/>
      <c r="I259" s="265"/>
      <c r="J259" s="265" t="str">
        <f>IFERROR(ROUND(VLOOKUP($T259,공사현장대장!$A$5:$T$330,9)/1000,0),"")</f>
        <v/>
      </c>
      <c r="K259" s="225"/>
      <c r="L259" s="209"/>
      <c r="M259" s="209"/>
      <c r="N259" s="209"/>
      <c r="O259" s="209"/>
      <c r="P259" s="209"/>
      <c r="Q259" s="209"/>
      <c r="R259" s="263" t="s">
        <v>76</v>
      </c>
      <c r="S259" s="266" t="s">
        <v>71</v>
      </c>
      <c r="T259" s="229"/>
    </row>
    <row r="260" spans="1:20" ht="26.1" hidden="1" customHeight="1">
      <c r="A260" s="208"/>
      <c r="B260" s="211"/>
      <c r="C260" s="211"/>
      <c r="D260" s="212"/>
      <c r="E260" s="210" t="str">
        <f>IFERROR(VLOOKUP($T260,공사현장대장!$A$5:$T$330,4),"")</f>
        <v/>
      </c>
      <c r="F260" s="212"/>
      <c r="G260" s="265"/>
      <c r="H260" s="265"/>
      <c r="I260" s="265"/>
      <c r="J260" s="265" t="str">
        <f>IFERROR(ROUND(VLOOKUP($T260,공사현장대장!$A$5:$T$330,9)/1000,0),"")</f>
        <v/>
      </c>
      <c r="K260" s="225"/>
      <c r="L260" s="209"/>
      <c r="M260" s="209"/>
      <c r="N260" s="209"/>
      <c r="O260" s="209"/>
      <c r="P260" s="209"/>
      <c r="Q260" s="209"/>
      <c r="R260" s="263" t="s">
        <v>76</v>
      </c>
      <c r="S260" s="266" t="s">
        <v>71</v>
      </c>
      <c r="T260" s="229"/>
    </row>
    <row r="261" spans="1:20" ht="26.1" hidden="1" customHeight="1">
      <c r="A261" s="324" t="s">
        <v>40</v>
      </c>
      <c r="B261" s="325"/>
      <c r="C261" s="325"/>
      <c r="D261" s="325"/>
      <c r="E261" s="326"/>
      <c r="F261" s="226"/>
      <c r="G261" s="267"/>
      <c r="H261" s="267"/>
      <c r="I261" s="267"/>
      <c r="J261" s="267"/>
      <c r="K261" s="227">
        <f t="shared" ref="K261:Q261" si="50">SUM(K257-SUM(K258:K260))</f>
        <v>0</v>
      </c>
      <c r="L261" s="227">
        <f t="shared" si="50"/>
        <v>420484</v>
      </c>
      <c r="M261" s="227">
        <f t="shared" si="50"/>
        <v>25229</v>
      </c>
      <c r="N261" s="227">
        <f t="shared" si="50"/>
        <v>0</v>
      </c>
      <c r="O261" s="227">
        <f t="shared" si="50"/>
        <v>0</v>
      </c>
      <c r="P261" s="227">
        <f t="shared" si="50"/>
        <v>0</v>
      </c>
      <c r="Q261" s="227">
        <f t="shared" si="50"/>
        <v>445713</v>
      </c>
      <c r="R261" s="268" t="s">
        <v>76</v>
      </c>
      <c r="S261" s="269" t="s">
        <v>71</v>
      </c>
      <c r="T261" s="230"/>
    </row>
    <row r="262" spans="1:20" ht="26.1" hidden="1" customHeight="1">
      <c r="A262" s="213" t="s">
        <v>29</v>
      </c>
      <c r="B262" s="214" t="s">
        <v>50</v>
      </c>
      <c r="C262" s="214" t="s">
        <v>31</v>
      </c>
      <c r="D262" s="215" t="s">
        <v>172</v>
      </c>
      <c r="E262" s="216" t="s">
        <v>162</v>
      </c>
      <c r="F262" s="215" t="s">
        <v>173</v>
      </c>
      <c r="G262" s="262" t="s">
        <v>46</v>
      </c>
      <c r="H262" s="262" t="s">
        <v>47</v>
      </c>
      <c r="I262" s="262" t="s">
        <v>48</v>
      </c>
      <c r="J262" s="262">
        <f>SUM(J263:J265)</f>
        <v>0</v>
      </c>
      <c r="K262" s="217"/>
      <c r="L262" s="218"/>
      <c r="M262" s="218"/>
      <c r="N262" s="218"/>
      <c r="O262" s="218"/>
      <c r="P262" s="218">
        <v>4101</v>
      </c>
      <c r="Q262" s="218">
        <f>SUM(K262:P262)</f>
        <v>4101</v>
      </c>
      <c r="R262" s="263" t="s">
        <v>38</v>
      </c>
      <c r="S262" s="266" t="s">
        <v>115</v>
      </c>
      <c r="T262" s="229"/>
    </row>
    <row r="263" spans="1:20" ht="26.1" hidden="1" customHeight="1">
      <c r="A263" s="208"/>
      <c r="B263" s="211"/>
      <c r="C263" s="211"/>
      <c r="D263" s="212"/>
      <c r="E263" s="210" t="str">
        <f>IFERROR(VLOOKUP($T263,공사현장대장!$A$5:$T$330,4),"")</f>
        <v/>
      </c>
      <c r="F263" s="212"/>
      <c r="G263" s="265"/>
      <c r="H263" s="265"/>
      <c r="I263" s="265"/>
      <c r="J263" s="265" t="str">
        <f>IFERROR(ROUND(VLOOKUP($T263,공사현장대장!$A$5:$T$330,9)/1000,0),"")</f>
        <v/>
      </c>
      <c r="K263" s="225"/>
      <c r="L263" s="209"/>
      <c r="M263" s="209"/>
      <c r="N263" s="209"/>
      <c r="O263" s="209"/>
      <c r="P263" s="209"/>
      <c r="Q263" s="209"/>
      <c r="R263" s="263" t="s">
        <v>38</v>
      </c>
      <c r="S263" s="266" t="s">
        <v>115</v>
      </c>
      <c r="T263" s="229"/>
    </row>
    <row r="264" spans="1:20" ht="26.1" hidden="1" customHeight="1">
      <c r="A264" s="208"/>
      <c r="B264" s="211"/>
      <c r="C264" s="211"/>
      <c r="D264" s="212"/>
      <c r="E264" s="210" t="str">
        <f>IFERROR(VLOOKUP($T264,공사현장대장!$A$5:$T$330,4),"")</f>
        <v/>
      </c>
      <c r="F264" s="212"/>
      <c r="G264" s="265"/>
      <c r="H264" s="265"/>
      <c r="I264" s="265"/>
      <c r="J264" s="265" t="str">
        <f>IFERROR(ROUND(VLOOKUP($T264,공사현장대장!$A$5:$T$330,9)/1000,0),"")</f>
        <v/>
      </c>
      <c r="K264" s="225"/>
      <c r="L264" s="209"/>
      <c r="M264" s="209"/>
      <c r="N264" s="209"/>
      <c r="O264" s="209"/>
      <c r="P264" s="209"/>
      <c r="Q264" s="209"/>
      <c r="R264" s="263" t="s">
        <v>38</v>
      </c>
      <c r="S264" s="266" t="s">
        <v>115</v>
      </c>
      <c r="T264" s="229"/>
    </row>
    <row r="265" spans="1:20" ht="26.1" hidden="1" customHeight="1">
      <c r="A265" s="208"/>
      <c r="B265" s="211"/>
      <c r="C265" s="211"/>
      <c r="D265" s="212"/>
      <c r="E265" s="210" t="str">
        <f>IFERROR(VLOOKUP($T265,공사현장대장!$A$5:$T$330,4),"")</f>
        <v/>
      </c>
      <c r="F265" s="212"/>
      <c r="G265" s="265"/>
      <c r="H265" s="265"/>
      <c r="I265" s="265"/>
      <c r="J265" s="265" t="str">
        <f>IFERROR(ROUND(VLOOKUP($T265,공사현장대장!$A$5:$T$330,9)/1000,0),"")</f>
        <v/>
      </c>
      <c r="K265" s="225"/>
      <c r="L265" s="209"/>
      <c r="M265" s="209"/>
      <c r="N265" s="209"/>
      <c r="O265" s="209"/>
      <c r="P265" s="209"/>
      <c r="Q265" s="209"/>
      <c r="R265" s="263" t="s">
        <v>38</v>
      </c>
      <c r="S265" s="266" t="s">
        <v>115</v>
      </c>
      <c r="T265" s="229"/>
    </row>
    <row r="266" spans="1:20" ht="26.1" hidden="1" customHeight="1">
      <c r="A266" s="324" t="s">
        <v>40</v>
      </c>
      <c r="B266" s="325"/>
      <c r="C266" s="325"/>
      <c r="D266" s="325"/>
      <c r="E266" s="326"/>
      <c r="F266" s="226"/>
      <c r="G266" s="267"/>
      <c r="H266" s="267"/>
      <c r="I266" s="267"/>
      <c r="J266" s="267"/>
      <c r="K266" s="227">
        <f t="shared" ref="K266:Q266" si="51">SUM(K262-SUM(K263:K265))</f>
        <v>0</v>
      </c>
      <c r="L266" s="227">
        <f t="shared" si="51"/>
        <v>0</v>
      </c>
      <c r="M266" s="227">
        <f t="shared" si="51"/>
        <v>0</v>
      </c>
      <c r="N266" s="227">
        <f t="shared" si="51"/>
        <v>0</v>
      </c>
      <c r="O266" s="227">
        <f t="shared" si="51"/>
        <v>0</v>
      </c>
      <c r="P266" s="227">
        <f t="shared" si="51"/>
        <v>4101</v>
      </c>
      <c r="Q266" s="227">
        <f t="shared" si="51"/>
        <v>4101</v>
      </c>
      <c r="R266" s="268" t="s">
        <v>38</v>
      </c>
      <c r="S266" s="269" t="s">
        <v>115</v>
      </c>
      <c r="T266" s="230"/>
    </row>
    <row r="267" spans="1:20" ht="26.1" hidden="1" customHeight="1">
      <c r="A267" s="213" t="s">
        <v>29</v>
      </c>
      <c r="B267" s="214" t="s">
        <v>50</v>
      </c>
      <c r="C267" s="214" t="s">
        <v>31</v>
      </c>
      <c r="D267" s="215" t="s">
        <v>172</v>
      </c>
      <c r="E267" s="216" t="s">
        <v>174</v>
      </c>
      <c r="F267" s="215" t="s">
        <v>175</v>
      </c>
      <c r="G267" s="262" t="s">
        <v>46</v>
      </c>
      <c r="H267" s="262" t="s">
        <v>47</v>
      </c>
      <c r="I267" s="262" t="s">
        <v>48</v>
      </c>
      <c r="J267" s="262">
        <f>SUM(J268:J270)</f>
        <v>0</v>
      </c>
      <c r="K267" s="217"/>
      <c r="L267" s="218"/>
      <c r="M267" s="218"/>
      <c r="N267" s="218"/>
      <c r="O267" s="218"/>
      <c r="P267" s="218">
        <v>4140</v>
      </c>
      <c r="Q267" s="218">
        <f>SUM(K267:P267)</f>
        <v>4140</v>
      </c>
      <c r="R267" s="263" t="s">
        <v>38</v>
      </c>
      <c r="S267" s="266" t="s">
        <v>115</v>
      </c>
      <c r="T267" s="229"/>
    </row>
    <row r="268" spans="1:20" ht="26.1" hidden="1" customHeight="1">
      <c r="A268" s="208"/>
      <c r="B268" s="211"/>
      <c r="C268" s="211"/>
      <c r="D268" s="212"/>
      <c r="E268" s="210" t="str">
        <f>IFERROR(VLOOKUP($T268,공사현장대장!$A$5:$T$330,4),"")</f>
        <v/>
      </c>
      <c r="F268" s="212"/>
      <c r="G268" s="265"/>
      <c r="H268" s="265"/>
      <c r="I268" s="265"/>
      <c r="J268" s="265" t="str">
        <f>IFERROR(ROUND(VLOOKUP($T268,공사현장대장!$A$5:$T$330,9)/1000,0),"")</f>
        <v/>
      </c>
      <c r="K268" s="225"/>
      <c r="L268" s="209"/>
      <c r="M268" s="209"/>
      <c r="N268" s="209"/>
      <c r="O268" s="209"/>
      <c r="P268" s="209"/>
      <c r="Q268" s="209"/>
      <c r="R268" s="263" t="s">
        <v>38</v>
      </c>
      <c r="S268" s="266" t="s">
        <v>115</v>
      </c>
      <c r="T268" s="229"/>
    </row>
    <row r="269" spans="1:20" ht="26.1" hidden="1" customHeight="1">
      <c r="A269" s="208"/>
      <c r="B269" s="211"/>
      <c r="C269" s="211"/>
      <c r="D269" s="212"/>
      <c r="E269" s="210" t="str">
        <f>IFERROR(VLOOKUP($T269,공사현장대장!$A$5:$T$330,4),"")</f>
        <v/>
      </c>
      <c r="F269" s="212"/>
      <c r="G269" s="265"/>
      <c r="H269" s="265"/>
      <c r="I269" s="265"/>
      <c r="J269" s="265" t="str">
        <f>IFERROR(ROUND(VLOOKUP($T269,공사현장대장!$A$5:$T$330,9)/1000,0),"")</f>
        <v/>
      </c>
      <c r="K269" s="225"/>
      <c r="L269" s="209"/>
      <c r="M269" s="209"/>
      <c r="N269" s="209"/>
      <c r="O269" s="209"/>
      <c r="P269" s="209"/>
      <c r="Q269" s="209"/>
      <c r="R269" s="263" t="s">
        <v>38</v>
      </c>
      <c r="S269" s="266" t="s">
        <v>115</v>
      </c>
      <c r="T269" s="229"/>
    </row>
    <row r="270" spans="1:20" ht="26.1" hidden="1" customHeight="1">
      <c r="A270" s="208"/>
      <c r="B270" s="211"/>
      <c r="C270" s="211"/>
      <c r="D270" s="212"/>
      <c r="E270" s="210" t="str">
        <f>IFERROR(VLOOKUP($T270,공사현장대장!$A$5:$T$330,4),"")</f>
        <v/>
      </c>
      <c r="F270" s="212"/>
      <c r="G270" s="265"/>
      <c r="H270" s="265"/>
      <c r="I270" s="265"/>
      <c r="J270" s="265" t="str">
        <f>IFERROR(ROUND(VLOOKUP($T270,공사현장대장!$A$5:$T$330,9)/1000,0),"")</f>
        <v/>
      </c>
      <c r="K270" s="225"/>
      <c r="L270" s="209"/>
      <c r="M270" s="209"/>
      <c r="N270" s="209"/>
      <c r="O270" s="209"/>
      <c r="P270" s="209"/>
      <c r="Q270" s="209"/>
      <c r="R270" s="263" t="s">
        <v>38</v>
      </c>
      <c r="S270" s="266" t="s">
        <v>115</v>
      </c>
      <c r="T270" s="229"/>
    </row>
    <row r="271" spans="1:20" ht="26.1" hidden="1" customHeight="1">
      <c r="A271" s="324" t="s">
        <v>40</v>
      </c>
      <c r="B271" s="325"/>
      <c r="C271" s="325"/>
      <c r="D271" s="325"/>
      <c r="E271" s="326"/>
      <c r="F271" s="226"/>
      <c r="G271" s="267"/>
      <c r="H271" s="267"/>
      <c r="I271" s="267"/>
      <c r="J271" s="267"/>
      <c r="K271" s="227">
        <f t="shared" ref="K271:Q271" si="52">SUM(K267-SUM(K268:K270))</f>
        <v>0</v>
      </c>
      <c r="L271" s="227">
        <f t="shared" si="52"/>
        <v>0</v>
      </c>
      <c r="M271" s="227">
        <f t="shared" si="52"/>
        <v>0</v>
      </c>
      <c r="N271" s="227">
        <f t="shared" si="52"/>
        <v>0</v>
      </c>
      <c r="O271" s="227">
        <f t="shared" si="52"/>
        <v>0</v>
      </c>
      <c r="P271" s="227">
        <f t="shared" si="52"/>
        <v>4140</v>
      </c>
      <c r="Q271" s="227">
        <f t="shared" si="52"/>
        <v>4140</v>
      </c>
      <c r="R271" s="268" t="s">
        <v>38</v>
      </c>
      <c r="S271" s="269" t="s">
        <v>115</v>
      </c>
      <c r="T271" s="230"/>
    </row>
    <row r="272" spans="1:20" ht="26.1" hidden="1" customHeight="1">
      <c r="A272" s="213" t="s">
        <v>29</v>
      </c>
      <c r="B272" s="214" t="s">
        <v>50</v>
      </c>
      <c r="C272" s="214" t="s">
        <v>31</v>
      </c>
      <c r="D272" s="215" t="s">
        <v>172</v>
      </c>
      <c r="E272" s="216" t="s">
        <v>176</v>
      </c>
      <c r="F272" s="215" t="s">
        <v>177</v>
      </c>
      <c r="G272" s="262" t="s">
        <v>46</v>
      </c>
      <c r="H272" s="262" t="s">
        <v>47</v>
      </c>
      <c r="I272" s="262" t="s">
        <v>48</v>
      </c>
      <c r="J272" s="262">
        <f>SUM(J273:J275)</f>
        <v>0</v>
      </c>
      <c r="K272" s="217"/>
      <c r="L272" s="218"/>
      <c r="M272" s="218"/>
      <c r="N272" s="218"/>
      <c r="O272" s="218"/>
      <c r="P272" s="218">
        <v>25119</v>
      </c>
      <c r="Q272" s="218">
        <f>SUM(K272:P272)</f>
        <v>25119</v>
      </c>
      <c r="R272" s="263" t="s">
        <v>38</v>
      </c>
      <c r="S272" s="266" t="s">
        <v>115</v>
      </c>
      <c r="T272" s="229"/>
    </row>
    <row r="273" spans="1:21" ht="26.1" hidden="1" customHeight="1">
      <c r="A273" s="208"/>
      <c r="B273" s="211"/>
      <c r="C273" s="211"/>
      <c r="D273" s="212"/>
      <c r="E273" s="210" t="str">
        <f>IFERROR(VLOOKUP($T273,공사현장대장!$A$5:$T$330,4),"")</f>
        <v/>
      </c>
      <c r="F273" s="212"/>
      <c r="G273" s="265"/>
      <c r="H273" s="265"/>
      <c r="I273" s="265"/>
      <c r="J273" s="265" t="str">
        <f>IFERROR(ROUND(VLOOKUP($T273,공사현장대장!$A$5:$T$330,9)/1000,0),"")</f>
        <v/>
      </c>
      <c r="K273" s="225"/>
      <c r="L273" s="209"/>
      <c r="M273" s="209"/>
      <c r="N273" s="209"/>
      <c r="O273" s="209"/>
      <c r="P273" s="209"/>
      <c r="Q273" s="209"/>
      <c r="R273" s="263" t="s">
        <v>38</v>
      </c>
      <c r="S273" s="266" t="s">
        <v>115</v>
      </c>
      <c r="T273" s="229"/>
    </row>
    <row r="274" spans="1:21" ht="26.1" hidden="1" customHeight="1">
      <c r="A274" s="208"/>
      <c r="B274" s="211"/>
      <c r="C274" s="211"/>
      <c r="D274" s="212"/>
      <c r="E274" s="210" t="str">
        <f>IFERROR(VLOOKUP($T274,공사현장대장!$A$5:$T$330,4),"")</f>
        <v/>
      </c>
      <c r="F274" s="212"/>
      <c r="G274" s="265"/>
      <c r="H274" s="265"/>
      <c r="I274" s="265"/>
      <c r="J274" s="265" t="str">
        <f>IFERROR(ROUND(VLOOKUP($T274,공사현장대장!$A$5:$T$330,9)/1000,0),"")</f>
        <v/>
      </c>
      <c r="K274" s="225"/>
      <c r="L274" s="209"/>
      <c r="M274" s="209"/>
      <c r="N274" s="209"/>
      <c r="O274" s="209"/>
      <c r="P274" s="209"/>
      <c r="Q274" s="209"/>
      <c r="R274" s="263" t="s">
        <v>38</v>
      </c>
      <c r="S274" s="266" t="s">
        <v>115</v>
      </c>
      <c r="T274" s="229"/>
    </row>
    <row r="275" spans="1:21" ht="26.1" hidden="1" customHeight="1">
      <c r="A275" s="208"/>
      <c r="B275" s="211"/>
      <c r="C275" s="211"/>
      <c r="D275" s="212"/>
      <c r="E275" s="210" t="str">
        <f>IFERROR(VLOOKUP($T275,공사현장대장!$A$5:$T$330,4),"")</f>
        <v/>
      </c>
      <c r="F275" s="212"/>
      <c r="G275" s="265"/>
      <c r="H275" s="265"/>
      <c r="I275" s="265"/>
      <c r="J275" s="265" t="str">
        <f>IFERROR(ROUND(VLOOKUP($T275,공사현장대장!$A$5:$T$330,9)/1000,0),"")</f>
        <v/>
      </c>
      <c r="K275" s="225"/>
      <c r="L275" s="209"/>
      <c r="M275" s="209"/>
      <c r="N275" s="209"/>
      <c r="O275" s="209"/>
      <c r="P275" s="209"/>
      <c r="Q275" s="209"/>
      <c r="R275" s="263" t="s">
        <v>38</v>
      </c>
      <c r="S275" s="266" t="s">
        <v>115</v>
      </c>
      <c r="T275" s="229"/>
    </row>
    <row r="276" spans="1:21" ht="26.1" hidden="1" customHeight="1">
      <c r="A276" s="324" t="s">
        <v>40</v>
      </c>
      <c r="B276" s="325"/>
      <c r="C276" s="325"/>
      <c r="D276" s="325"/>
      <c r="E276" s="326"/>
      <c r="F276" s="226"/>
      <c r="G276" s="267"/>
      <c r="H276" s="267"/>
      <c r="I276" s="267"/>
      <c r="J276" s="267"/>
      <c r="K276" s="227">
        <f t="shared" ref="K276:Q276" si="53">SUM(K272-SUM(K273:K275))</f>
        <v>0</v>
      </c>
      <c r="L276" s="227">
        <f t="shared" si="53"/>
        <v>0</v>
      </c>
      <c r="M276" s="227">
        <f t="shared" si="53"/>
        <v>0</v>
      </c>
      <c r="N276" s="227">
        <f t="shared" si="53"/>
        <v>0</v>
      </c>
      <c r="O276" s="227">
        <f t="shared" si="53"/>
        <v>0</v>
      </c>
      <c r="P276" s="227">
        <f t="shared" si="53"/>
        <v>25119</v>
      </c>
      <c r="Q276" s="227">
        <f t="shared" si="53"/>
        <v>25119</v>
      </c>
      <c r="R276" s="268" t="s">
        <v>38</v>
      </c>
      <c r="S276" s="269" t="s">
        <v>115</v>
      </c>
      <c r="T276" s="230"/>
    </row>
    <row r="277" spans="1:21" ht="26.1" hidden="1" customHeight="1">
      <c r="A277" s="213" t="s">
        <v>29</v>
      </c>
      <c r="B277" s="214" t="s">
        <v>50</v>
      </c>
      <c r="C277" s="214" t="s">
        <v>31</v>
      </c>
      <c r="D277" s="215" t="s">
        <v>172</v>
      </c>
      <c r="E277" s="216" t="s">
        <v>44</v>
      </c>
      <c r="F277" s="215" t="s">
        <v>178</v>
      </c>
      <c r="G277" s="262" t="s">
        <v>46</v>
      </c>
      <c r="H277" s="262" t="s">
        <v>47</v>
      </c>
      <c r="I277" s="262" t="s">
        <v>48</v>
      </c>
      <c r="J277" s="262">
        <f>SUM(J278:J280)</f>
        <v>0</v>
      </c>
      <c r="K277" s="217"/>
      <c r="L277" s="218"/>
      <c r="M277" s="218"/>
      <c r="N277" s="218"/>
      <c r="O277" s="218"/>
      <c r="P277" s="218">
        <v>5320</v>
      </c>
      <c r="Q277" s="218">
        <f>SUM(K277:P277)</f>
        <v>5320</v>
      </c>
      <c r="R277" s="263" t="s">
        <v>38</v>
      </c>
      <c r="S277" s="266" t="s">
        <v>115</v>
      </c>
      <c r="T277" s="229"/>
    </row>
    <row r="278" spans="1:21" ht="26.1" hidden="1" customHeight="1">
      <c r="A278" s="208"/>
      <c r="B278" s="211"/>
      <c r="C278" s="211"/>
      <c r="D278" s="212"/>
      <c r="E278" s="210" t="str">
        <f>IFERROR(VLOOKUP($T278,공사현장대장!$A$5:$T$330,4),"")</f>
        <v/>
      </c>
      <c r="F278" s="212"/>
      <c r="G278" s="265"/>
      <c r="H278" s="265"/>
      <c r="I278" s="265"/>
      <c r="J278" s="265" t="str">
        <f>IFERROR(ROUND(VLOOKUP($T278,공사현장대장!$A$5:$T$330,9)/1000,0),"")</f>
        <v/>
      </c>
      <c r="K278" s="225"/>
      <c r="L278" s="209"/>
      <c r="M278" s="209"/>
      <c r="N278" s="209"/>
      <c r="O278" s="209"/>
      <c r="P278" s="209"/>
      <c r="Q278" s="209"/>
      <c r="R278" s="263" t="s">
        <v>38</v>
      </c>
      <c r="S278" s="266" t="s">
        <v>115</v>
      </c>
      <c r="T278" s="229"/>
    </row>
    <row r="279" spans="1:21" ht="26.1" hidden="1" customHeight="1">
      <c r="A279" s="208"/>
      <c r="B279" s="211"/>
      <c r="C279" s="211"/>
      <c r="D279" s="212"/>
      <c r="E279" s="210" t="str">
        <f>IFERROR(VLOOKUP($T279,공사현장대장!$A$5:$T$330,4),"")</f>
        <v/>
      </c>
      <c r="F279" s="212"/>
      <c r="G279" s="265"/>
      <c r="H279" s="265"/>
      <c r="I279" s="265"/>
      <c r="J279" s="265" t="str">
        <f>IFERROR(ROUND(VLOOKUP($T279,공사현장대장!$A$5:$T$330,9)/1000,0),"")</f>
        <v/>
      </c>
      <c r="K279" s="225"/>
      <c r="L279" s="209"/>
      <c r="M279" s="209"/>
      <c r="N279" s="209"/>
      <c r="O279" s="209"/>
      <c r="P279" s="209"/>
      <c r="Q279" s="209"/>
      <c r="R279" s="263" t="s">
        <v>38</v>
      </c>
      <c r="S279" s="266" t="s">
        <v>115</v>
      </c>
      <c r="T279" s="229"/>
    </row>
    <row r="280" spans="1:21" ht="26.1" hidden="1" customHeight="1">
      <c r="A280" s="208"/>
      <c r="B280" s="211"/>
      <c r="C280" s="211"/>
      <c r="D280" s="212"/>
      <c r="E280" s="210" t="str">
        <f>IFERROR(VLOOKUP($T280,공사현장대장!$A$5:$T$330,4),"")</f>
        <v/>
      </c>
      <c r="F280" s="212"/>
      <c r="G280" s="265"/>
      <c r="H280" s="265"/>
      <c r="I280" s="265"/>
      <c r="J280" s="265" t="str">
        <f>IFERROR(ROUND(VLOOKUP($T280,공사현장대장!$A$5:$T$330,9)/1000,0),"")</f>
        <v/>
      </c>
      <c r="K280" s="225"/>
      <c r="L280" s="209"/>
      <c r="M280" s="209"/>
      <c r="N280" s="209"/>
      <c r="O280" s="209"/>
      <c r="P280" s="209"/>
      <c r="Q280" s="209"/>
      <c r="R280" s="263" t="s">
        <v>38</v>
      </c>
      <c r="S280" s="266" t="s">
        <v>115</v>
      </c>
      <c r="T280" s="229"/>
    </row>
    <row r="281" spans="1:21" ht="26.1" hidden="1" customHeight="1">
      <c r="A281" s="324" t="s">
        <v>40</v>
      </c>
      <c r="B281" s="325"/>
      <c r="C281" s="325"/>
      <c r="D281" s="325"/>
      <c r="E281" s="326"/>
      <c r="F281" s="226"/>
      <c r="G281" s="267"/>
      <c r="H281" s="267"/>
      <c r="I281" s="267"/>
      <c r="J281" s="267"/>
      <c r="K281" s="227">
        <f t="shared" ref="K281:Q281" si="54">SUM(K277-SUM(K278:K280))</f>
        <v>0</v>
      </c>
      <c r="L281" s="227">
        <f t="shared" si="54"/>
        <v>0</v>
      </c>
      <c r="M281" s="227">
        <f t="shared" si="54"/>
        <v>0</v>
      </c>
      <c r="N281" s="227">
        <f t="shared" si="54"/>
        <v>0</v>
      </c>
      <c r="O281" s="227">
        <f t="shared" si="54"/>
        <v>0</v>
      </c>
      <c r="P281" s="227">
        <f t="shared" si="54"/>
        <v>5320</v>
      </c>
      <c r="Q281" s="227">
        <f t="shared" si="54"/>
        <v>5320</v>
      </c>
      <c r="R281" s="268" t="s">
        <v>38</v>
      </c>
      <c r="S281" s="269" t="s">
        <v>115</v>
      </c>
      <c r="T281" s="230"/>
    </row>
    <row r="282" spans="1:21" ht="26.1" hidden="1" customHeight="1">
      <c r="A282" s="213" t="s">
        <v>29</v>
      </c>
      <c r="B282" s="214" t="s">
        <v>50</v>
      </c>
      <c r="C282" s="214" t="s">
        <v>31</v>
      </c>
      <c r="D282" s="215" t="s">
        <v>179</v>
      </c>
      <c r="E282" s="216" t="s">
        <v>180</v>
      </c>
      <c r="F282" s="215" t="s">
        <v>181</v>
      </c>
      <c r="G282" s="262" t="s">
        <v>46</v>
      </c>
      <c r="H282" s="262" t="s">
        <v>54</v>
      </c>
      <c r="I282" s="262" t="s">
        <v>55</v>
      </c>
      <c r="J282" s="262">
        <f>SUM(J283:J285)</f>
        <v>0</v>
      </c>
      <c r="K282" s="217"/>
      <c r="L282" s="218">
        <v>156800</v>
      </c>
      <c r="M282" s="218"/>
      <c r="N282" s="218"/>
      <c r="O282" s="218"/>
      <c r="P282" s="218"/>
      <c r="Q282" s="218">
        <f>SUM(K282:P282)</f>
        <v>156800</v>
      </c>
      <c r="R282" s="263" t="s">
        <v>38</v>
      </c>
      <c r="S282" s="266" t="s">
        <v>71</v>
      </c>
      <c r="T282" s="229"/>
    </row>
    <row r="283" spans="1:21" ht="26.1" hidden="1" customHeight="1">
      <c r="A283" s="208"/>
      <c r="B283" s="211"/>
      <c r="C283" s="211"/>
      <c r="D283" s="212"/>
      <c r="E283" s="210" t="str">
        <f>IFERROR(VLOOKUP($T283,공사현장대장!$A$5:$T$330,4),"")</f>
        <v/>
      </c>
      <c r="F283" s="212"/>
      <c r="G283" s="265"/>
      <c r="H283" s="265"/>
      <c r="I283" s="265"/>
      <c r="J283" s="265" t="str">
        <f>IFERROR(ROUND(VLOOKUP($T283,공사현장대장!$A$5:$T$330,9)/1000,0),"")</f>
        <v/>
      </c>
      <c r="K283" s="225"/>
      <c r="L283" s="209"/>
      <c r="M283" s="209"/>
      <c r="N283" s="209"/>
      <c r="O283" s="209"/>
      <c r="P283" s="209"/>
      <c r="Q283" s="209"/>
      <c r="R283" s="263" t="s">
        <v>38</v>
      </c>
      <c r="S283" s="266" t="s">
        <v>71</v>
      </c>
      <c r="T283" s="229"/>
    </row>
    <row r="284" spans="1:21" ht="26.1" hidden="1" customHeight="1">
      <c r="A284" s="208"/>
      <c r="B284" s="211"/>
      <c r="C284" s="211"/>
      <c r="D284" s="212"/>
      <c r="E284" s="210" t="str">
        <f>IFERROR(VLOOKUP($T284,공사현장대장!$A$5:$T$330,4),"")</f>
        <v/>
      </c>
      <c r="F284" s="212"/>
      <c r="G284" s="265"/>
      <c r="H284" s="265"/>
      <c r="I284" s="265"/>
      <c r="J284" s="265" t="str">
        <f>IFERROR(ROUND(VLOOKUP($T284,공사현장대장!$A$5:$T$330,9)/1000,0),"")</f>
        <v/>
      </c>
      <c r="K284" s="225"/>
      <c r="L284" s="209"/>
      <c r="M284" s="209"/>
      <c r="N284" s="209"/>
      <c r="O284" s="209"/>
      <c r="P284" s="209"/>
      <c r="Q284" s="209"/>
      <c r="R284" s="263" t="s">
        <v>38</v>
      </c>
      <c r="S284" s="266" t="s">
        <v>71</v>
      </c>
      <c r="T284" s="229"/>
    </row>
    <row r="285" spans="1:21" ht="26.1" hidden="1" customHeight="1">
      <c r="A285" s="208"/>
      <c r="B285" s="211"/>
      <c r="C285" s="211"/>
      <c r="D285" s="212"/>
      <c r="E285" s="210" t="str">
        <f>IFERROR(VLOOKUP($T285,공사현장대장!$A$5:$T$330,4),"")</f>
        <v/>
      </c>
      <c r="F285" s="212"/>
      <c r="G285" s="265"/>
      <c r="H285" s="265"/>
      <c r="I285" s="265"/>
      <c r="J285" s="265" t="str">
        <f>IFERROR(ROUND(VLOOKUP($T285,공사현장대장!$A$5:$T$330,9)/1000,0),"")</f>
        <v/>
      </c>
      <c r="K285" s="225"/>
      <c r="L285" s="209"/>
      <c r="M285" s="209"/>
      <c r="N285" s="209"/>
      <c r="O285" s="209"/>
      <c r="P285" s="209"/>
      <c r="Q285" s="209"/>
      <c r="R285" s="263" t="s">
        <v>38</v>
      </c>
      <c r="S285" s="266" t="s">
        <v>71</v>
      </c>
      <c r="T285" s="229"/>
    </row>
    <row r="286" spans="1:21" ht="26.1" hidden="1" customHeight="1">
      <c r="A286" s="324" t="s">
        <v>40</v>
      </c>
      <c r="B286" s="325"/>
      <c r="C286" s="325"/>
      <c r="D286" s="325"/>
      <c r="E286" s="326"/>
      <c r="F286" s="226"/>
      <c r="G286" s="267"/>
      <c r="H286" s="267"/>
      <c r="I286" s="267"/>
      <c r="J286" s="267"/>
      <c r="K286" s="227">
        <f t="shared" ref="K286:Q286" si="55">SUM(K282-SUM(K283:K285))</f>
        <v>0</v>
      </c>
      <c r="L286" s="227">
        <f t="shared" si="55"/>
        <v>156800</v>
      </c>
      <c r="M286" s="227">
        <f t="shared" si="55"/>
        <v>0</v>
      </c>
      <c r="N286" s="227">
        <f t="shared" si="55"/>
        <v>0</v>
      </c>
      <c r="O286" s="227">
        <f t="shared" si="55"/>
        <v>0</v>
      </c>
      <c r="P286" s="227">
        <f t="shared" si="55"/>
        <v>0</v>
      </c>
      <c r="Q286" s="227">
        <f t="shared" si="55"/>
        <v>156800</v>
      </c>
      <c r="R286" s="268" t="s">
        <v>38</v>
      </c>
      <c r="S286" s="269" t="s">
        <v>71</v>
      </c>
      <c r="T286" s="230"/>
    </row>
    <row r="287" spans="1:21" ht="26.1" hidden="1" customHeight="1">
      <c r="A287" s="213" t="s">
        <v>29</v>
      </c>
      <c r="B287" s="214" t="s">
        <v>50</v>
      </c>
      <c r="C287" s="214" t="s">
        <v>31</v>
      </c>
      <c r="D287" s="215" t="s">
        <v>179</v>
      </c>
      <c r="E287" s="216" t="s">
        <v>182</v>
      </c>
      <c r="F287" s="215" t="s">
        <v>183</v>
      </c>
      <c r="G287" s="262" t="s">
        <v>46</v>
      </c>
      <c r="H287" s="262" t="s">
        <v>54</v>
      </c>
      <c r="I287" s="262" t="s">
        <v>55</v>
      </c>
      <c r="J287" s="262">
        <f>SUM(J288:J290)</f>
        <v>0</v>
      </c>
      <c r="K287" s="217"/>
      <c r="L287" s="218">
        <v>200200</v>
      </c>
      <c r="M287" s="218"/>
      <c r="N287" s="218"/>
      <c r="O287" s="218"/>
      <c r="P287" s="218"/>
      <c r="Q287" s="218">
        <f>SUM(K287:P287)</f>
        <v>200200</v>
      </c>
      <c r="R287" s="274" t="s">
        <v>87</v>
      </c>
      <c r="S287" s="266" t="s">
        <v>71</v>
      </c>
      <c r="T287" s="229"/>
      <c r="U287" s="241">
        <v>572</v>
      </c>
    </row>
    <row r="288" spans="1:21" ht="26.1" hidden="1" customHeight="1">
      <c r="A288" s="208"/>
      <c r="B288" s="211"/>
      <c r="C288" s="211"/>
      <c r="D288" s="212"/>
      <c r="E288" s="210" t="str">
        <f>IFERROR(VLOOKUP($T288,공사현장대장!$A$5:$T$330,4),"")</f>
        <v/>
      </c>
      <c r="F288" s="212"/>
      <c r="G288" s="265"/>
      <c r="H288" s="265"/>
      <c r="I288" s="265"/>
      <c r="J288" s="265" t="str">
        <f>IFERROR(ROUND(VLOOKUP($T288,공사현장대장!$A$5:$T$330,9)/1000,0),"")</f>
        <v/>
      </c>
      <c r="K288" s="225"/>
      <c r="L288" s="209"/>
      <c r="M288" s="209"/>
      <c r="N288" s="209"/>
      <c r="O288" s="209"/>
      <c r="P288" s="209"/>
      <c r="Q288" s="209"/>
      <c r="R288" s="263" t="s">
        <v>87</v>
      </c>
      <c r="S288" s="266" t="s">
        <v>71</v>
      </c>
      <c r="T288" s="229"/>
    </row>
    <row r="289" spans="1:20" ht="26.1" hidden="1" customHeight="1">
      <c r="A289" s="208"/>
      <c r="B289" s="211"/>
      <c r="C289" s="211"/>
      <c r="D289" s="212"/>
      <c r="E289" s="210" t="str">
        <f>IFERROR(VLOOKUP($T289,공사현장대장!$A$5:$T$330,4),"")</f>
        <v/>
      </c>
      <c r="F289" s="212"/>
      <c r="G289" s="265"/>
      <c r="H289" s="265"/>
      <c r="I289" s="265"/>
      <c r="J289" s="265" t="str">
        <f>IFERROR(ROUND(VLOOKUP($T289,공사현장대장!$A$5:$T$330,9)/1000,0),"")</f>
        <v/>
      </c>
      <c r="K289" s="225"/>
      <c r="L289" s="209"/>
      <c r="M289" s="209"/>
      <c r="N289" s="209"/>
      <c r="O289" s="209"/>
      <c r="P289" s="209"/>
      <c r="Q289" s="209"/>
      <c r="R289" s="263" t="s">
        <v>87</v>
      </c>
      <c r="S289" s="266" t="s">
        <v>71</v>
      </c>
      <c r="T289" s="229"/>
    </row>
    <row r="290" spans="1:20" ht="26.1" hidden="1" customHeight="1">
      <c r="A290" s="208"/>
      <c r="B290" s="211"/>
      <c r="C290" s="211"/>
      <c r="D290" s="212"/>
      <c r="E290" s="210" t="str">
        <f>IFERROR(VLOOKUP($T290,공사현장대장!$A$5:$T$330,4),"")</f>
        <v/>
      </c>
      <c r="F290" s="212"/>
      <c r="G290" s="265"/>
      <c r="H290" s="265"/>
      <c r="I290" s="265"/>
      <c r="J290" s="265" t="str">
        <f>IFERROR(ROUND(VLOOKUP($T290,공사현장대장!$A$5:$T$330,9)/1000,0),"")</f>
        <v/>
      </c>
      <c r="K290" s="225"/>
      <c r="L290" s="209"/>
      <c r="M290" s="209"/>
      <c r="N290" s="209"/>
      <c r="O290" s="209"/>
      <c r="P290" s="209"/>
      <c r="Q290" s="209"/>
      <c r="R290" s="263" t="s">
        <v>87</v>
      </c>
      <c r="S290" s="266" t="s">
        <v>71</v>
      </c>
      <c r="T290" s="229"/>
    </row>
    <row r="291" spans="1:20" ht="26.1" hidden="1" customHeight="1">
      <c r="A291" s="324" t="s">
        <v>40</v>
      </c>
      <c r="B291" s="325"/>
      <c r="C291" s="325"/>
      <c r="D291" s="325"/>
      <c r="E291" s="326"/>
      <c r="F291" s="226"/>
      <c r="G291" s="267"/>
      <c r="H291" s="267"/>
      <c r="I291" s="267"/>
      <c r="J291" s="267"/>
      <c r="K291" s="227">
        <f t="shared" ref="K291:Q291" si="56">SUM(K287-SUM(K288:K290))</f>
        <v>0</v>
      </c>
      <c r="L291" s="227">
        <f t="shared" si="56"/>
        <v>200200</v>
      </c>
      <c r="M291" s="227">
        <f t="shared" si="56"/>
        <v>0</v>
      </c>
      <c r="N291" s="227">
        <f t="shared" si="56"/>
        <v>0</v>
      </c>
      <c r="O291" s="227">
        <f t="shared" si="56"/>
        <v>0</v>
      </c>
      <c r="P291" s="227">
        <f t="shared" si="56"/>
        <v>0</v>
      </c>
      <c r="Q291" s="227">
        <f t="shared" si="56"/>
        <v>200200</v>
      </c>
      <c r="R291" s="268" t="s">
        <v>87</v>
      </c>
      <c r="S291" s="269" t="s">
        <v>71</v>
      </c>
      <c r="T291" s="230"/>
    </row>
    <row r="292" spans="1:20" ht="26.1" hidden="1" customHeight="1">
      <c r="A292" s="213" t="s">
        <v>29</v>
      </c>
      <c r="B292" s="214" t="s">
        <v>50</v>
      </c>
      <c r="C292" s="214" t="s">
        <v>31</v>
      </c>
      <c r="D292" s="215" t="s">
        <v>179</v>
      </c>
      <c r="E292" s="216" t="s">
        <v>184</v>
      </c>
      <c r="F292" s="215" t="s">
        <v>136</v>
      </c>
      <c r="G292" s="262" t="s">
        <v>46</v>
      </c>
      <c r="H292" s="262" t="s">
        <v>133</v>
      </c>
      <c r="I292" s="262" t="s">
        <v>185</v>
      </c>
      <c r="J292" s="262">
        <f>SUM(J293:J295)</f>
        <v>0</v>
      </c>
      <c r="K292" s="217"/>
      <c r="L292" s="218">
        <v>25050</v>
      </c>
      <c r="M292" s="218"/>
      <c r="N292" s="218"/>
      <c r="O292" s="218"/>
      <c r="P292" s="218"/>
      <c r="Q292" s="218">
        <f>SUM(K292:P292)</f>
        <v>25050</v>
      </c>
      <c r="R292" s="263" t="s">
        <v>38</v>
      </c>
      <c r="S292" s="266" t="s">
        <v>71</v>
      </c>
      <c r="T292" s="229"/>
    </row>
    <row r="293" spans="1:20" ht="26.1" hidden="1" customHeight="1">
      <c r="A293" s="208"/>
      <c r="B293" s="211"/>
      <c r="C293" s="211"/>
      <c r="D293" s="212"/>
      <c r="E293" s="210" t="str">
        <f>IFERROR(VLOOKUP($T293,공사현장대장!$A$5:$T$330,4),"")</f>
        <v/>
      </c>
      <c r="F293" s="212"/>
      <c r="G293" s="265"/>
      <c r="H293" s="265"/>
      <c r="I293" s="265"/>
      <c r="J293" s="265" t="str">
        <f>IFERROR(ROUND(VLOOKUP($T293,공사현장대장!$A$5:$T$330,9)/1000,0),"")</f>
        <v/>
      </c>
      <c r="K293" s="225"/>
      <c r="L293" s="209"/>
      <c r="M293" s="209"/>
      <c r="N293" s="209"/>
      <c r="O293" s="209"/>
      <c r="P293" s="209"/>
      <c r="Q293" s="209"/>
      <c r="R293" s="263" t="s">
        <v>38</v>
      </c>
      <c r="S293" s="266" t="s">
        <v>71</v>
      </c>
      <c r="T293" s="229"/>
    </row>
    <row r="294" spans="1:20" ht="26.1" hidden="1" customHeight="1">
      <c r="A294" s="208"/>
      <c r="B294" s="211"/>
      <c r="C294" s="211"/>
      <c r="D294" s="212"/>
      <c r="E294" s="210" t="str">
        <f>IFERROR(VLOOKUP($T294,공사현장대장!$A$5:$T$330,4),"")</f>
        <v/>
      </c>
      <c r="F294" s="212"/>
      <c r="G294" s="265"/>
      <c r="H294" s="265"/>
      <c r="I294" s="265"/>
      <c r="J294" s="265" t="str">
        <f>IFERROR(ROUND(VLOOKUP($T294,공사현장대장!$A$5:$T$330,9)/1000,0),"")</f>
        <v/>
      </c>
      <c r="K294" s="225"/>
      <c r="L294" s="209"/>
      <c r="M294" s="209"/>
      <c r="N294" s="209"/>
      <c r="O294" s="209"/>
      <c r="P294" s="209"/>
      <c r="Q294" s="209"/>
      <c r="R294" s="263" t="s">
        <v>38</v>
      </c>
      <c r="S294" s="266" t="s">
        <v>71</v>
      </c>
      <c r="T294" s="229"/>
    </row>
    <row r="295" spans="1:20" ht="26.1" hidden="1" customHeight="1">
      <c r="A295" s="208"/>
      <c r="B295" s="211"/>
      <c r="C295" s="211"/>
      <c r="D295" s="212"/>
      <c r="E295" s="210" t="str">
        <f>IFERROR(VLOOKUP($T295,공사현장대장!$A$5:$T$330,4),"")</f>
        <v/>
      </c>
      <c r="F295" s="212"/>
      <c r="G295" s="265"/>
      <c r="H295" s="265"/>
      <c r="I295" s="265"/>
      <c r="J295" s="265" t="str">
        <f>IFERROR(ROUND(VLOOKUP($T295,공사현장대장!$A$5:$T$330,9)/1000,0),"")</f>
        <v/>
      </c>
      <c r="K295" s="225"/>
      <c r="L295" s="209"/>
      <c r="M295" s="209"/>
      <c r="N295" s="209"/>
      <c r="O295" s="209"/>
      <c r="P295" s="209"/>
      <c r="Q295" s="209"/>
      <c r="R295" s="263" t="s">
        <v>38</v>
      </c>
      <c r="S295" s="266" t="s">
        <v>71</v>
      </c>
      <c r="T295" s="229"/>
    </row>
    <row r="296" spans="1:20" ht="26.1" hidden="1" customHeight="1">
      <c r="A296" s="324" t="s">
        <v>40</v>
      </c>
      <c r="B296" s="325"/>
      <c r="C296" s="325"/>
      <c r="D296" s="325"/>
      <c r="E296" s="326"/>
      <c r="F296" s="226"/>
      <c r="G296" s="267"/>
      <c r="H296" s="267"/>
      <c r="I296" s="267"/>
      <c r="J296" s="267"/>
      <c r="K296" s="227">
        <f t="shared" ref="K296:Q296" si="57">SUM(K292-SUM(K293:K295))</f>
        <v>0</v>
      </c>
      <c r="L296" s="227">
        <f t="shared" si="57"/>
        <v>25050</v>
      </c>
      <c r="M296" s="227">
        <f t="shared" si="57"/>
        <v>0</v>
      </c>
      <c r="N296" s="227">
        <f t="shared" si="57"/>
        <v>0</v>
      </c>
      <c r="O296" s="227">
        <f t="shared" si="57"/>
        <v>0</v>
      </c>
      <c r="P296" s="227">
        <f t="shared" si="57"/>
        <v>0</v>
      </c>
      <c r="Q296" s="227">
        <f t="shared" si="57"/>
        <v>25050</v>
      </c>
      <c r="R296" s="268" t="s">
        <v>38</v>
      </c>
      <c r="S296" s="269" t="s">
        <v>71</v>
      </c>
      <c r="T296" s="230"/>
    </row>
    <row r="297" spans="1:20" ht="26.1" hidden="1" customHeight="1">
      <c r="A297" s="213" t="s">
        <v>29</v>
      </c>
      <c r="B297" s="214" t="s">
        <v>50</v>
      </c>
      <c r="C297" s="214" t="s">
        <v>31</v>
      </c>
      <c r="D297" s="215" t="s">
        <v>179</v>
      </c>
      <c r="E297" s="216" t="s">
        <v>151</v>
      </c>
      <c r="F297" s="215" t="s">
        <v>186</v>
      </c>
      <c r="G297" s="262" t="s">
        <v>46</v>
      </c>
      <c r="H297" s="262" t="s">
        <v>133</v>
      </c>
      <c r="I297" s="262" t="s">
        <v>151</v>
      </c>
      <c r="J297" s="262">
        <f>SUM(J298:J300)</f>
        <v>0</v>
      </c>
      <c r="K297" s="217"/>
      <c r="L297" s="218">
        <v>52380</v>
      </c>
      <c r="M297" s="218"/>
      <c r="N297" s="218"/>
      <c r="O297" s="218"/>
      <c r="P297" s="218"/>
      <c r="Q297" s="218">
        <f>SUM(K297:P297)</f>
        <v>52380</v>
      </c>
      <c r="R297" s="263" t="s">
        <v>38</v>
      </c>
      <c r="S297" s="266" t="s">
        <v>71</v>
      </c>
      <c r="T297" s="229"/>
    </row>
    <row r="298" spans="1:20" ht="26.1" hidden="1" customHeight="1">
      <c r="A298" s="208"/>
      <c r="B298" s="211"/>
      <c r="C298" s="211"/>
      <c r="D298" s="212"/>
      <c r="E298" s="210" t="str">
        <f>IFERROR(VLOOKUP($T298,공사현장대장!$A$5:$T$330,4),"")</f>
        <v/>
      </c>
      <c r="F298" s="212"/>
      <c r="G298" s="265"/>
      <c r="H298" s="265"/>
      <c r="I298" s="265"/>
      <c r="J298" s="265" t="str">
        <f>IFERROR(ROUND(VLOOKUP($T298,공사현장대장!$A$5:$T$330,9)/1000,0),"")</f>
        <v/>
      </c>
      <c r="K298" s="225"/>
      <c r="L298" s="209"/>
      <c r="M298" s="209"/>
      <c r="N298" s="209"/>
      <c r="O298" s="209"/>
      <c r="P298" s="209"/>
      <c r="Q298" s="209"/>
      <c r="R298" s="263" t="s">
        <v>38</v>
      </c>
      <c r="S298" s="266" t="s">
        <v>71</v>
      </c>
      <c r="T298" s="229"/>
    </row>
    <row r="299" spans="1:20" ht="26.1" hidden="1" customHeight="1">
      <c r="A299" s="208"/>
      <c r="B299" s="211"/>
      <c r="C299" s="211"/>
      <c r="D299" s="212"/>
      <c r="E299" s="210" t="str">
        <f>IFERROR(VLOOKUP($T299,공사현장대장!$A$5:$T$330,4),"")</f>
        <v/>
      </c>
      <c r="F299" s="212"/>
      <c r="G299" s="265"/>
      <c r="H299" s="265"/>
      <c r="I299" s="265"/>
      <c r="J299" s="265" t="str">
        <f>IFERROR(ROUND(VLOOKUP($T299,공사현장대장!$A$5:$T$330,9)/1000,0),"")</f>
        <v/>
      </c>
      <c r="K299" s="225"/>
      <c r="L299" s="209"/>
      <c r="M299" s="209"/>
      <c r="N299" s="209"/>
      <c r="O299" s="209"/>
      <c r="P299" s="209"/>
      <c r="Q299" s="209"/>
      <c r="R299" s="263" t="s">
        <v>38</v>
      </c>
      <c r="S299" s="266" t="s">
        <v>71</v>
      </c>
      <c r="T299" s="229"/>
    </row>
    <row r="300" spans="1:20" ht="26.1" hidden="1" customHeight="1">
      <c r="A300" s="208"/>
      <c r="B300" s="211"/>
      <c r="C300" s="211"/>
      <c r="D300" s="212"/>
      <c r="E300" s="210" t="str">
        <f>IFERROR(VLOOKUP($T300,공사현장대장!$A$5:$T$330,4),"")</f>
        <v/>
      </c>
      <c r="F300" s="212"/>
      <c r="G300" s="265"/>
      <c r="H300" s="265"/>
      <c r="I300" s="265"/>
      <c r="J300" s="265" t="str">
        <f>IFERROR(ROUND(VLOOKUP($T300,공사현장대장!$A$5:$T$330,9)/1000,0),"")</f>
        <v/>
      </c>
      <c r="K300" s="225"/>
      <c r="L300" s="209"/>
      <c r="M300" s="209"/>
      <c r="N300" s="209"/>
      <c r="O300" s="209"/>
      <c r="P300" s="209"/>
      <c r="Q300" s="209"/>
      <c r="R300" s="263" t="s">
        <v>38</v>
      </c>
      <c r="S300" s="266" t="s">
        <v>71</v>
      </c>
      <c r="T300" s="229"/>
    </row>
    <row r="301" spans="1:20" ht="26.1" hidden="1" customHeight="1">
      <c r="A301" s="324" t="s">
        <v>40</v>
      </c>
      <c r="B301" s="325"/>
      <c r="C301" s="325"/>
      <c r="D301" s="325"/>
      <c r="E301" s="326"/>
      <c r="F301" s="226"/>
      <c r="G301" s="267"/>
      <c r="H301" s="267"/>
      <c r="I301" s="267"/>
      <c r="J301" s="267"/>
      <c r="K301" s="227">
        <f t="shared" ref="K301:Q301" si="58">SUM(K297-SUM(K298:K300))</f>
        <v>0</v>
      </c>
      <c r="L301" s="227">
        <f t="shared" si="58"/>
        <v>52380</v>
      </c>
      <c r="M301" s="227">
        <f t="shared" si="58"/>
        <v>0</v>
      </c>
      <c r="N301" s="227">
        <f t="shared" si="58"/>
        <v>0</v>
      </c>
      <c r="O301" s="227">
        <f t="shared" si="58"/>
        <v>0</v>
      </c>
      <c r="P301" s="227">
        <f t="shared" si="58"/>
        <v>0</v>
      </c>
      <c r="Q301" s="227">
        <f t="shared" si="58"/>
        <v>52380</v>
      </c>
      <c r="R301" s="268" t="s">
        <v>38</v>
      </c>
      <c r="S301" s="269" t="s">
        <v>71</v>
      </c>
      <c r="T301" s="230"/>
    </row>
    <row r="302" spans="1:20" ht="26.1" hidden="1" customHeight="1">
      <c r="A302" s="213" t="s">
        <v>29</v>
      </c>
      <c r="B302" s="214" t="s">
        <v>50</v>
      </c>
      <c r="C302" s="214" t="s">
        <v>31</v>
      </c>
      <c r="D302" s="215" t="s">
        <v>179</v>
      </c>
      <c r="E302" s="216" t="s">
        <v>151</v>
      </c>
      <c r="F302" s="215" t="s">
        <v>187</v>
      </c>
      <c r="G302" s="262" t="s">
        <v>46</v>
      </c>
      <c r="H302" s="262" t="s">
        <v>133</v>
      </c>
      <c r="I302" s="262" t="s">
        <v>151</v>
      </c>
      <c r="J302" s="262">
        <f>SUM(J303:J305)</f>
        <v>0</v>
      </c>
      <c r="K302" s="217"/>
      <c r="L302" s="218">
        <v>351120</v>
      </c>
      <c r="M302" s="218"/>
      <c r="N302" s="218"/>
      <c r="O302" s="218"/>
      <c r="P302" s="218"/>
      <c r="Q302" s="218">
        <f>SUM(K302:P302)</f>
        <v>351120</v>
      </c>
      <c r="R302" s="263" t="s">
        <v>38</v>
      </c>
      <c r="S302" s="266" t="s">
        <v>71</v>
      </c>
      <c r="T302" s="229"/>
    </row>
    <row r="303" spans="1:20" ht="26.1" hidden="1" customHeight="1">
      <c r="A303" s="208"/>
      <c r="B303" s="211"/>
      <c r="C303" s="211"/>
      <c r="D303" s="212"/>
      <c r="E303" s="210" t="str">
        <f>IFERROR(VLOOKUP($T303,공사현장대장!$A$5:$T$330,4),"")</f>
        <v/>
      </c>
      <c r="F303" s="212"/>
      <c r="G303" s="265"/>
      <c r="H303" s="265"/>
      <c r="I303" s="265"/>
      <c r="J303" s="265" t="str">
        <f>IFERROR(ROUND(VLOOKUP($T303,공사현장대장!$A$5:$T$330,9)/1000,0),"")</f>
        <v/>
      </c>
      <c r="K303" s="225"/>
      <c r="L303" s="209"/>
      <c r="M303" s="209"/>
      <c r="N303" s="209"/>
      <c r="O303" s="209"/>
      <c r="P303" s="209"/>
      <c r="Q303" s="209"/>
      <c r="R303" s="263" t="s">
        <v>38</v>
      </c>
      <c r="S303" s="266" t="s">
        <v>71</v>
      </c>
      <c r="T303" s="229"/>
    </row>
    <row r="304" spans="1:20" ht="26.1" hidden="1" customHeight="1">
      <c r="A304" s="208"/>
      <c r="B304" s="211"/>
      <c r="C304" s="211"/>
      <c r="D304" s="212"/>
      <c r="E304" s="210" t="str">
        <f>IFERROR(VLOOKUP($T304,공사현장대장!$A$5:$T$330,4),"")</f>
        <v/>
      </c>
      <c r="F304" s="212"/>
      <c r="G304" s="265"/>
      <c r="H304" s="265"/>
      <c r="I304" s="265"/>
      <c r="J304" s="265" t="str">
        <f>IFERROR(ROUND(VLOOKUP($T304,공사현장대장!$A$5:$T$330,9)/1000,0),"")</f>
        <v/>
      </c>
      <c r="K304" s="225"/>
      <c r="L304" s="209"/>
      <c r="M304" s="209"/>
      <c r="N304" s="209"/>
      <c r="O304" s="209"/>
      <c r="P304" s="209"/>
      <c r="Q304" s="209"/>
      <c r="R304" s="263" t="s">
        <v>38</v>
      </c>
      <c r="S304" s="266" t="s">
        <v>71</v>
      </c>
      <c r="T304" s="229"/>
    </row>
    <row r="305" spans="1:21" ht="26.1" hidden="1" customHeight="1">
      <c r="A305" s="208"/>
      <c r="B305" s="211"/>
      <c r="C305" s="211"/>
      <c r="D305" s="212"/>
      <c r="E305" s="210" t="str">
        <f>IFERROR(VLOOKUP($T305,공사현장대장!$A$5:$T$330,4),"")</f>
        <v/>
      </c>
      <c r="F305" s="212"/>
      <c r="G305" s="265"/>
      <c r="H305" s="265"/>
      <c r="I305" s="265"/>
      <c r="J305" s="265" t="str">
        <f>IFERROR(ROUND(VLOOKUP($T305,공사현장대장!$A$5:$T$330,9)/1000,0),"")</f>
        <v/>
      </c>
      <c r="K305" s="225"/>
      <c r="L305" s="209"/>
      <c r="M305" s="209"/>
      <c r="N305" s="209"/>
      <c r="O305" s="209"/>
      <c r="P305" s="209"/>
      <c r="Q305" s="209"/>
      <c r="R305" s="263" t="s">
        <v>38</v>
      </c>
      <c r="S305" s="266" t="s">
        <v>71</v>
      </c>
      <c r="T305" s="229"/>
    </row>
    <row r="306" spans="1:21" ht="26.1" hidden="1" customHeight="1">
      <c r="A306" s="324" t="s">
        <v>40</v>
      </c>
      <c r="B306" s="325"/>
      <c r="C306" s="325"/>
      <c r="D306" s="325"/>
      <c r="E306" s="326"/>
      <c r="F306" s="226"/>
      <c r="G306" s="267"/>
      <c r="H306" s="267"/>
      <c r="I306" s="267"/>
      <c r="J306" s="267"/>
      <c r="K306" s="227">
        <f t="shared" ref="K306:Q306" si="59">SUM(K302-SUM(K303:K305))</f>
        <v>0</v>
      </c>
      <c r="L306" s="227">
        <f t="shared" si="59"/>
        <v>351120</v>
      </c>
      <c r="M306" s="227">
        <f t="shared" si="59"/>
        <v>0</v>
      </c>
      <c r="N306" s="227">
        <f t="shared" si="59"/>
        <v>0</v>
      </c>
      <c r="O306" s="227">
        <f t="shared" si="59"/>
        <v>0</v>
      </c>
      <c r="P306" s="227">
        <f t="shared" si="59"/>
        <v>0</v>
      </c>
      <c r="Q306" s="227">
        <f t="shared" si="59"/>
        <v>351120</v>
      </c>
      <c r="R306" s="268" t="s">
        <v>38</v>
      </c>
      <c r="S306" s="269" t="s">
        <v>71</v>
      </c>
      <c r="T306" s="230"/>
    </row>
    <row r="307" spans="1:21" ht="26.1" hidden="1" customHeight="1">
      <c r="A307" s="219" t="s">
        <v>29</v>
      </c>
      <c r="B307" s="214" t="s">
        <v>50</v>
      </c>
      <c r="C307" s="220" t="s">
        <v>31</v>
      </c>
      <c r="D307" s="215" t="s">
        <v>179</v>
      </c>
      <c r="E307" s="215" t="s">
        <v>188</v>
      </c>
      <c r="F307" s="272" t="s">
        <v>189</v>
      </c>
      <c r="G307" s="215" t="s">
        <v>46</v>
      </c>
      <c r="H307" s="215" t="s">
        <v>188</v>
      </c>
      <c r="I307" s="215" t="s">
        <v>190</v>
      </c>
      <c r="J307" s="215">
        <f>SUM(J308:J310)</f>
        <v>0</v>
      </c>
      <c r="K307" s="221"/>
      <c r="L307" s="222">
        <v>3000000</v>
      </c>
      <c r="M307" s="222">
        <v>985000</v>
      </c>
      <c r="N307" s="222">
        <v>15000</v>
      </c>
      <c r="O307" s="222">
        <v>1100000</v>
      </c>
      <c r="P307" s="222"/>
      <c r="Q307" s="223">
        <f>SUM(K307:P307)</f>
        <v>5100000</v>
      </c>
      <c r="R307" s="273" t="s">
        <v>76</v>
      </c>
      <c r="S307" s="266" t="s">
        <v>71</v>
      </c>
      <c r="T307" s="231"/>
    </row>
    <row r="308" spans="1:21" ht="26.1" hidden="1" customHeight="1">
      <c r="A308" s="208"/>
      <c r="B308" s="211"/>
      <c r="C308" s="211"/>
      <c r="D308" s="212"/>
      <c r="E308" s="210" t="str">
        <f>IFERROR(VLOOKUP($T308,공사현장대장!$A$5:$T$330,4),"")</f>
        <v/>
      </c>
      <c r="F308" s="212"/>
      <c r="G308" s="265"/>
      <c r="H308" s="265"/>
      <c r="I308" s="265"/>
      <c r="J308" s="265" t="str">
        <f>IFERROR(ROUND(VLOOKUP($T308,공사현장대장!$A$5:$T$330,9)/1000,0),"")</f>
        <v/>
      </c>
      <c r="K308" s="225"/>
      <c r="L308" s="209"/>
      <c r="M308" s="209"/>
      <c r="N308" s="209"/>
      <c r="O308" s="209"/>
      <c r="P308" s="209"/>
      <c r="Q308" s="209"/>
      <c r="R308" s="263" t="s">
        <v>76</v>
      </c>
      <c r="S308" s="266" t="s">
        <v>71</v>
      </c>
      <c r="T308" s="229"/>
    </row>
    <row r="309" spans="1:21" ht="26.1" hidden="1" customHeight="1">
      <c r="A309" s="208"/>
      <c r="B309" s="211"/>
      <c r="C309" s="211"/>
      <c r="D309" s="212"/>
      <c r="E309" s="210" t="str">
        <f>IFERROR(VLOOKUP($T309,공사현장대장!$A$5:$T$330,4),"")</f>
        <v/>
      </c>
      <c r="F309" s="212"/>
      <c r="G309" s="265"/>
      <c r="H309" s="265"/>
      <c r="I309" s="265"/>
      <c r="J309" s="265" t="str">
        <f>IFERROR(ROUND(VLOOKUP($T309,공사현장대장!$A$5:$T$330,9)/1000,0),"")</f>
        <v/>
      </c>
      <c r="K309" s="225"/>
      <c r="L309" s="209"/>
      <c r="M309" s="209"/>
      <c r="N309" s="209"/>
      <c r="O309" s="209"/>
      <c r="P309" s="209"/>
      <c r="Q309" s="209"/>
      <c r="R309" s="263" t="s">
        <v>76</v>
      </c>
      <c r="S309" s="266" t="s">
        <v>71</v>
      </c>
      <c r="T309" s="229"/>
    </row>
    <row r="310" spans="1:21" ht="26.1" hidden="1" customHeight="1">
      <c r="A310" s="208"/>
      <c r="B310" s="211"/>
      <c r="C310" s="211"/>
      <c r="D310" s="212"/>
      <c r="E310" s="210" t="str">
        <f>IFERROR(VLOOKUP($T310,공사현장대장!$A$5:$T$330,4),"")</f>
        <v/>
      </c>
      <c r="F310" s="212"/>
      <c r="G310" s="265"/>
      <c r="H310" s="265"/>
      <c r="I310" s="265"/>
      <c r="J310" s="265" t="str">
        <f>IFERROR(ROUND(VLOOKUP($T310,공사현장대장!$A$5:$T$330,9)/1000,0),"")</f>
        <v/>
      </c>
      <c r="K310" s="225"/>
      <c r="L310" s="209"/>
      <c r="M310" s="209"/>
      <c r="N310" s="209"/>
      <c r="O310" s="209"/>
      <c r="P310" s="209"/>
      <c r="Q310" s="209"/>
      <c r="R310" s="263" t="s">
        <v>76</v>
      </c>
      <c r="S310" s="266" t="s">
        <v>71</v>
      </c>
      <c r="T310" s="229"/>
    </row>
    <row r="311" spans="1:21" ht="26.1" hidden="1" customHeight="1">
      <c r="A311" s="324" t="s">
        <v>40</v>
      </c>
      <c r="B311" s="325"/>
      <c r="C311" s="325"/>
      <c r="D311" s="325"/>
      <c r="E311" s="326"/>
      <c r="F311" s="226"/>
      <c r="G311" s="267"/>
      <c r="H311" s="267"/>
      <c r="I311" s="267"/>
      <c r="J311" s="267"/>
      <c r="K311" s="227">
        <f t="shared" ref="K311:Q311" si="60">SUM(K307-SUM(K308:K310))</f>
        <v>0</v>
      </c>
      <c r="L311" s="227">
        <f t="shared" si="60"/>
        <v>3000000</v>
      </c>
      <c r="M311" s="227">
        <f t="shared" si="60"/>
        <v>985000</v>
      </c>
      <c r="N311" s="227">
        <f t="shared" si="60"/>
        <v>15000</v>
      </c>
      <c r="O311" s="227">
        <f t="shared" si="60"/>
        <v>1100000</v>
      </c>
      <c r="P311" s="227">
        <f t="shared" si="60"/>
        <v>0</v>
      </c>
      <c r="Q311" s="227">
        <f t="shared" si="60"/>
        <v>5100000</v>
      </c>
      <c r="R311" s="268" t="s">
        <v>76</v>
      </c>
      <c r="S311" s="269" t="s">
        <v>71</v>
      </c>
      <c r="T311" s="230"/>
    </row>
    <row r="312" spans="1:21" ht="26.1" hidden="1" customHeight="1">
      <c r="A312" s="213" t="s">
        <v>29</v>
      </c>
      <c r="B312" s="214" t="s">
        <v>50</v>
      </c>
      <c r="C312" s="214" t="s">
        <v>31</v>
      </c>
      <c r="D312" s="215" t="s">
        <v>191</v>
      </c>
      <c r="E312" s="216" t="s">
        <v>88</v>
      </c>
      <c r="F312" s="215" t="s">
        <v>192</v>
      </c>
      <c r="G312" s="262" t="s">
        <v>46</v>
      </c>
      <c r="H312" s="262" t="s">
        <v>54</v>
      </c>
      <c r="I312" s="262" t="s">
        <v>55</v>
      </c>
      <c r="J312" s="262">
        <f>SUM(J313:J315)</f>
        <v>0</v>
      </c>
      <c r="K312" s="217"/>
      <c r="L312" s="218">
        <v>291200</v>
      </c>
      <c r="M312" s="218"/>
      <c r="N312" s="218"/>
      <c r="O312" s="218"/>
      <c r="P312" s="218"/>
      <c r="Q312" s="218">
        <f>SUM(K312:P312)</f>
        <v>291200</v>
      </c>
      <c r="R312" s="263" t="s">
        <v>38</v>
      </c>
      <c r="S312" s="266" t="s">
        <v>115</v>
      </c>
      <c r="T312" s="229"/>
    </row>
    <row r="313" spans="1:21" ht="26.1" hidden="1" customHeight="1">
      <c r="A313" s="208"/>
      <c r="B313" s="211"/>
      <c r="C313" s="211"/>
      <c r="D313" s="212"/>
      <c r="E313" s="210" t="str">
        <f>IFERROR(VLOOKUP($T313,공사현장대장!$A$5:$T$330,4),"")</f>
        <v/>
      </c>
      <c r="F313" s="212"/>
      <c r="G313" s="265"/>
      <c r="H313" s="265"/>
      <c r="I313" s="265"/>
      <c r="J313" s="265" t="str">
        <f>IFERROR(ROUND(VLOOKUP($T313,공사현장대장!$A$5:$T$330,9)/1000,0),"")</f>
        <v/>
      </c>
      <c r="K313" s="225"/>
      <c r="L313" s="209"/>
      <c r="M313" s="209"/>
      <c r="N313" s="209"/>
      <c r="O313" s="209"/>
      <c r="P313" s="209"/>
      <c r="Q313" s="209"/>
      <c r="R313" s="263" t="s">
        <v>38</v>
      </c>
      <c r="S313" s="266" t="s">
        <v>115</v>
      </c>
      <c r="T313" s="229"/>
    </row>
    <row r="314" spans="1:21" ht="26.1" hidden="1" customHeight="1">
      <c r="A314" s="208"/>
      <c r="B314" s="211"/>
      <c r="C314" s="211"/>
      <c r="D314" s="212"/>
      <c r="E314" s="210" t="str">
        <f>IFERROR(VLOOKUP($T314,공사현장대장!$A$5:$T$330,4),"")</f>
        <v/>
      </c>
      <c r="F314" s="212"/>
      <c r="G314" s="265"/>
      <c r="H314" s="265"/>
      <c r="I314" s="265"/>
      <c r="J314" s="265" t="str">
        <f>IFERROR(ROUND(VLOOKUP($T314,공사현장대장!$A$5:$T$330,9)/1000,0),"")</f>
        <v/>
      </c>
      <c r="K314" s="225"/>
      <c r="L314" s="209"/>
      <c r="M314" s="209"/>
      <c r="N314" s="209"/>
      <c r="O314" s="209"/>
      <c r="P314" s="209"/>
      <c r="Q314" s="209"/>
      <c r="R314" s="263" t="s">
        <v>38</v>
      </c>
      <c r="S314" s="266" t="s">
        <v>115</v>
      </c>
      <c r="T314" s="229"/>
    </row>
    <row r="315" spans="1:21" ht="26.1" hidden="1" customHeight="1">
      <c r="A315" s="208"/>
      <c r="B315" s="211"/>
      <c r="C315" s="211"/>
      <c r="D315" s="212"/>
      <c r="E315" s="210" t="str">
        <f>IFERROR(VLOOKUP($T315,공사현장대장!$A$5:$T$330,4),"")</f>
        <v/>
      </c>
      <c r="F315" s="212"/>
      <c r="G315" s="265"/>
      <c r="H315" s="265"/>
      <c r="I315" s="265"/>
      <c r="J315" s="265" t="str">
        <f>IFERROR(ROUND(VLOOKUP($T315,공사현장대장!$A$5:$T$330,9)/1000,0),"")</f>
        <v/>
      </c>
      <c r="K315" s="225"/>
      <c r="L315" s="209"/>
      <c r="M315" s="209"/>
      <c r="N315" s="209"/>
      <c r="O315" s="209"/>
      <c r="P315" s="209"/>
      <c r="Q315" s="209"/>
      <c r="R315" s="263" t="s">
        <v>38</v>
      </c>
      <c r="S315" s="266" t="s">
        <v>115</v>
      </c>
      <c r="T315" s="229"/>
    </row>
    <row r="316" spans="1:21" ht="26.1" hidden="1" customHeight="1">
      <c r="A316" s="324" t="s">
        <v>40</v>
      </c>
      <c r="B316" s="325"/>
      <c r="C316" s="325"/>
      <c r="D316" s="325"/>
      <c r="E316" s="326"/>
      <c r="F316" s="226"/>
      <c r="G316" s="267"/>
      <c r="H316" s="267"/>
      <c r="I316" s="267"/>
      <c r="J316" s="267"/>
      <c r="K316" s="227">
        <f t="shared" ref="K316:Q316" si="61">SUM(K312-SUM(K313:K315))</f>
        <v>0</v>
      </c>
      <c r="L316" s="227">
        <f t="shared" si="61"/>
        <v>291200</v>
      </c>
      <c r="M316" s="227">
        <f t="shared" si="61"/>
        <v>0</v>
      </c>
      <c r="N316" s="227">
        <f t="shared" si="61"/>
        <v>0</v>
      </c>
      <c r="O316" s="227">
        <f t="shared" si="61"/>
        <v>0</v>
      </c>
      <c r="P316" s="227">
        <f t="shared" si="61"/>
        <v>0</v>
      </c>
      <c r="Q316" s="227">
        <f t="shared" si="61"/>
        <v>291200</v>
      </c>
      <c r="R316" s="268" t="s">
        <v>38</v>
      </c>
      <c r="S316" s="269" t="s">
        <v>115</v>
      </c>
      <c r="T316" s="230"/>
    </row>
    <row r="317" spans="1:21" ht="26.1" hidden="1" customHeight="1">
      <c r="A317" s="213" t="s">
        <v>29</v>
      </c>
      <c r="B317" s="214" t="s">
        <v>50</v>
      </c>
      <c r="C317" s="214" t="s">
        <v>31</v>
      </c>
      <c r="D317" s="215" t="s">
        <v>191</v>
      </c>
      <c r="E317" s="216" t="s">
        <v>90</v>
      </c>
      <c r="F317" s="215" t="s">
        <v>193</v>
      </c>
      <c r="G317" s="262" t="s">
        <v>46</v>
      </c>
      <c r="H317" s="262" t="s">
        <v>54</v>
      </c>
      <c r="I317" s="262" t="s">
        <v>55</v>
      </c>
      <c r="J317" s="262">
        <f>SUM(J318:J320)</f>
        <v>0</v>
      </c>
      <c r="K317" s="217"/>
      <c r="L317" s="218">
        <v>512050</v>
      </c>
      <c r="M317" s="218"/>
      <c r="N317" s="218"/>
      <c r="O317" s="218"/>
      <c r="P317" s="218"/>
      <c r="Q317" s="218">
        <f>SUM(K317:P317)</f>
        <v>512050</v>
      </c>
      <c r="R317" s="274" t="s">
        <v>87</v>
      </c>
      <c r="S317" s="266" t="s">
        <v>115</v>
      </c>
      <c r="T317" s="229"/>
      <c r="U317" s="241">
        <v>1463</v>
      </c>
    </row>
    <row r="318" spans="1:21" ht="26.1" hidden="1" customHeight="1">
      <c r="A318" s="208"/>
      <c r="B318" s="211"/>
      <c r="C318" s="211"/>
      <c r="D318" s="212"/>
      <c r="E318" s="210" t="str">
        <f>IFERROR(VLOOKUP($T318,공사현장대장!$A$5:$T$330,4),"")</f>
        <v/>
      </c>
      <c r="F318" s="212"/>
      <c r="G318" s="265"/>
      <c r="H318" s="265"/>
      <c r="I318" s="265"/>
      <c r="J318" s="265" t="str">
        <f>IFERROR(ROUND(VLOOKUP($T318,공사현장대장!$A$5:$T$330,9)/1000,0),"")</f>
        <v/>
      </c>
      <c r="K318" s="225"/>
      <c r="L318" s="209"/>
      <c r="M318" s="209"/>
      <c r="N318" s="209"/>
      <c r="O318" s="209"/>
      <c r="P318" s="209"/>
      <c r="Q318" s="209"/>
      <c r="R318" s="263" t="s">
        <v>87</v>
      </c>
      <c r="S318" s="266" t="s">
        <v>115</v>
      </c>
      <c r="T318" s="229"/>
    </row>
    <row r="319" spans="1:21" ht="26.1" hidden="1" customHeight="1">
      <c r="A319" s="208"/>
      <c r="B319" s="211"/>
      <c r="C319" s="211"/>
      <c r="D319" s="212"/>
      <c r="E319" s="210" t="str">
        <f>IFERROR(VLOOKUP($T319,공사현장대장!$A$5:$T$330,4),"")</f>
        <v/>
      </c>
      <c r="F319" s="212"/>
      <c r="G319" s="265"/>
      <c r="H319" s="265"/>
      <c r="I319" s="265"/>
      <c r="J319" s="265" t="str">
        <f>IFERROR(ROUND(VLOOKUP($T319,공사현장대장!$A$5:$T$330,9)/1000,0),"")</f>
        <v/>
      </c>
      <c r="K319" s="225"/>
      <c r="L319" s="209"/>
      <c r="M319" s="209"/>
      <c r="N319" s="209"/>
      <c r="O319" s="209"/>
      <c r="P319" s="209"/>
      <c r="Q319" s="209"/>
      <c r="R319" s="263" t="s">
        <v>87</v>
      </c>
      <c r="S319" s="266" t="s">
        <v>115</v>
      </c>
      <c r="T319" s="229"/>
    </row>
    <row r="320" spans="1:21" ht="26.1" hidden="1" customHeight="1">
      <c r="A320" s="208"/>
      <c r="B320" s="211"/>
      <c r="C320" s="211"/>
      <c r="D320" s="212"/>
      <c r="E320" s="210" t="str">
        <f>IFERROR(VLOOKUP($T320,공사현장대장!$A$5:$T$330,4),"")</f>
        <v/>
      </c>
      <c r="F320" s="212"/>
      <c r="G320" s="265"/>
      <c r="H320" s="265"/>
      <c r="I320" s="265"/>
      <c r="J320" s="265" t="str">
        <f>IFERROR(ROUND(VLOOKUP($T320,공사현장대장!$A$5:$T$330,9)/1000,0),"")</f>
        <v/>
      </c>
      <c r="K320" s="225"/>
      <c r="L320" s="209"/>
      <c r="M320" s="209"/>
      <c r="N320" s="209"/>
      <c r="O320" s="209"/>
      <c r="P320" s="209"/>
      <c r="Q320" s="209"/>
      <c r="R320" s="263" t="s">
        <v>87</v>
      </c>
      <c r="S320" s="266" t="s">
        <v>115</v>
      </c>
      <c r="T320" s="229"/>
    </row>
    <row r="321" spans="1:21" ht="26.1" hidden="1" customHeight="1">
      <c r="A321" s="324" t="s">
        <v>40</v>
      </c>
      <c r="B321" s="325"/>
      <c r="C321" s="325"/>
      <c r="D321" s="325"/>
      <c r="E321" s="326"/>
      <c r="F321" s="226"/>
      <c r="G321" s="267"/>
      <c r="H321" s="267"/>
      <c r="I321" s="267"/>
      <c r="J321" s="267"/>
      <c r="K321" s="227">
        <f t="shared" ref="K321:Q321" si="62">SUM(K317-SUM(K318:K320))</f>
        <v>0</v>
      </c>
      <c r="L321" s="227">
        <f t="shared" si="62"/>
        <v>512050</v>
      </c>
      <c r="M321" s="227">
        <f t="shared" si="62"/>
        <v>0</v>
      </c>
      <c r="N321" s="227">
        <f t="shared" si="62"/>
        <v>0</v>
      </c>
      <c r="O321" s="227">
        <f t="shared" si="62"/>
        <v>0</v>
      </c>
      <c r="P321" s="227">
        <f t="shared" si="62"/>
        <v>0</v>
      </c>
      <c r="Q321" s="227">
        <f t="shared" si="62"/>
        <v>512050</v>
      </c>
      <c r="R321" s="268" t="s">
        <v>87</v>
      </c>
      <c r="S321" s="269" t="s">
        <v>115</v>
      </c>
      <c r="T321" s="230"/>
    </row>
    <row r="322" spans="1:21" ht="26.1" hidden="1" customHeight="1">
      <c r="A322" s="213" t="s">
        <v>29</v>
      </c>
      <c r="B322" s="214" t="s">
        <v>50</v>
      </c>
      <c r="C322" s="214" t="s">
        <v>31</v>
      </c>
      <c r="D322" s="215" t="s">
        <v>191</v>
      </c>
      <c r="E322" s="216" t="s">
        <v>194</v>
      </c>
      <c r="F322" s="215" t="s">
        <v>195</v>
      </c>
      <c r="G322" s="262" t="s">
        <v>46</v>
      </c>
      <c r="H322" s="262" t="s">
        <v>54</v>
      </c>
      <c r="I322" s="262" t="s">
        <v>55</v>
      </c>
      <c r="J322" s="262">
        <f>SUM(J323:J325)</f>
        <v>0</v>
      </c>
      <c r="K322" s="217"/>
      <c r="L322" s="218"/>
      <c r="M322" s="218"/>
      <c r="N322" s="218"/>
      <c r="O322" s="218"/>
      <c r="P322" s="218">
        <v>26600</v>
      </c>
      <c r="Q322" s="218">
        <f>SUM(K322:P322)</f>
        <v>26600</v>
      </c>
      <c r="R322" s="263" t="s">
        <v>38</v>
      </c>
      <c r="S322" s="266" t="s">
        <v>115</v>
      </c>
      <c r="T322" s="229"/>
    </row>
    <row r="323" spans="1:21" ht="26.1" hidden="1" customHeight="1">
      <c r="A323" s="208"/>
      <c r="B323" s="211"/>
      <c r="C323" s="211"/>
      <c r="D323" s="212"/>
      <c r="E323" s="210" t="str">
        <f>IFERROR(VLOOKUP($T323,공사현장대장!$A$5:$T$330,4),"")</f>
        <v/>
      </c>
      <c r="F323" s="212"/>
      <c r="G323" s="265"/>
      <c r="H323" s="265"/>
      <c r="I323" s="265"/>
      <c r="J323" s="265" t="str">
        <f>IFERROR(ROUND(VLOOKUP($T323,공사현장대장!$A$5:$T$330,9)/1000,0),"")</f>
        <v/>
      </c>
      <c r="K323" s="225"/>
      <c r="L323" s="209"/>
      <c r="M323" s="209"/>
      <c r="N323" s="209"/>
      <c r="O323" s="209"/>
      <c r="P323" s="209"/>
      <c r="Q323" s="209"/>
      <c r="R323" s="263" t="s">
        <v>38</v>
      </c>
      <c r="S323" s="266" t="s">
        <v>115</v>
      </c>
      <c r="T323" s="229"/>
    </row>
    <row r="324" spans="1:21" ht="26.1" hidden="1" customHeight="1">
      <c r="A324" s="208"/>
      <c r="B324" s="211"/>
      <c r="C324" s="211"/>
      <c r="D324" s="212"/>
      <c r="E324" s="210" t="str">
        <f>IFERROR(VLOOKUP($T324,공사현장대장!$A$5:$T$330,4),"")</f>
        <v/>
      </c>
      <c r="F324" s="212"/>
      <c r="G324" s="265"/>
      <c r="H324" s="265"/>
      <c r="I324" s="265"/>
      <c r="J324" s="265" t="str">
        <f>IFERROR(ROUND(VLOOKUP($T324,공사현장대장!$A$5:$T$330,9)/1000,0),"")</f>
        <v/>
      </c>
      <c r="K324" s="225"/>
      <c r="L324" s="209"/>
      <c r="M324" s="209"/>
      <c r="N324" s="209"/>
      <c r="O324" s="209"/>
      <c r="P324" s="209"/>
      <c r="Q324" s="209"/>
      <c r="R324" s="263" t="s">
        <v>38</v>
      </c>
      <c r="S324" s="266" t="s">
        <v>115</v>
      </c>
      <c r="T324" s="229"/>
    </row>
    <row r="325" spans="1:21" ht="26.1" hidden="1" customHeight="1">
      <c r="A325" s="208"/>
      <c r="B325" s="211"/>
      <c r="C325" s="211"/>
      <c r="D325" s="212"/>
      <c r="E325" s="210" t="str">
        <f>IFERROR(VLOOKUP($T325,공사현장대장!$A$5:$T$330,4),"")</f>
        <v/>
      </c>
      <c r="F325" s="212"/>
      <c r="G325" s="265"/>
      <c r="H325" s="265"/>
      <c r="I325" s="265"/>
      <c r="J325" s="265" t="str">
        <f>IFERROR(ROUND(VLOOKUP($T325,공사현장대장!$A$5:$T$330,9)/1000,0),"")</f>
        <v/>
      </c>
      <c r="K325" s="225"/>
      <c r="L325" s="209"/>
      <c r="M325" s="209"/>
      <c r="N325" s="209"/>
      <c r="O325" s="209"/>
      <c r="P325" s="209"/>
      <c r="Q325" s="209"/>
      <c r="R325" s="263" t="s">
        <v>38</v>
      </c>
      <c r="S325" s="266" t="s">
        <v>115</v>
      </c>
      <c r="T325" s="229"/>
    </row>
    <row r="326" spans="1:21" ht="26.1" hidden="1" customHeight="1">
      <c r="A326" s="324" t="s">
        <v>40</v>
      </c>
      <c r="B326" s="325"/>
      <c r="C326" s="325"/>
      <c r="D326" s="325"/>
      <c r="E326" s="326"/>
      <c r="F326" s="226"/>
      <c r="G326" s="267"/>
      <c r="H326" s="267"/>
      <c r="I326" s="267"/>
      <c r="J326" s="267"/>
      <c r="K326" s="227">
        <f t="shared" ref="K326:Q326" si="63">SUM(K322-SUM(K323:K325))</f>
        <v>0</v>
      </c>
      <c r="L326" s="227">
        <f t="shared" si="63"/>
        <v>0</v>
      </c>
      <c r="M326" s="227">
        <f t="shared" si="63"/>
        <v>0</v>
      </c>
      <c r="N326" s="227">
        <f t="shared" si="63"/>
        <v>0</v>
      </c>
      <c r="O326" s="227">
        <f t="shared" si="63"/>
        <v>0</v>
      </c>
      <c r="P326" s="227">
        <f t="shared" si="63"/>
        <v>26600</v>
      </c>
      <c r="Q326" s="227">
        <f t="shared" si="63"/>
        <v>26600</v>
      </c>
      <c r="R326" s="268" t="s">
        <v>38</v>
      </c>
      <c r="S326" s="269" t="s">
        <v>115</v>
      </c>
      <c r="T326" s="230"/>
    </row>
    <row r="327" spans="1:21" ht="26.1" hidden="1" customHeight="1">
      <c r="A327" s="213" t="s">
        <v>29</v>
      </c>
      <c r="B327" s="214" t="s">
        <v>50</v>
      </c>
      <c r="C327" s="214" t="s">
        <v>31</v>
      </c>
      <c r="D327" s="215" t="s">
        <v>191</v>
      </c>
      <c r="E327" s="216" t="s">
        <v>196</v>
      </c>
      <c r="F327" s="215" t="s">
        <v>197</v>
      </c>
      <c r="G327" s="262" t="s">
        <v>46</v>
      </c>
      <c r="H327" s="262" t="s">
        <v>54</v>
      </c>
      <c r="I327" s="262" t="s">
        <v>55</v>
      </c>
      <c r="J327" s="262">
        <f>SUM(J328:J330)</f>
        <v>0</v>
      </c>
      <c r="K327" s="217"/>
      <c r="L327" s="218">
        <v>17500</v>
      </c>
      <c r="M327" s="218"/>
      <c r="N327" s="218"/>
      <c r="O327" s="218"/>
      <c r="P327" s="218"/>
      <c r="Q327" s="218">
        <f>SUM(K327:P327)</f>
        <v>17500</v>
      </c>
      <c r="R327" s="274" t="s">
        <v>87</v>
      </c>
      <c r="S327" s="266" t="s">
        <v>115</v>
      </c>
      <c r="T327" s="229"/>
      <c r="U327" s="241">
        <v>50</v>
      </c>
    </row>
    <row r="328" spans="1:21" ht="26.1" hidden="1" customHeight="1">
      <c r="A328" s="208"/>
      <c r="B328" s="211"/>
      <c r="C328" s="211"/>
      <c r="D328" s="212"/>
      <c r="E328" s="210" t="str">
        <f>IFERROR(VLOOKUP($T328,공사현장대장!$A$5:$T$330,4),"")</f>
        <v/>
      </c>
      <c r="F328" s="212"/>
      <c r="G328" s="265"/>
      <c r="H328" s="265"/>
      <c r="I328" s="265"/>
      <c r="J328" s="265" t="str">
        <f>IFERROR(ROUND(VLOOKUP($T328,공사현장대장!$A$5:$T$330,9)/1000,0),"")</f>
        <v/>
      </c>
      <c r="K328" s="225"/>
      <c r="L328" s="209"/>
      <c r="M328" s="209"/>
      <c r="N328" s="209"/>
      <c r="O328" s="209"/>
      <c r="P328" s="209"/>
      <c r="Q328" s="209"/>
      <c r="R328" s="263" t="s">
        <v>87</v>
      </c>
      <c r="S328" s="266" t="s">
        <v>115</v>
      </c>
      <c r="T328" s="229"/>
    </row>
    <row r="329" spans="1:21" ht="26.1" hidden="1" customHeight="1">
      <c r="A329" s="208"/>
      <c r="B329" s="211"/>
      <c r="C329" s="211"/>
      <c r="D329" s="212"/>
      <c r="E329" s="210" t="str">
        <f>IFERROR(VLOOKUP($T329,공사현장대장!$A$5:$T$330,4),"")</f>
        <v/>
      </c>
      <c r="F329" s="212"/>
      <c r="G329" s="265"/>
      <c r="H329" s="265"/>
      <c r="I329" s="265"/>
      <c r="J329" s="265" t="str">
        <f>IFERROR(ROUND(VLOOKUP($T329,공사현장대장!$A$5:$T$330,9)/1000,0),"")</f>
        <v/>
      </c>
      <c r="K329" s="225"/>
      <c r="L329" s="209"/>
      <c r="M329" s="209"/>
      <c r="N329" s="209"/>
      <c r="O329" s="209"/>
      <c r="P329" s="209"/>
      <c r="Q329" s="209"/>
      <c r="R329" s="263" t="s">
        <v>87</v>
      </c>
      <c r="S329" s="266" t="s">
        <v>115</v>
      </c>
      <c r="T329" s="229"/>
    </row>
    <row r="330" spans="1:21" ht="26.1" hidden="1" customHeight="1">
      <c r="A330" s="208"/>
      <c r="B330" s="211"/>
      <c r="C330" s="211"/>
      <c r="D330" s="212"/>
      <c r="E330" s="210" t="str">
        <f>IFERROR(VLOOKUP($T330,공사현장대장!$A$5:$T$330,4),"")</f>
        <v/>
      </c>
      <c r="F330" s="212"/>
      <c r="G330" s="265"/>
      <c r="H330" s="265"/>
      <c r="I330" s="265"/>
      <c r="J330" s="265" t="str">
        <f>IFERROR(ROUND(VLOOKUP($T330,공사현장대장!$A$5:$T$330,9)/1000,0),"")</f>
        <v/>
      </c>
      <c r="K330" s="225"/>
      <c r="L330" s="209"/>
      <c r="M330" s="209"/>
      <c r="N330" s="209"/>
      <c r="O330" s="209"/>
      <c r="P330" s="209"/>
      <c r="Q330" s="209"/>
      <c r="R330" s="263" t="s">
        <v>87</v>
      </c>
      <c r="S330" s="266" t="s">
        <v>115</v>
      </c>
      <c r="T330" s="229"/>
    </row>
    <row r="331" spans="1:21" ht="26.1" hidden="1" customHeight="1">
      <c r="A331" s="324" t="s">
        <v>40</v>
      </c>
      <c r="B331" s="325"/>
      <c r="C331" s="325"/>
      <c r="D331" s="325"/>
      <c r="E331" s="326"/>
      <c r="F331" s="226"/>
      <c r="G331" s="267"/>
      <c r="H331" s="267"/>
      <c r="I331" s="267"/>
      <c r="J331" s="267"/>
      <c r="K331" s="227">
        <f t="shared" ref="K331:Q331" si="64">SUM(K327-SUM(K328:K330))</f>
        <v>0</v>
      </c>
      <c r="L331" s="227">
        <f t="shared" si="64"/>
        <v>17500</v>
      </c>
      <c r="M331" s="227">
        <f t="shared" si="64"/>
        <v>0</v>
      </c>
      <c r="N331" s="227">
        <f t="shared" si="64"/>
        <v>0</v>
      </c>
      <c r="O331" s="227">
        <f t="shared" si="64"/>
        <v>0</v>
      </c>
      <c r="P331" s="227">
        <f t="shared" si="64"/>
        <v>0</v>
      </c>
      <c r="Q331" s="227">
        <f t="shared" si="64"/>
        <v>17500</v>
      </c>
      <c r="R331" s="268" t="s">
        <v>87</v>
      </c>
      <c r="S331" s="269" t="s">
        <v>115</v>
      </c>
      <c r="T331" s="230"/>
    </row>
    <row r="332" spans="1:21" ht="26.1" hidden="1" customHeight="1">
      <c r="A332" s="213" t="s">
        <v>29</v>
      </c>
      <c r="B332" s="214" t="s">
        <v>50</v>
      </c>
      <c r="C332" s="214" t="s">
        <v>31</v>
      </c>
      <c r="D332" s="215" t="s">
        <v>191</v>
      </c>
      <c r="E332" s="216" t="s">
        <v>198</v>
      </c>
      <c r="F332" s="215" t="s">
        <v>59</v>
      </c>
      <c r="G332" s="262" t="s">
        <v>46</v>
      </c>
      <c r="H332" s="262" t="s">
        <v>54</v>
      </c>
      <c r="I332" s="262" t="s">
        <v>55</v>
      </c>
      <c r="J332" s="262">
        <f>SUM(J333:J335)</f>
        <v>0</v>
      </c>
      <c r="K332" s="217"/>
      <c r="L332" s="218"/>
      <c r="M332" s="218"/>
      <c r="N332" s="218"/>
      <c r="O332" s="218"/>
      <c r="P332" s="218">
        <v>19250</v>
      </c>
      <c r="Q332" s="218">
        <f>SUM(K332:P332)</f>
        <v>19250</v>
      </c>
      <c r="R332" s="263" t="s">
        <v>38</v>
      </c>
      <c r="S332" s="266" t="s">
        <v>115</v>
      </c>
      <c r="T332" s="229"/>
    </row>
    <row r="333" spans="1:21" ht="26.1" hidden="1" customHeight="1">
      <c r="A333" s="208"/>
      <c r="B333" s="211"/>
      <c r="C333" s="211"/>
      <c r="D333" s="212"/>
      <c r="E333" s="210" t="str">
        <f>IFERROR(VLOOKUP($T333,공사현장대장!$A$5:$T$330,4),"")</f>
        <v/>
      </c>
      <c r="F333" s="212"/>
      <c r="G333" s="265"/>
      <c r="H333" s="265"/>
      <c r="I333" s="265"/>
      <c r="J333" s="265" t="str">
        <f>IFERROR(ROUND(VLOOKUP($T333,공사현장대장!$A$5:$T$330,9)/1000,0),"")</f>
        <v/>
      </c>
      <c r="K333" s="225"/>
      <c r="L333" s="209"/>
      <c r="M333" s="209"/>
      <c r="N333" s="209"/>
      <c r="O333" s="209"/>
      <c r="P333" s="209"/>
      <c r="Q333" s="209"/>
      <c r="R333" s="263" t="s">
        <v>38</v>
      </c>
      <c r="S333" s="266" t="s">
        <v>115</v>
      </c>
      <c r="T333" s="229"/>
    </row>
    <row r="334" spans="1:21" ht="26.1" hidden="1" customHeight="1">
      <c r="A334" s="208"/>
      <c r="B334" s="211"/>
      <c r="C334" s="211"/>
      <c r="D334" s="212"/>
      <c r="E334" s="210" t="str">
        <f>IFERROR(VLOOKUP($T334,공사현장대장!$A$5:$T$330,4),"")</f>
        <v/>
      </c>
      <c r="F334" s="212"/>
      <c r="G334" s="265"/>
      <c r="H334" s="265"/>
      <c r="I334" s="265"/>
      <c r="J334" s="265" t="str">
        <f>IFERROR(ROUND(VLOOKUP($T334,공사현장대장!$A$5:$T$330,9)/1000,0),"")</f>
        <v/>
      </c>
      <c r="K334" s="225"/>
      <c r="L334" s="209"/>
      <c r="M334" s="209"/>
      <c r="N334" s="209"/>
      <c r="O334" s="209"/>
      <c r="P334" s="209"/>
      <c r="Q334" s="209"/>
      <c r="R334" s="263" t="s">
        <v>38</v>
      </c>
      <c r="S334" s="266" t="s">
        <v>115</v>
      </c>
      <c r="T334" s="229"/>
    </row>
    <row r="335" spans="1:21" ht="26.1" hidden="1" customHeight="1">
      <c r="A335" s="208"/>
      <c r="B335" s="211"/>
      <c r="C335" s="211"/>
      <c r="D335" s="212"/>
      <c r="E335" s="210" t="str">
        <f>IFERROR(VLOOKUP($T335,공사현장대장!$A$5:$T$330,4),"")</f>
        <v/>
      </c>
      <c r="F335" s="212"/>
      <c r="G335" s="265"/>
      <c r="H335" s="265"/>
      <c r="I335" s="265"/>
      <c r="J335" s="265" t="str">
        <f>IFERROR(ROUND(VLOOKUP($T335,공사현장대장!$A$5:$T$330,9)/1000,0),"")</f>
        <v/>
      </c>
      <c r="K335" s="225"/>
      <c r="L335" s="209"/>
      <c r="M335" s="209"/>
      <c r="N335" s="209"/>
      <c r="O335" s="209"/>
      <c r="P335" s="209"/>
      <c r="Q335" s="209"/>
      <c r="R335" s="263" t="s">
        <v>38</v>
      </c>
      <c r="S335" s="266" t="s">
        <v>115</v>
      </c>
      <c r="T335" s="229"/>
    </row>
    <row r="336" spans="1:21" ht="26.1" hidden="1" customHeight="1">
      <c r="A336" s="324" t="s">
        <v>40</v>
      </c>
      <c r="B336" s="325"/>
      <c r="C336" s="325"/>
      <c r="D336" s="325"/>
      <c r="E336" s="326"/>
      <c r="F336" s="226"/>
      <c r="G336" s="267"/>
      <c r="H336" s="267"/>
      <c r="I336" s="267"/>
      <c r="J336" s="267"/>
      <c r="K336" s="227">
        <f t="shared" ref="K336:Q336" si="65">SUM(K332-SUM(K333:K335))</f>
        <v>0</v>
      </c>
      <c r="L336" s="227">
        <f t="shared" si="65"/>
        <v>0</v>
      </c>
      <c r="M336" s="227">
        <f t="shared" si="65"/>
        <v>0</v>
      </c>
      <c r="N336" s="227">
        <f t="shared" si="65"/>
        <v>0</v>
      </c>
      <c r="O336" s="227">
        <f t="shared" si="65"/>
        <v>0</v>
      </c>
      <c r="P336" s="227">
        <f t="shared" si="65"/>
        <v>19250</v>
      </c>
      <c r="Q336" s="227">
        <f t="shared" si="65"/>
        <v>19250</v>
      </c>
      <c r="R336" s="268" t="s">
        <v>38</v>
      </c>
      <c r="S336" s="269" t="s">
        <v>115</v>
      </c>
      <c r="T336" s="230"/>
    </row>
    <row r="337" spans="1:29" ht="26.1" hidden="1" customHeight="1">
      <c r="A337" s="213" t="s">
        <v>29</v>
      </c>
      <c r="B337" s="214" t="s">
        <v>50</v>
      </c>
      <c r="C337" s="214" t="s">
        <v>31</v>
      </c>
      <c r="D337" s="215" t="s">
        <v>191</v>
      </c>
      <c r="E337" s="216" t="s">
        <v>199</v>
      </c>
      <c r="F337" s="215" t="s">
        <v>200</v>
      </c>
      <c r="G337" s="262" t="s">
        <v>46</v>
      </c>
      <c r="H337" s="262" t="s">
        <v>54</v>
      </c>
      <c r="I337" s="262" t="s">
        <v>55</v>
      </c>
      <c r="J337" s="262">
        <f>SUM(J338:J340)</f>
        <v>0</v>
      </c>
      <c r="K337" s="217"/>
      <c r="L337" s="218">
        <v>17150</v>
      </c>
      <c r="M337" s="218"/>
      <c r="N337" s="218"/>
      <c r="O337" s="218"/>
      <c r="P337" s="218"/>
      <c r="Q337" s="218">
        <f>SUM(K337:P337)</f>
        <v>17150</v>
      </c>
      <c r="R337" s="274" t="s">
        <v>87</v>
      </c>
      <c r="S337" s="266" t="s">
        <v>115</v>
      </c>
      <c r="T337" s="229"/>
      <c r="U337" s="241">
        <v>49</v>
      </c>
    </row>
    <row r="338" spans="1:29" ht="26.1" hidden="1" customHeight="1">
      <c r="A338" s="208"/>
      <c r="B338" s="211"/>
      <c r="C338" s="211"/>
      <c r="D338" s="212"/>
      <c r="E338" s="210" t="str">
        <f>IFERROR(VLOOKUP($T338,공사현장대장!$A$5:$T$330,4),"")</f>
        <v/>
      </c>
      <c r="F338" s="212"/>
      <c r="G338" s="265"/>
      <c r="H338" s="265"/>
      <c r="I338" s="265"/>
      <c r="J338" s="265" t="str">
        <f>IFERROR(ROUND(VLOOKUP($T338,공사현장대장!$A$5:$T$330,9)/1000,0),"")</f>
        <v/>
      </c>
      <c r="K338" s="225"/>
      <c r="L338" s="209"/>
      <c r="M338" s="209"/>
      <c r="N338" s="209"/>
      <c r="O338" s="209"/>
      <c r="P338" s="209"/>
      <c r="Q338" s="209"/>
      <c r="R338" s="263" t="s">
        <v>87</v>
      </c>
      <c r="S338" s="266" t="s">
        <v>115</v>
      </c>
      <c r="T338" s="229"/>
    </row>
    <row r="339" spans="1:29" ht="26.1" hidden="1" customHeight="1">
      <c r="A339" s="208"/>
      <c r="B339" s="211"/>
      <c r="C339" s="211"/>
      <c r="D339" s="212"/>
      <c r="E339" s="210" t="str">
        <f>IFERROR(VLOOKUP($T339,공사현장대장!$A$5:$T$330,4),"")</f>
        <v/>
      </c>
      <c r="F339" s="212"/>
      <c r="G339" s="265"/>
      <c r="H339" s="265"/>
      <c r="I339" s="265"/>
      <c r="J339" s="265" t="str">
        <f>IFERROR(ROUND(VLOOKUP($T339,공사현장대장!$A$5:$T$330,9)/1000,0),"")</f>
        <v/>
      </c>
      <c r="K339" s="225"/>
      <c r="L339" s="209"/>
      <c r="M339" s="209"/>
      <c r="N339" s="209"/>
      <c r="O339" s="209"/>
      <c r="P339" s="209"/>
      <c r="Q339" s="209"/>
      <c r="R339" s="263" t="s">
        <v>87</v>
      </c>
      <c r="S339" s="266" t="s">
        <v>115</v>
      </c>
      <c r="T339" s="229"/>
    </row>
    <row r="340" spans="1:29" ht="26.1" hidden="1" customHeight="1">
      <c r="A340" s="208"/>
      <c r="B340" s="211"/>
      <c r="C340" s="211"/>
      <c r="D340" s="212"/>
      <c r="E340" s="210" t="str">
        <f>IFERROR(VLOOKUP($T340,공사현장대장!$A$5:$T$330,4),"")</f>
        <v/>
      </c>
      <c r="F340" s="212"/>
      <c r="G340" s="265"/>
      <c r="H340" s="265"/>
      <c r="I340" s="265"/>
      <c r="J340" s="265" t="str">
        <f>IFERROR(ROUND(VLOOKUP($T340,공사현장대장!$A$5:$T$330,9)/1000,0),"")</f>
        <v/>
      </c>
      <c r="K340" s="225"/>
      <c r="L340" s="209"/>
      <c r="M340" s="209"/>
      <c r="N340" s="209"/>
      <c r="O340" s="209"/>
      <c r="P340" s="209"/>
      <c r="Q340" s="209"/>
      <c r="R340" s="263" t="s">
        <v>87</v>
      </c>
      <c r="S340" s="266" t="s">
        <v>115</v>
      </c>
      <c r="T340" s="229"/>
    </row>
    <row r="341" spans="1:29" ht="26.1" hidden="1" customHeight="1">
      <c r="A341" s="324" t="s">
        <v>40</v>
      </c>
      <c r="B341" s="325"/>
      <c r="C341" s="325"/>
      <c r="D341" s="325"/>
      <c r="E341" s="326"/>
      <c r="F341" s="226"/>
      <c r="G341" s="267"/>
      <c r="H341" s="267"/>
      <c r="I341" s="267"/>
      <c r="J341" s="267"/>
      <c r="K341" s="227">
        <f t="shared" ref="K341:Q341" si="66">SUM(K337-SUM(K338:K340))</f>
        <v>0</v>
      </c>
      <c r="L341" s="227">
        <f t="shared" si="66"/>
        <v>17150</v>
      </c>
      <c r="M341" s="227">
        <f t="shared" si="66"/>
        <v>0</v>
      </c>
      <c r="N341" s="227">
        <f t="shared" si="66"/>
        <v>0</v>
      </c>
      <c r="O341" s="227">
        <f t="shared" si="66"/>
        <v>0</v>
      </c>
      <c r="P341" s="227">
        <f t="shared" si="66"/>
        <v>0</v>
      </c>
      <c r="Q341" s="227">
        <f t="shared" si="66"/>
        <v>17150</v>
      </c>
      <c r="R341" s="268" t="s">
        <v>87</v>
      </c>
      <c r="S341" s="269" t="s">
        <v>115</v>
      </c>
      <c r="T341" s="230"/>
    </row>
    <row r="342" spans="1:29" ht="26.1" hidden="1" customHeight="1">
      <c r="A342" s="213" t="s">
        <v>29</v>
      </c>
      <c r="B342" s="214" t="s">
        <v>50</v>
      </c>
      <c r="C342" s="214" t="s">
        <v>31</v>
      </c>
      <c r="D342" s="215" t="s">
        <v>191</v>
      </c>
      <c r="E342" s="216" t="s">
        <v>97</v>
      </c>
      <c r="F342" s="215" t="s">
        <v>201</v>
      </c>
      <c r="G342" s="262" t="s">
        <v>46</v>
      </c>
      <c r="H342" s="262" t="s">
        <v>54</v>
      </c>
      <c r="I342" s="262" t="s">
        <v>99</v>
      </c>
      <c r="J342" s="262">
        <f>SUM(J343:J345)</f>
        <v>0</v>
      </c>
      <c r="K342" s="217"/>
      <c r="L342" s="218">
        <v>20380</v>
      </c>
      <c r="M342" s="218"/>
      <c r="N342" s="218"/>
      <c r="O342" s="218"/>
      <c r="P342" s="218"/>
      <c r="Q342" s="218">
        <f>SUM(K342:P342)</f>
        <v>20380</v>
      </c>
      <c r="R342" s="274" t="s">
        <v>87</v>
      </c>
      <c r="S342" s="266" t="s">
        <v>100</v>
      </c>
      <c r="T342" s="229"/>
    </row>
    <row r="343" spans="1:29" ht="26.1" hidden="1" customHeight="1">
      <c r="A343" s="208"/>
      <c r="B343" s="211"/>
      <c r="C343" s="211"/>
      <c r="D343" s="212"/>
      <c r="E343" s="210" t="str">
        <f>IFERROR(VLOOKUP($T343,공사현장대장!$A$5:$T$330,4),"")</f>
        <v/>
      </c>
      <c r="F343" s="212"/>
      <c r="G343" s="265"/>
      <c r="H343" s="265"/>
      <c r="I343" s="265"/>
      <c r="J343" s="265" t="str">
        <f>IFERROR(ROUND(VLOOKUP($T343,공사현장대장!$A$5:$T$330,9)/1000,0),"")</f>
        <v/>
      </c>
      <c r="K343" s="225"/>
      <c r="L343" s="209"/>
      <c r="M343" s="209"/>
      <c r="N343" s="209"/>
      <c r="O343" s="209"/>
      <c r="P343" s="209"/>
      <c r="Q343" s="209"/>
      <c r="R343" s="263" t="s">
        <v>87</v>
      </c>
      <c r="S343" s="266" t="s">
        <v>100</v>
      </c>
      <c r="T343" s="229"/>
    </row>
    <row r="344" spans="1:29" ht="26.1" hidden="1" customHeight="1">
      <c r="A344" s="208"/>
      <c r="B344" s="211"/>
      <c r="C344" s="211"/>
      <c r="D344" s="212"/>
      <c r="E344" s="210" t="str">
        <f>IFERROR(VLOOKUP($T344,공사현장대장!$A$5:$T$330,4),"")</f>
        <v/>
      </c>
      <c r="F344" s="212"/>
      <c r="G344" s="265"/>
      <c r="H344" s="265"/>
      <c r="I344" s="265"/>
      <c r="J344" s="265" t="str">
        <f>IFERROR(ROUND(VLOOKUP($T344,공사현장대장!$A$5:$T$330,9)/1000,0),"")</f>
        <v/>
      </c>
      <c r="K344" s="225"/>
      <c r="L344" s="209"/>
      <c r="M344" s="209"/>
      <c r="N344" s="209"/>
      <c r="O344" s="209"/>
      <c r="P344" s="209"/>
      <c r="Q344" s="209"/>
      <c r="R344" s="263" t="s">
        <v>87</v>
      </c>
      <c r="S344" s="266" t="s">
        <v>100</v>
      </c>
      <c r="T344" s="229"/>
    </row>
    <row r="345" spans="1:29" ht="26.1" hidden="1" customHeight="1">
      <c r="A345" s="208"/>
      <c r="B345" s="211"/>
      <c r="C345" s="211"/>
      <c r="D345" s="212"/>
      <c r="E345" s="210" t="str">
        <f>IFERROR(VLOOKUP($T345,공사현장대장!$A$5:$T$330,4),"")</f>
        <v/>
      </c>
      <c r="F345" s="212"/>
      <c r="G345" s="265"/>
      <c r="H345" s="265"/>
      <c r="I345" s="265"/>
      <c r="J345" s="265" t="str">
        <f>IFERROR(ROUND(VLOOKUP($T345,공사현장대장!$A$5:$T$330,9)/1000,0),"")</f>
        <v/>
      </c>
      <c r="K345" s="225"/>
      <c r="L345" s="209"/>
      <c r="M345" s="209"/>
      <c r="N345" s="209"/>
      <c r="O345" s="209"/>
      <c r="P345" s="209"/>
      <c r="Q345" s="209"/>
      <c r="R345" s="263" t="s">
        <v>87</v>
      </c>
      <c r="S345" s="266" t="s">
        <v>100</v>
      </c>
      <c r="T345" s="229"/>
    </row>
    <row r="346" spans="1:29" ht="26.1" hidden="1" customHeight="1">
      <c r="A346" s="324" t="s">
        <v>40</v>
      </c>
      <c r="B346" s="325"/>
      <c r="C346" s="325"/>
      <c r="D346" s="325"/>
      <c r="E346" s="326"/>
      <c r="F346" s="226"/>
      <c r="G346" s="267"/>
      <c r="H346" s="267"/>
      <c r="I346" s="267"/>
      <c r="J346" s="267"/>
      <c r="K346" s="227">
        <f t="shared" ref="K346:Q346" si="67">SUM(K342-SUM(K343:K345))</f>
        <v>0</v>
      </c>
      <c r="L346" s="227">
        <f t="shared" si="67"/>
        <v>20380</v>
      </c>
      <c r="M346" s="227">
        <f t="shared" si="67"/>
        <v>0</v>
      </c>
      <c r="N346" s="227">
        <f t="shared" si="67"/>
        <v>0</v>
      </c>
      <c r="O346" s="227">
        <f t="shared" si="67"/>
        <v>0</v>
      </c>
      <c r="P346" s="227">
        <f t="shared" si="67"/>
        <v>0</v>
      </c>
      <c r="Q346" s="227">
        <f t="shared" si="67"/>
        <v>20380</v>
      </c>
      <c r="R346" s="268" t="s">
        <v>87</v>
      </c>
      <c r="S346" s="269" t="s">
        <v>100</v>
      </c>
      <c r="T346" s="230"/>
    </row>
    <row r="347" spans="1:29" ht="26.1" hidden="1" customHeight="1">
      <c r="A347" s="213" t="s">
        <v>29</v>
      </c>
      <c r="B347" s="214" t="s">
        <v>50</v>
      </c>
      <c r="C347" s="214" t="s">
        <v>31</v>
      </c>
      <c r="D347" s="215" t="s">
        <v>191</v>
      </c>
      <c r="E347" s="216" t="s">
        <v>202</v>
      </c>
      <c r="F347" s="215" t="s">
        <v>136</v>
      </c>
      <c r="G347" s="262" t="s">
        <v>46</v>
      </c>
      <c r="H347" s="262" t="s">
        <v>203</v>
      </c>
      <c r="I347" s="262" t="s">
        <v>203</v>
      </c>
      <c r="J347" s="262">
        <f>SUM(J348:J350)</f>
        <v>0</v>
      </c>
      <c r="K347" s="217"/>
      <c r="L347" s="218"/>
      <c r="M347" s="218"/>
      <c r="N347" s="218"/>
      <c r="O347" s="218"/>
      <c r="P347" s="218">
        <v>7173</v>
      </c>
      <c r="Q347" s="218">
        <f>SUM(K347:P347)</f>
        <v>7173</v>
      </c>
      <c r="R347" s="270" t="s">
        <v>41</v>
      </c>
      <c r="S347" s="266" t="s">
        <v>115</v>
      </c>
      <c r="T347" s="229"/>
      <c r="V347" s="241" t="str">
        <f>B347</f>
        <v>초</v>
      </c>
      <c r="W347" s="241" t="str">
        <f>C347</f>
        <v>공립</v>
      </c>
      <c r="X347" s="241" t="str">
        <f>D347</f>
        <v>모곡초</v>
      </c>
      <c r="Y347" s="241" t="str">
        <f>E347</f>
        <v xml:space="preserve"> 교사동 장애인편의시설 설치</v>
      </c>
      <c r="Z347" s="241" t="str">
        <f>F347</f>
        <v>1식</v>
      </c>
      <c r="AA347" s="244">
        <f>Q347</f>
        <v>7173</v>
      </c>
      <c r="AB347" s="271" t="str">
        <f>R347</f>
        <v>1회추경</v>
      </c>
      <c r="AC347" s="241">
        <v>420</v>
      </c>
    </row>
    <row r="348" spans="1:29" ht="26.1" hidden="1" customHeight="1">
      <c r="A348" s="208"/>
      <c r="B348" s="211"/>
      <c r="C348" s="211"/>
      <c r="D348" s="212"/>
      <c r="E348" s="210" t="str">
        <f>IFERROR(VLOOKUP($T348,공사현장대장!$A$5:$T$330,4),"")</f>
        <v/>
      </c>
      <c r="F348" s="212"/>
      <c r="G348" s="265"/>
      <c r="H348" s="265"/>
      <c r="I348" s="265"/>
      <c r="J348" s="265" t="str">
        <f>IFERROR(ROUND(VLOOKUP($T348,공사현장대장!$A$5:$T$330,9)/1000,0),"")</f>
        <v/>
      </c>
      <c r="K348" s="225"/>
      <c r="L348" s="209"/>
      <c r="M348" s="209"/>
      <c r="N348" s="209"/>
      <c r="O348" s="209"/>
      <c r="P348" s="209"/>
      <c r="Q348" s="209"/>
      <c r="R348" s="263" t="s">
        <v>41</v>
      </c>
      <c r="S348" s="266" t="s">
        <v>115</v>
      </c>
      <c r="T348" s="229"/>
      <c r="AA348" s="244"/>
      <c r="AB348" s="271"/>
    </row>
    <row r="349" spans="1:29" ht="26.1" hidden="1" customHeight="1">
      <c r="A349" s="208"/>
      <c r="B349" s="211"/>
      <c r="C349" s="211"/>
      <c r="D349" s="212"/>
      <c r="E349" s="210" t="str">
        <f>IFERROR(VLOOKUP($T349,공사현장대장!$A$5:$T$330,4),"")</f>
        <v/>
      </c>
      <c r="F349" s="212"/>
      <c r="G349" s="265"/>
      <c r="H349" s="265"/>
      <c r="I349" s="265"/>
      <c r="J349" s="265" t="str">
        <f>IFERROR(ROUND(VLOOKUP($T349,공사현장대장!$A$5:$T$330,9)/1000,0),"")</f>
        <v/>
      </c>
      <c r="K349" s="225"/>
      <c r="L349" s="209"/>
      <c r="M349" s="209"/>
      <c r="N349" s="209"/>
      <c r="O349" s="209"/>
      <c r="P349" s="209"/>
      <c r="Q349" s="209"/>
      <c r="R349" s="263" t="s">
        <v>41</v>
      </c>
      <c r="S349" s="266" t="s">
        <v>115</v>
      </c>
      <c r="T349" s="229"/>
      <c r="AA349" s="244"/>
      <c r="AB349" s="271"/>
    </row>
    <row r="350" spans="1:29" ht="26.1" hidden="1" customHeight="1">
      <c r="A350" s="208"/>
      <c r="B350" s="211"/>
      <c r="C350" s="211"/>
      <c r="D350" s="212"/>
      <c r="E350" s="210" t="str">
        <f>IFERROR(VLOOKUP($T350,공사현장대장!$A$5:$T$330,4),"")</f>
        <v/>
      </c>
      <c r="F350" s="212"/>
      <c r="G350" s="265"/>
      <c r="H350" s="265"/>
      <c r="I350" s="265"/>
      <c r="J350" s="265" t="str">
        <f>IFERROR(ROUND(VLOOKUP($T350,공사현장대장!$A$5:$T$330,9)/1000,0),"")</f>
        <v/>
      </c>
      <c r="K350" s="225"/>
      <c r="L350" s="209"/>
      <c r="M350" s="209"/>
      <c r="N350" s="209"/>
      <c r="O350" s="209"/>
      <c r="P350" s="209"/>
      <c r="Q350" s="209"/>
      <c r="R350" s="263" t="s">
        <v>41</v>
      </c>
      <c r="S350" s="266" t="s">
        <v>115</v>
      </c>
      <c r="T350" s="229"/>
      <c r="AA350" s="244"/>
      <c r="AB350" s="271"/>
    </row>
    <row r="351" spans="1:29" ht="26.1" hidden="1" customHeight="1">
      <c r="A351" s="324" t="s">
        <v>40</v>
      </c>
      <c r="B351" s="325"/>
      <c r="C351" s="325"/>
      <c r="D351" s="325"/>
      <c r="E351" s="326"/>
      <c r="F351" s="226"/>
      <c r="G351" s="267"/>
      <c r="H351" s="267"/>
      <c r="I351" s="267"/>
      <c r="J351" s="267"/>
      <c r="K351" s="227">
        <f t="shared" ref="K351:Q351" si="68">SUM(K347-SUM(K348:K350))</f>
        <v>0</v>
      </c>
      <c r="L351" s="227">
        <f t="shared" si="68"/>
        <v>0</v>
      </c>
      <c r="M351" s="227">
        <f t="shared" si="68"/>
        <v>0</v>
      </c>
      <c r="N351" s="227">
        <f t="shared" si="68"/>
        <v>0</v>
      </c>
      <c r="O351" s="227">
        <f t="shared" si="68"/>
        <v>0</v>
      </c>
      <c r="P351" s="227">
        <f t="shared" si="68"/>
        <v>7173</v>
      </c>
      <c r="Q351" s="227">
        <f t="shared" si="68"/>
        <v>7173</v>
      </c>
      <c r="R351" s="268" t="s">
        <v>41</v>
      </c>
      <c r="S351" s="269" t="s">
        <v>115</v>
      </c>
      <c r="T351" s="230"/>
      <c r="AA351" s="244"/>
      <c r="AB351" s="271"/>
    </row>
    <row r="352" spans="1:29" ht="26.1" hidden="1" customHeight="1">
      <c r="A352" s="213" t="s">
        <v>29</v>
      </c>
      <c r="B352" s="214" t="s">
        <v>50</v>
      </c>
      <c r="C352" s="214" t="s">
        <v>31</v>
      </c>
      <c r="D352" s="215" t="s">
        <v>204</v>
      </c>
      <c r="E352" s="216" t="s">
        <v>205</v>
      </c>
      <c r="F352" s="215" t="s">
        <v>206</v>
      </c>
      <c r="G352" s="262" t="s">
        <v>46</v>
      </c>
      <c r="H352" s="262" t="s">
        <v>54</v>
      </c>
      <c r="I352" s="262" t="s">
        <v>55</v>
      </c>
      <c r="J352" s="262">
        <f>SUM(J353:J355)</f>
        <v>0</v>
      </c>
      <c r="K352" s="217"/>
      <c r="L352" s="218"/>
      <c r="M352" s="218"/>
      <c r="N352" s="218"/>
      <c r="O352" s="218"/>
      <c r="P352" s="218">
        <v>42350</v>
      </c>
      <c r="Q352" s="218">
        <f>SUM(K352:P352)</f>
        <v>42350</v>
      </c>
      <c r="R352" s="263" t="s">
        <v>38</v>
      </c>
      <c r="S352" s="266" t="s">
        <v>115</v>
      </c>
      <c r="T352" s="229"/>
    </row>
    <row r="353" spans="1:21" ht="26.1" hidden="1" customHeight="1">
      <c r="A353" s="208"/>
      <c r="B353" s="211"/>
      <c r="C353" s="211"/>
      <c r="D353" s="212"/>
      <c r="E353" s="210" t="str">
        <f>IFERROR(VLOOKUP($T353,공사현장대장!$A$5:$T$330,4),"")</f>
        <v/>
      </c>
      <c r="F353" s="212"/>
      <c r="G353" s="265"/>
      <c r="H353" s="265"/>
      <c r="I353" s="265"/>
      <c r="J353" s="265" t="str">
        <f>IFERROR(ROUND(VLOOKUP($T353,공사현장대장!$A$5:$T$330,9)/1000,0),"")</f>
        <v/>
      </c>
      <c r="K353" s="225"/>
      <c r="L353" s="209"/>
      <c r="M353" s="209"/>
      <c r="N353" s="209"/>
      <c r="O353" s="209"/>
      <c r="P353" s="209"/>
      <c r="Q353" s="209"/>
      <c r="R353" s="263" t="s">
        <v>38</v>
      </c>
      <c r="S353" s="266" t="s">
        <v>115</v>
      </c>
      <c r="T353" s="229"/>
    </row>
    <row r="354" spans="1:21" ht="26.1" hidden="1" customHeight="1">
      <c r="A354" s="208"/>
      <c r="B354" s="211"/>
      <c r="C354" s="211"/>
      <c r="D354" s="212"/>
      <c r="E354" s="210" t="str">
        <f>IFERROR(VLOOKUP($T354,공사현장대장!$A$5:$T$330,4),"")</f>
        <v/>
      </c>
      <c r="F354" s="212"/>
      <c r="G354" s="265"/>
      <c r="H354" s="265"/>
      <c r="I354" s="265"/>
      <c r="J354" s="265" t="str">
        <f>IFERROR(ROUND(VLOOKUP($T354,공사현장대장!$A$5:$T$330,9)/1000,0),"")</f>
        <v/>
      </c>
      <c r="K354" s="225"/>
      <c r="L354" s="209"/>
      <c r="M354" s="209"/>
      <c r="N354" s="209"/>
      <c r="O354" s="209"/>
      <c r="P354" s="209"/>
      <c r="Q354" s="209"/>
      <c r="R354" s="263" t="s">
        <v>38</v>
      </c>
      <c r="S354" s="266" t="s">
        <v>115</v>
      </c>
      <c r="T354" s="229"/>
    </row>
    <row r="355" spans="1:21" ht="26.1" hidden="1" customHeight="1">
      <c r="A355" s="208"/>
      <c r="B355" s="211"/>
      <c r="C355" s="211"/>
      <c r="D355" s="212"/>
      <c r="E355" s="210" t="str">
        <f>IFERROR(VLOOKUP($T355,공사현장대장!$A$5:$T$330,4),"")</f>
        <v/>
      </c>
      <c r="F355" s="212"/>
      <c r="G355" s="265"/>
      <c r="H355" s="265"/>
      <c r="I355" s="265"/>
      <c r="J355" s="265" t="str">
        <f>IFERROR(ROUND(VLOOKUP($T355,공사현장대장!$A$5:$T$330,9)/1000,0),"")</f>
        <v/>
      </c>
      <c r="K355" s="225"/>
      <c r="L355" s="209"/>
      <c r="M355" s="209"/>
      <c r="N355" s="209"/>
      <c r="O355" s="209"/>
      <c r="P355" s="209"/>
      <c r="Q355" s="209"/>
      <c r="R355" s="263" t="s">
        <v>38</v>
      </c>
      <c r="S355" s="266" t="s">
        <v>115</v>
      </c>
      <c r="T355" s="229"/>
    </row>
    <row r="356" spans="1:21" ht="26.1" hidden="1" customHeight="1">
      <c r="A356" s="324" t="s">
        <v>40</v>
      </c>
      <c r="B356" s="325"/>
      <c r="C356" s="325"/>
      <c r="D356" s="325"/>
      <c r="E356" s="326"/>
      <c r="F356" s="226"/>
      <c r="G356" s="267"/>
      <c r="H356" s="267"/>
      <c r="I356" s="267"/>
      <c r="J356" s="267"/>
      <c r="K356" s="227">
        <f t="shared" ref="K356:Q356" si="69">SUM(K352-SUM(K353:K355))</f>
        <v>0</v>
      </c>
      <c r="L356" s="227">
        <f t="shared" si="69"/>
        <v>0</v>
      </c>
      <c r="M356" s="227">
        <f t="shared" si="69"/>
        <v>0</v>
      </c>
      <c r="N356" s="227">
        <f t="shared" si="69"/>
        <v>0</v>
      </c>
      <c r="O356" s="227">
        <f t="shared" si="69"/>
        <v>0</v>
      </c>
      <c r="P356" s="227">
        <f t="shared" si="69"/>
        <v>42350</v>
      </c>
      <c r="Q356" s="227">
        <f t="shared" si="69"/>
        <v>42350</v>
      </c>
      <c r="R356" s="268" t="s">
        <v>38</v>
      </c>
      <c r="S356" s="269" t="s">
        <v>115</v>
      </c>
      <c r="T356" s="230"/>
    </row>
    <row r="357" spans="1:21" ht="26.1" hidden="1" customHeight="1">
      <c r="A357" s="213" t="s">
        <v>29</v>
      </c>
      <c r="B357" s="214" t="s">
        <v>50</v>
      </c>
      <c r="C357" s="214" t="s">
        <v>31</v>
      </c>
      <c r="D357" s="215" t="s">
        <v>204</v>
      </c>
      <c r="E357" s="216" t="s">
        <v>194</v>
      </c>
      <c r="F357" s="215" t="s">
        <v>207</v>
      </c>
      <c r="G357" s="262" t="s">
        <v>46</v>
      </c>
      <c r="H357" s="262" t="s">
        <v>54</v>
      </c>
      <c r="I357" s="262" t="s">
        <v>55</v>
      </c>
      <c r="J357" s="262">
        <f>SUM(J358:J360)</f>
        <v>0</v>
      </c>
      <c r="K357" s="217"/>
      <c r="L357" s="218"/>
      <c r="M357" s="218"/>
      <c r="N357" s="218"/>
      <c r="O357" s="218"/>
      <c r="P357" s="218">
        <v>27300</v>
      </c>
      <c r="Q357" s="218">
        <f>SUM(K357:P357)</f>
        <v>27300</v>
      </c>
      <c r="R357" s="263" t="s">
        <v>38</v>
      </c>
      <c r="S357" s="266" t="s">
        <v>115</v>
      </c>
      <c r="T357" s="229"/>
    </row>
    <row r="358" spans="1:21" ht="26.1" hidden="1" customHeight="1">
      <c r="A358" s="208"/>
      <c r="B358" s="211"/>
      <c r="C358" s="211"/>
      <c r="D358" s="212"/>
      <c r="E358" s="210" t="str">
        <f>IFERROR(VLOOKUP($T358,공사현장대장!$A$5:$T$330,4),"")</f>
        <v/>
      </c>
      <c r="F358" s="212"/>
      <c r="G358" s="265"/>
      <c r="H358" s="265"/>
      <c r="I358" s="265"/>
      <c r="J358" s="265" t="str">
        <f>IFERROR(ROUND(VLOOKUP($T358,공사현장대장!$A$5:$T$330,9)/1000,0),"")</f>
        <v/>
      </c>
      <c r="K358" s="225"/>
      <c r="L358" s="209"/>
      <c r="M358" s="209"/>
      <c r="N358" s="209"/>
      <c r="O358" s="209"/>
      <c r="P358" s="209"/>
      <c r="Q358" s="209"/>
      <c r="R358" s="263" t="s">
        <v>38</v>
      </c>
      <c r="S358" s="266" t="s">
        <v>115</v>
      </c>
      <c r="T358" s="229"/>
    </row>
    <row r="359" spans="1:21" ht="26.1" hidden="1" customHeight="1">
      <c r="A359" s="208"/>
      <c r="B359" s="211"/>
      <c r="C359" s="211"/>
      <c r="D359" s="212"/>
      <c r="E359" s="210" t="str">
        <f>IFERROR(VLOOKUP($T359,공사현장대장!$A$5:$T$330,4),"")</f>
        <v/>
      </c>
      <c r="F359" s="212"/>
      <c r="G359" s="265"/>
      <c r="H359" s="265"/>
      <c r="I359" s="265"/>
      <c r="J359" s="265" t="str">
        <f>IFERROR(ROUND(VLOOKUP($T359,공사현장대장!$A$5:$T$330,9)/1000,0),"")</f>
        <v/>
      </c>
      <c r="K359" s="225"/>
      <c r="L359" s="209"/>
      <c r="M359" s="209"/>
      <c r="N359" s="209"/>
      <c r="O359" s="209"/>
      <c r="P359" s="209"/>
      <c r="Q359" s="209"/>
      <c r="R359" s="263" t="s">
        <v>38</v>
      </c>
      <c r="S359" s="266" t="s">
        <v>115</v>
      </c>
      <c r="T359" s="229"/>
    </row>
    <row r="360" spans="1:21" ht="26.1" hidden="1" customHeight="1">
      <c r="A360" s="208"/>
      <c r="B360" s="211"/>
      <c r="C360" s="211"/>
      <c r="D360" s="212"/>
      <c r="E360" s="210" t="str">
        <f>IFERROR(VLOOKUP($T360,공사현장대장!$A$5:$T$330,4),"")</f>
        <v/>
      </c>
      <c r="F360" s="212"/>
      <c r="G360" s="265"/>
      <c r="H360" s="265"/>
      <c r="I360" s="265"/>
      <c r="J360" s="265" t="str">
        <f>IFERROR(ROUND(VLOOKUP($T360,공사현장대장!$A$5:$T$330,9)/1000,0),"")</f>
        <v/>
      </c>
      <c r="K360" s="225"/>
      <c r="L360" s="209"/>
      <c r="M360" s="209"/>
      <c r="N360" s="209"/>
      <c r="O360" s="209"/>
      <c r="P360" s="209"/>
      <c r="Q360" s="209"/>
      <c r="R360" s="263" t="s">
        <v>38</v>
      </c>
      <c r="S360" s="266" t="s">
        <v>115</v>
      </c>
      <c r="T360" s="229"/>
    </row>
    <row r="361" spans="1:21" ht="26.1" hidden="1" customHeight="1">
      <c r="A361" s="324" t="s">
        <v>40</v>
      </c>
      <c r="B361" s="325"/>
      <c r="C361" s="325"/>
      <c r="D361" s="325"/>
      <c r="E361" s="326"/>
      <c r="F361" s="226"/>
      <c r="G361" s="267"/>
      <c r="H361" s="267"/>
      <c r="I361" s="267"/>
      <c r="J361" s="267"/>
      <c r="K361" s="227">
        <f t="shared" ref="K361:Q361" si="70">SUM(K357-SUM(K358:K360))</f>
        <v>0</v>
      </c>
      <c r="L361" s="227">
        <f t="shared" si="70"/>
        <v>0</v>
      </c>
      <c r="M361" s="227">
        <f t="shared" si="70"/>
        <v>0</v>
      </c>
      <c r="N361" s="227">
        <f t="shared" si="70"/>
        <v>0</v>
      </c>
      <c r="O361" s="227">
        <f t="shared" si="70"/>
        <v>0</v>
      </c>
      <c r="P361" s="227">
        <f t="shared" si="70"/>
        <v>27300</v>
      </c>
      <c r="Q361" s="227">
        <f t="shared" si="70"/>
        <v>27300</v>
      </c>
      <c r="R361" s="268" t="s">
        <v>38</v>
      </c>
      <c r="S361" s="269" t="s">
        <v>115</v>
      </c>
      <c r="T361" s="230"/>
    </row>
    <row r="362" spans="1:21" ht="26.1" hidden="1" customHeight="1">
      <c r="A362" s="213" t="s">
        <v>29</v>
      </c>
      <c r="B362" s="214" t="s">
        <v>50</v>
      </c>
      <c r="C362" s="214" t="s">
        <v>31</v>
      </c>
      <c r="D362" s="215" t="s">
        <v>204</v>
      </c>
      <c r="E362" s="216" t="s">
        <v>196</v>
      </c>
      <c r="F362" s="215" t="s">
        <v>208</v>
      </c>
      <c r="G362" s="262" t="s">
        <v>46</v>
      </c>
      <c r="H362" s="262" t="s">
        <v>54</v>
      </c>
      <c r="I362" s="262" t="s">
        <v>55</v>
      </c>
      <c r="J362" s="262">
        <f>SUM(J363:J365)</f>
        <v>0</v>
      </c>
      <c r="K362" s="217"/>
      <c r="L362" s="218">
        <v>36750</v>
      </c>
      <c r="M362" s="218"/>
      <c r="N362" s="218"/>
      <c r="O362" s="218"/>
      <c r="P362" s="218"/>
      <c r="Q362" s="218">
        <f>SUM(K362:P362)</f>
        <v>36750</v>
      </c>
      <c r="R362" s="274" t="s">
        <v>87</v>
      </c>
      <c r="S362" s="266" t="s">
        <v>115</v>
      </c>
      <c r="T362" s="229"/>
      <c r="U362" s="241">
        <v>105</v>
      </c>
    </row>
    <row r="363" spans="1:21" ht="26.1" hidden="1" customHeight="1">
      <c r="A363" s="208"/>
      <c r="B363" s="211"/>
      <c r="C363" s="211"/>
      <c r="D363" s="212"/>
      <c r="E363" s="210" t="str">
        <f>IFERROR(VLOOKUP($T363,공사현장대장!$A$5:$T$330,4),"")</f>
        <v/>
      </c>
      <c r="F363" s="212"/>
      <c r="G363" s="265"/>
      <c r="H363" s="265"/>
      <c r="I363" s="265"/>
      <c r="J363" s="265" t="str">
        <f>IFERROR(ROUND(VLOOKUP($T363,공사현장대장!$A$5:$T$330,9)/1000,0),"")</f>
        <v/>
      </c>
      <c r="K363" s="225"/>
      <c r="L363" s="209"/>
      <c r="M363" s="209"/>
      <c r="N363" s="209"/>
      <c r="O363" s="209"/>
      <c r="P363" s="209"/>
      <c r="Q363" s="209"/>
      <c r="R363" s="263" t="s">
        <v>87</v>
      </c>
      <c r="S363" s="266" t="s">
        <v>115</v>
      </c>
      <c r="T363" s="229"/>
    </row>
    <row r="364" spans="1:21" ht="26.1" hidden="1" customHeight="1">
      <c r="A364" s="208"/>
      <c r="B364" s="211"/>
      <c r="C364" s="211"/>
      <c r="D364" s="212"/>
      <c r="E364" s="210" t="str">
        <f>IFERROR(VLOOKUP($T364,공사현장대장!$A$5:$T$330,4),"")</f>
        <v/>
      </c>
      <c r="F364" s="212"/>
      <c r="G364" s="265"/>
      <c r="H364" s="265"/>
      <c r="I364" s="265"/>
      <c r="J364" s="265" t="str">
        <f>IFERROR(ROUND(VLOOKUP($T364,공사현장대장!$A$5:$T$330,9)/1000,0),"")</f>
        <v/>
      </c>
      <c r="K364" s="225"/>
      <c r="L364" s="209"/>
      <c r="M364" s="209"/>
      <c r="N364" s="209"/>
      <c r="O364" s="209"/>
      <c r="P364" s="209"/>
      <c r="Q364" s="209"/>
      <c r="R364" s="263" t="s">
        <v>87</v>
      </c>
      <c r="S364" s="266" t="s">
        <v>115</v>
      </c>
      <c r="T364" s="229"/>
    </row>
    <row r="365" spans="1:21" ht="26.1" hidden="1" customHeight="1">
      <c r="A365" s="208"/>
      <c r="B365" s="211"/>
      <c r="C365" s="211"/>
      <c r="D365" s="212"/>
      <c r="E365" s="210" t="str">
        <f>IFERROR(VLOOKUP($T365,공사현장대장!$A$5:$T$330,4),"")</f>
        <v/>
      </c>
      <c r="F365" s="212"/>
      <c r="G365" s="265"/>
      <c r="H365" s="265"/>
      <c r="I365" s="265"/>
      <c r="J365" s="265" t="str">
        <f>IFERROR(ROUND(VLOOKUP($T365,공사현장대장!$A$5:$T$330,9)/1000,0),"")</f>
        <v/>
      </c>
      <c r="K365" s="225"/>
      <c r="L365" s="209"/>
      <c r="M365" s="209"/>
      <c r="N365" s="209"/>
      <c r="O365" s="209"/>
      <c r="P365" s="209"/>
      <c r="Q365" s="209"/>
      <c r="R365" s="263" t="s">
        <v>87</v>
      </c>
      <c r="S365" s="266" t="s">
        <v>115</v>
      </c>
      <c r="T365" s="229"/>
    </row>
    <row r="366" spans="1:21" ht="26.1" hidden="1" customHeight="1">
      <c r="A366" s="324" t="s">
        <v>40</v>
      </c>
      <c r="B366" s="325"/>
      <c r="C366" s="325"/>
      <c r="D366" s="325"/>
      <c r="E366" s="326"/>
      <c r="F366" s="226"/>
      <c r="G366" s="267"/>
      <c r="H366" s="267"/>
      <c r="I366" s="267"/>
      <c r="J366" s="267"/>
      <c r="K366" s="227">
        <f t="shared" ref="K366:Q366" si="71">SUM(K362-SUM(K363:K365))</f>
        <v>0</v>
      </c>
      <c r="L366" s="227">
        <f t="shared" si="71"/>
        <v>36750</v>
      </c>
      <c r="M366" s="227">
        <f t="shared" si="71"/>
        <v>0</v>
      </c>
      <c r="N366" s="227">
        <f t="shared" si="71"/>
        <v>0</v>
      </c>
      <c r="O366" s="227">
        <f t="shared" si="71"/>
        <v>0</v>
      </c>
      <c r="P366" s="227">
        <f t="shared" si="71"/>
        <v>0</v>
      </c>
      <c r="Q366" s="227">
        <f t="shared" si="71"/>
        <v>36750</v>
      </c>
      <c r="R366" s="268" t="s">
        <v>87</v>
      </c>
      <c r="S366" s="269" t="s">
        <v>115</v>
      </c>
      <c r="T366" s="230"/>
    </row>
    <row r="367" spans="1:21" ht="26.1" hidden="1" customHeight="1">
      <c r="A367" s="213" t="s">
        <v>29</v>
      </c>
      <c r="B367" s="214" t="s">
        <v>50</v>
      </c>
      <c r="C367" s="214" t="s">
        <v>31</v>
      </c>
      <c r="D367" s="215" t="s">
        <v>204</v>
      </c>
      <c r="E367" s="216" t="s">
        <v>209</v>
      </c>
      <c r="F367" s="215" t="s">
        <v>210</v>
      </c>
      <c r="G367" s="262" t="s">
        <v>46</v>
      </c>
      <c r="H367" s="262" t="s">
        <v>54</v>
      </c>
      <c r="I367" s="262" t="s">
        <v>99</v>
      </c>
      <c r="J367" s="262">
        <f>SUM(J368:J370)</f>
        <v>0</v>
      </c>
      <c r="K367" s="217"/>
      <c r="L367" s="218">
        <v>44196</v>
      </c>
      <c r="M367" s="218"/>
      <c r="N367" s="218"/>
      <c r="O367" s="218"/>
      <c r="P367" s="218"/>
      <c r="Q367" s="218">
        <f>SUM(K367:P367)</f>
        <v>44196</v>
      </c>
      <c r="R367" s="274" t="s">
        <v>87</v>
      </c>
      <c r="S367" s="266" t="s">
        <v>100</v>
      </c>
      <c r="T367" s="229"/>
    </row>
    <row r="368" spans="1:21" ht="26.1" hidden="1" customHeight="1">
      <c r="A368" s="208"/>
      <c r="B368" s="211"/>
      <c r="C368" s="211"/>
      <c r="D368" s="212"/>
      <c r="E368" s="210" t="str">
        <f>IFERROR(VLOOKUP($T368,공사현장대장!$A$5:$T$330,4),"")</f>
        <v/>
      </c>
      <c r="F368" s="212"/>
      <c r="G368" s="265"/>
      <c r="H368" s="265"/>
      <c r="I368" s="265"/>
      <c r="J368" s="265" t="str">
        <f>IFERROR(ROUND(VLOOKUP($T368,공사현장대장!$A$5:$T$330,9)/1000,0),"")</f>
        <v/>
      </c>
      <c r="K368" s="225"/>
      <c r="L368" s="209"/>
      <c r="M368" s="209"/>
      <c r="N368" s="209"/>
      <c r="O368" s="209"/>
      <c r="P368" s="209"/>
      <c r="Q368" s="209"/>
      <c r="R368" s="263" t="s">
        <v>87</v>
      </c>
      <c r="S368" s="266" t="s">
        <v>100</v>
      </c>
      <c r="T368" s="229"/>
    </row>
    <row r="369" spans="1:20" ht="26.1" hidden="1" customHeight="1">
      <c r="A369" s="208"/>
      <c r="B369" s="211"/>
      <c r="C369" s="211"/>
      <c r="D369" s="212"/>
      <c r="E369" s="210" t="str">
        <f>IFERROR(VLOOKUP($T369,공사현장대장!$A$5:$T$330,4),"")</f>
        <v/>
      </c>
      <c r="F369" s="212"/>
      <c r="G369" s="265"/>
      <c r="H369" s="265"/>
      <c r="I369" s="265"/>
      <c r="J369" s="265" t="str">
        <f>IFERROR(ROUND(VLOOKUP($T369,공사현장대장!$A$5:$T$330,9)/1000,0),"")</f>
        <v/>
      </c>
      <c r="K369" s="225"/>
      <c r="L369" s="209"/>
      <c r="M369" s="209"/>
      <c r="N369" s="209"/>
      <c r="O369" s="209"/>
      <c r="P369" s="209"/>
      <c r="Q369" s="209"/>
      <c r="R369" s="263" t="s">
        <v>87</v>
      </c>
      <c r="S369" s="266" t="s">
        <v>100</v>
      </c>
      <c r="T369" s="229"/>
    </row>
    <row r="370" spans="1:20" ht="26.1" hidden="1" customHeight="1">
      <c r="A370" s="208"/>
      <c r="B370" s="211"/>
      <c r="C370" s="211"/>
      <c r="D370" s="212"/>
      <c r="E370" s="210" t="str">
        <f>IFERROR(VLOOKUP($T370,공사현장대장!$A$5:$T$330,4),"")</f>
        <v/>
      </c>
      <c r="F370" s="212"/>
      <c r="G370" s="265"/>
      <c r="H370" s="265"/>
      <c r="I370" s="265"/>
      <c r="J370" s="265" t="str">
        <f>IFERROR(ROUND(VLOOKUP($T370,공사현장대장!$A$5:$T$330,9)/1000,0),"")</f>
        <v/>
      </c>
      <c r="K370" s="225"/>
      <c r="L370" s="209"/>
      <c r="M370" s="209"/>
      <c r="N370" s="209"/>
      <c r="O370" s="209"/>
      <c r="P370" s="209"/>
      <c r="Q370" s="209"/>
      <c r="R370" s="263" t="s">
        <v>87</v>
      </c>
      <c r="S370" s="266" t="s">
        <v>100</v>
      </c>
      <c r="T370" s="229"/>
    </row>
    <row r="371" spans="1:20" ht="26.1" hidden="1" customHeight="1">
      <c r="A371" s="324" t="s">
        <v>40</v>
      </c>
      <c r="B371" s="325"/>
      <c r="C371" s="325"/>
      <c r="D371" s="325"/>
      <c r="E371" s="326"/>
      <c r="F371" s="226"/>
      <c r="G371" s="267"/>
      <c r="H371" s="267"/>
      <c r="I371" s="267"/>
      <c r="J371" s="267"/>
      <c r="K371" s="227">
        <f t="shared" ref="K371:Q371" si="72">SUM(K367-SUM(K368:K370))</f>
        <v>0</v>
      </c>
      <c r="L371" s="227">
        <f t="shared" si="72"/>
        <v>44196</v>
      </c>
      <c r="M371" s="227">
        <f t="shared" si="72"/>
        <v>0</v>
      </c>
      <c r="N371" s="227">
        <f t="shared" si="72"/>
        <v>0</v>
      </c>
      <c r="O371" s="227">
        <f t="shared" si="72"/>
        <v>0</v>
      </c>
      <c r="P371" s="227">
        <f t="shared" si="72"/>
        <v>0</v>
      </c>
      <c r="Q371" s="227">
        <f t="shared" si="72"/>
        <v>44196</v>
      </c>
      <c r="R371" s="268" t="s">
        <v>87</v>
      </c>
      <c r="S371" s="269" t="s">
        <v>100</v>
      </c>
      <c r="T371" s="230"/>
    </row>
    <row r="372" spans="1:20" ht="26.1" hidden="1" customHeight="1">
      <c r="A372" s="213" t="s">
        <v>29</v>
      </c>
      <c r="B372" s="214" t="s">
        <v>50</v>
      </c>
      <c r="C372" s="214" t="s">
        <v>31</v>
      </c>
      <c r="D372" s="215" t="s">
        <v>204</v>
      </c>
      <c r="E372" s="216" t="s">
        <v>142</v>
      </c>
      <c r="F372" s="215" t="s">
        <v>211</v>
      </c>
      <c r="G372" s="262" t="s">
        <v>46</v>
      </c>
      <c r="H372" s="262" t="s">
        <v>54</v>
      </c>
      <c r="I372" s="262" t="s">
        <v>121</v>
      </c>
      <c r="J372" s="262">
        <f>SUM(J373:J375)</f>
        <v>0</v>
      </c>
      <c r="K372" s="217"/>
      <c r="L372" s="218">
        <v>80832</v>
      </c>
      <c r="M372" s="218"/>
      <c r="N372" s="218"/>
      <c r="O372" s="218"/>
      <c r="P372" s="218"/>
      <c r="Q372" s="218">
        <f>SUM(K372:P372)</f>
        <v>80832</v>
      </c>
      <c r="R372" s="263" t="s">
        <v>38</v>
      </c>
      <c r="S372" s="266" t="s">
        <v>115</v>
      </c>
      <c r="T372" s="229"/>
    </row>
    <row r="373" spans="1:20" ht="26.1" hidden="1" customHeight="1">
      <c r="A373" s="208"/>
      <c r="B373" s="211"/>
      <c r="C373" s="211"/>
      <c r="D373" s="212"/>
      <c r="E373" s="210" t="str">
        <f>IFERROR(VLOOKUP($T373,공사현장대장!$A$5:$T$330,4),"")</f>
        <v/>
      </c>
      <c r="F373" s="212"/>
      <c r="G373" s="265"/>
      <c r="H373" s="265"/>
      <c r="I373" s="265"/>
      <c r="J373" s="265" t="str">
        <f>IFERROR(ROUND(VLOOKUP($T373,공사현장대장!$A$5:$T$330,9)/1000,0),"")</f>
        <v/>
      </c>
      <c r="K373" s="225"/>
      <c r="L373" s="209"/>
      <c r="M373" s="209"/>
      <c r="N373" s="209"/>
      <c r="O373" s="209"/>
      <c r="P373" s="209"/>
      <c r="Q373" s="209"/>
      <c r="R373" s="263" t="s">
        <v>38</v>
      </c>
      <c r="S373" s="266" t="s">
        <v>115</v>
      </c>
      <c r="T373" s="229"/>
    </row>
    <row r="374" spans="1:20" ht="26.1" hidden="1" customHeight="1">
      <c r="A374" s="208"/>
      <c r="B374" s="211"/>
      <c r="C374" s="211"/>
      <c r="D374" s="212"/>
      <c r="E374" s="210" t="str">
        <f>IFERROR(VLOOKUP($T374,공사현장대장!$A$5:$T$330,4),"")</f>
        <v/>
      </c>
      <c r="F374" s="212"/>
      <c r="G374" s="265"/>
      <c r="H374" s="265"/>
      <c r="I374" s="265"/>
      <c r="J374" s="265" t="str">
        <f>IFERROR(ROUND(VLOOKUP($T374,공사현장대장!$A$5:$T$330,9)/1000,0),"")</f>
        <v/>
      </c>
      <c r="K374" s="225"/>
      <c r="L374" s="209"/>
      <c r="M374" s="209"/>
      <c r="N374" s="209"/>
      <c r="O374" s="209"/>
      <c r="P374" s="209"/>
      <c r="Q374" s="209"/>
      <c r="R374" s="263" t="s">
        <v>38</v>
      </c>
      <c r="S374" s="266" t="s">
        <v>115</v>
      </c>
      <c r="T374" s="229"/>
    </row>
    <row r="375" spans="1:20" ht="26.1" hidden="1" customHeight="1">
      <c r="A375" s="208"/>
      <c r="B375" s="211"/>
      <c r="C375" s="211"/>
      <c r="D375" s="212"/>
      <c r="E375" s="210" t="str">
        <f>IFERROR(VLOOKUP($T375,공사현장대장!$A$5:$T$330,4),"")</f>
        <v/>
      </c>
      <c r="F375" s="212"/>
      <c r="G375" s="265"/>
      <c r="H375" s="265"/>
      <c r="I375" s="265"/>
      <c r="J375" s="265" t="str">
        <f>IFERROR(ROUND(VLOOKUP($T375,공사현장대장!$A$5:$T$330,9)/1000,0),"")</f>
        <v/>
      </c>
      <c r="K375" s="225"/>
      <c r="L375" s="209"/>
      <c r="M375" s="209"/>
      <c r="N375" s="209"/>
      <c r="O375" s="209"/>
      <c r="P375" s="209"/>
      <c r="Q375" s="209"/>
      <c r="R375" s="263" t="s">
        <v>38</v>
      </c>
      <c r="S375" s="266" t="s">
        <v>115</v>
      </c>
      <c r="T375" s="229"/>
    </row>
    <row r="376" spans="1:20" ht="26.1" hidden="1" customHeight="1">
      <c r="A376" s="324" t="s">
        <v>40</v>
      </c>
      <c r="B376" s="325"/>
      <c r="C376" s="325"/>
      <c r="D376" s="325"/>
      <c r="E376" s="326"/>
      <c r="F376" s="226"/>
      <c r="G376" s="267"/>
      <c r="H376" s="267"/>
      <c r="I376" s="267"/>
      <c r="J376" s="267"/>
      <c r="K376" s="227">
        <f t="shared" ref="K376:Q376" si="73">SUM(K372-SUM(K373:K375))</f>
        <v>0</v>
      </c>
      <c r="L376" s="227">
        <f t="shared" si="73"/>
        <v>80832</v>
      </c>
      <c r="M376" s="227">
        <f t="shared" si="73"/>
        <v>0</v>
      </c>
      <c r="N376" s="227">
        <f t="shared" si="73"/>
        <v>0</v>
      </c>
      <c r="O376" s="227">
        <f t="shared" si="73"/>
        <v>0</v>
      </c>
      <c r="P376" s="227">
        <f t="shared" si="73"/>
        <v>0</v>
      </c>
      <c r="Q376" s="227">
        <f t="shared" si="73"/>
        <v>80832</v>
      </c>
      <c r="R376" s="268" t="s">
        <v>38</v>
      </c>
      <c r="S376" s="269" t="s">
        <v>115</v>
      </c>
      <c r="T376" s="230"/>
    </row>
    <row r="377" spans="1:20" ht="26.1" hidden="1" customHeight="1">
      <c r="A377" s="213" t="s">
        <v>29</v>
      </c>
      <c r="B377" s="214" t="s">
        <v>50</v>
      </c>
      <c r="C377" s="214" t="s">
        <v>31</v>
      </c>
      <c r="D377" s="215" t="s">
        <v>212</v>
      </c>
      <c r="E377" s="216" t="s">
        <v>213</v>
      </c>
      <c r="F377" s="215" t="s">
        <v>214</v>
      </c>
      <c r="G377" s="262" t="s">
        <v>46</v>
      </c>
      <c r="H377" s="262" t="s">
        <v>54</v>
      </c>
      <c r="I377" s="262" t="s">
        <v>55</v>
      </c>
      <c r="J377" s="262">
        <f>SUM(J378:J380)</f>
        <v>0</v>
      </c>
      <c r="K377" s="217"/>
      <c r="L377" s="218"/>
      <c r="M377" s="218"/>
      <c r="N377" s="218"/>
      <c r="O377" s="218"/>
      <c r="P377" s="218">
        <v>18550</v>
      </c>
      <c r="Q377" s="218">
        <f>SUM(K377:P377)</f>
        <v>18550</v>
      </c>
      <c r="R377" s="263" t="s">
        <v>38</v>
      </c>
      <c r="S377" s="266" t="s">
        <v>84</v>
      </c>
      <c r="T377" s="229"/>
    </row>
    <row r="378" spans="1:20" ht="26.1" hidden="1" customHeight="1">
      <c r="A378" s="208"/>
      <c r="B378" s="211"/>
      <c r="C378" s="211"/>
      <c r="D378" s="212"/>
      <c r="E378" s="210" t="str">
        <f>IFERROR(VLOOKUP($T378,공사현장대장!$A$5:$T$330,4),"")</f>
        <v/>
      </c>
      <c r="F378" s="212"/>
      <c r="G378" s="265"/>
      <c r="H378" s="265"/>
      <c r="I378" s="265"/>
      <c r="J378" s="265" t="str">
        <f>IFERROR(ROUND(VLOOKUP($T378,공사현장대장!$A$5:$T$330,9)/1000,0),"")</f>
        <v/>
      </c>
      <c r="K378" s="225"/>
      <c r="L378" s="209"/>
      <c r="M378" s="209"/>
      <c r="N378" s="209"/>
      <c r="O378" s="209"/>
      <c r="P378" s="209"/>
      <c r="Q378" s="209"/>
      <c r="R378" s="263" t="s">
        <v>38</v>
      </c>
      <c r="S378" s="266" t="s">
        <v>84</v>
      </c>
      <c r="T378" s="229"/>
    </row>
    <row r="379" spans="1:20" ht="26.1" hidden="1" customHeight="1">
      <c r="A379" s="208"/>
      <c r="B379" s="211"/>
      <c r="C379" s="211"/>
      <c r="D379" s="212"/>
      <c r="E379" s="210" t="str">
        <f>IFERROR(VLOOKUP($T379,공사현장대장!$A$5:$T$330,4),"")</f>
        <v/>
      </c>
      <c r="F379" s="212"/>
      <c r="G379" s="265"/>
      <c r="H379" s="265"/>
      <c r="I379" s="265"/>
      <c r="J379" s="265" t="str">
        <f>IFERROR(ROUND(VLOOKUP($T379,공사현장대장!$A$5:$T$330,9)/1000,0),"")</f>
        <v/>
      </c>
      <c r="K379" s="225"/>
      <c r="L379" s="209"/>
      <c r="M379" s="209"/>
      <c r="N379" s="209"/>
      <c r="O379" s="209"/>
      <c r="P379" s="209"/>
      <c r="Q379" s="209"/>
      <c r="R379" s="263" t="s">
        <v>38</v>
      </c>
      <c r="S379" s="266" t="s">
        <v>84</v>
      </c>
      <c r="T379" s="229"/>
    </row>
    <row r="380" spans="1:20" ht="26.1" hidden="1" customHeight="1">
      <c r="A380" s="208"/>
      <c r="B380" s="211"/>
      <c r="C380" s="211"/>
      <c r="D380" s="212"/>
      <c r="E380" s="210" t="str">
        <f>IFERROR(VLOOKUP($T380,공사현장대장!$A$5:$T$330,4),"")</f>
        <v/>
      </c>
      <c r="F380" s="212"/>
      <c r="G380" s="265"/>
      <c r="H380" s="265"/>
      <c r="I380" s="265"/>
      <c r="J380" s="265" t="str">
        <f>IFERROR(ROUND(VLOOKUP($T380,공사현장대장!$A$5:$T$330,9)/1000,0),"")</f>
        <v/>
      </c>
      <c r="K380" s="225"/>
      <c r="L380" s="209"/>
      <c r="M380" s="209"/>
      <c r="N380" s="209"/>
      <c r="O380" s="209"/>
      <c r="P380" s="209"/>
      <c r="Q380" s="209"/>
      <c r="R380" s="263" t="s">
        <v>38</v>
      </c>
      <c r="S380" s="266" t="s">
        <v>84</v>
      </c>
      <c r="T380" s="229"/>
    </row>
    <row r="381" spans="1:20" ht="26.1" hidden="1" customHeight="1">
      <c r="A381" s="324" t="s">
        <v>40</v>
      </c>
      <c r="B381" s="325"/>
      <c r="C381" s="325"/>
      <c r="D381" s="325"/>
      <c r="E381" s="326"/>
      <c r="F381" s="226"/>
      <c r="G381" s="267"/>
      <c r="H381" s="267"/>
      <c r="I381" s="267"/>
      <c r="J381" s="267"/>
      <c r="K381" s="227">
        <f t="shared" ref="K381:Q381" si="74">SUM(K377-SUM(K378:K380))</f>
        <v>0</v>
      </c>
      <c r="L381" s="227">
        <f t="shared" si="74"/>
        <v>0</v>
      </c>
      <c r="M381" s="227">
        <f t="shared" si="74"/>
        <v>0</v>
      </c>
      <c r="N381" s="227">
        <f t="shared" si="74"/>
        <v>0</v>
      </c>
      <c r="O381" s="227">
        <f t="shared" si="74"/>
        <v>0</v>
      </c>
      <c r="P381" s="227">
        <f t="shared" si="74"/>
        <v>18550</v>
      </c>
      <c r="Q381" s="227">
        <f t="shared" si="74"/>
        <v>18550</v>
      </c>
      <c r="R381" s="268" t="s">
        <v>38</v>
      </c>
      <c r="S381" s="269" t="s">
        <v>84</v>
      </c>
      <c r="T381" s="230"/>
    </row>
    <row r="382" spans="1:20" ht="26.1" hidden="1" customHeight="1">
      <c r="A382" s="213" t="s">
        <v>29</v>
      </c>
      <c r="B382" s="214" t="s">
        <v>50</v>
      </c>
      <c r="C382" s="214" t="s">
        <v>31</v>
      </c>
      <c r="D382" s="215" t="s">
        <v>212</v>
      </c>
      <c r="E382" s="216" t="s">
        <v>88</v>
      </c>
      <c r="F382" s="215" t="s">
        <v>215</v>
      </c>
      <c r="G382" s="262" t="s">
        <v>46</v>
      </c>
      <c r="H382" s="262" t="s">
        <v>54</v>
      </c>
      <c r="I382" s="262" t="s">
        <v>55</v>
      </c>
      <c r="J382" s="262">
        <f>SUM(J383:J385)</f>
        <v>0</v>
      </c>
      <c r="K382" s="217"/>
      <c r="L382" s="218">
        <v>166600</v>
      </c>
      <c r="M382" s="218"/>
      <c r="N382" s="218"/>
      <c r="O382" s="218"/>
      <c r="P382" s="218"/>
      <c r="Q382" s="218">
        <f>SUM(K382:P382)</f>
        <v>166600</v>
      </c>
      <c r="R382" s="263" t="s">
        <v>38</v>
      </c>
      <c r="S382" s="266" t="s">
        <v>84</v>
      </c>
      <c r="T382" s="229"/>
    </row>
    <row r="383" spans="1:20" ht="26.1" hidden="1" customHeight="1">
      <c r="A383" s="208"/>
      <c r="B383" s="211"/>
      <c r="C383" s="211"/>
      <c r="D383" s="212"/>
      <c r="E383" s="210" t="str">
        <f>IFERROR(VLOOKUP($T383,공사현장대장!$A$5:$T$330,4),"")</f>
        <v/>
      </c>
      <c r="F383" s="212"/>
      <c r="G383" s="265"/>
      <c r="H383" s="265"/>
      <c r="I383" s="265"/>
      <c r="J383" s="265" t="str">
        <f>IFERROR(ROUND(VLOOKUP($T383,공사현장대장!$A$5:$T$330,9)/1000,0),"")</f>
        <v/>
      </c>
      <c r="K383" s="225"/>
      <c r="L383" s="209"/>
      <c r="M383" s="209"/>
      <c r="N383" s="209"/>
      <c r="O383" s="209"/>
      <c r="P383" s="209"/>
      <c r="Q383" s="209"/>
      <c r="R383" s="263" t="s">
        <v>38</v>
      </c>
      <c r="S383" s="266" t="s">
        <v>84</v>
      </c>
      <c r="T383" s="229"/>
    </row>
    <row r="384" spans="1:20" ht="26.1" hidden="1" customHeight="1">
      <c r="A384" s="208"/>
      <c r="B384" s="211"/>
      <c r="C384" s="211"/>
      <c r="D384" s="212"/>
      <c r="E384" s="210" t="str">
        <f>IFERROR(VLOOKUP($T384,공사현장대장!$A$5:$T$330,4),"")</f>
        <v/>
      </c>
      <c r="F384" s="212"/>
      <c r="G384" s="265"/>
      <c r="H384" s="265"/>
      <c r="I384" s="265"/>
      <c r="J384" s="265" t="str">
        <f>IFERROR(ROUND(VLOOKUP($T384,공사현장대장!$A$5:$T$330,9)/1000,0),"")</f>
        <v/>
      </c>
      <c r="K384" s="225"/>
      <c r="L384" s="209"/>
      <c r="M384" s="209"/>
      <c r="N384" s="209"/>
      <c r="O384" s="209"/>
      <c r="P384" s="209"/>
      <c r="Q384" s="209"/>
      <c r="R384" s="263" t="s">
        <v>38</v>
      </c>
      <c r="S384" s="266" t="s">
        <v>84</v>
      </c>
      <c r="T384" s="229"/>
    </row>
    <row r="385" spans="1:20" ht="26.1" hidden="1" customHeight="1">
      <c r="A385" s="208"/>
      <c r="B385" s="211"/>
      <c r="C385" s="211"/>
      <c r="D385" s="212"/>
      <c r="E385" s="210" t="str">
        <f>IFERROR(VLOOKUP($T385,공사현장대장!$A$5:$T$330,4),"")</f>
        <v/>
      </c>
      <c r="F385" s="212"/>
      <c r="G385" s="265"/>
      <c r="H385" s="265"/>
      <c r="I385" s="265"/>
      <c r="J385" s="265" t="str">
        <f>IFERROR(ROUND(VLOOKUP($T385,공사현장대장!$A$5:$T$330,9)/1000,0),"")</f>
        <v/>
      </c>
      <c r="K385" s="225"/>
      <c r="L385" s="209"/>
      <c r="M385" s="209"/>
      <c r="N385" s="209"/>
      <c r="O385" s="209"/>
      <c r="P385" s="209"/>
      <c r="Q385" s="209"/>
      <c r="R385" s="263" t="s">
        <v>38</v>
      </c>
      <c r="S385" s="266" t="s">
        <v>84</v>
      </c>
      <c r="T385" s="229"/>
    </row>
    <row r="386" spans="1:20" ht="26.1" hidden="1" customHeight="1">
      <c r="A386" s="324" t="s">
        <v>40</v>
      </c>
      <c r="B386" s="325"/>
      <c r="C386" s="325"/>
      <c r="D386" s="325"/>
      <c r="E386" s="326"/>
      <c r="F386" s="226"/>
      <c r="G386" s="267"/>
      <c r="H386" s="267"/>
      <c r="I386" s="267"/>
      <c r="J386" s="267"/>
      <c r="K386" s="227">
        <f t="shared" ref="K386:Q386" si="75">SUM(K382-SUM(K383:K385))</f>
        <v>0</v>
      </c>
      <c r="L386" s="227">
        <f t="shared" si="75"/>
        <v>166600</v>
      </c>
      <c r="M386" s="227">
        <f t="shared" si="75"/>
        <v>0</v>
      </c>
      <c r="N386" s="227">
        <f t="shared" si="75"/>
        <v>0</v>
      </c>
      <c r="O386" s="227">
        <f t="shared" si="75"/>
        <v>0</v>
      </c>
      <c r="P386" s="227">
        <f t="shared" si="75"/>
        <v>0</v>
      </c>
      <c r="Q386" s="227">
        <f t="shared" si="75"/>
        <v>166600</v>
      </c>
      <c r="R386" s="268" t="s">
        <v>38</v>
      </c>
      <c r="S386" s="269" t="s">
        <v>84</v>
      </c>
      <c r="T386" s="230"/>
    </row>
    <row r="387" spans="1:20" ht="26.1" hidden="1" customHeight="1">
      <c r="A387" s="213" t="s">
        <v>29</v>
      </c>
      <c r="B387" s="214" t="s">
        <v>50</v>
      </c>
      <c r="C387" s="214" t="s">
        <v>31</v>
      </c>
      <c r="D387" s="215" t="s">
        <v>212</v>
      </c>
      <c r="E387" s="216" t="s">
        <v>90</v>
      </c>
      <c r="F387" s="215" t="s">
        <v>216</v>
      </c>
      <c r="G387" s="262" t="s">
        <v>46</v>
      </c>
      <c r="H387" s="262" t="s">
        <v>54</v>
      </c>
      <c r="I387" s="262" t="s">
        <v>55</v>
      </c>
      <c r="J387" s="262">
        <f>SUM(J388:J390)</f>
        <v>0</v>
      </c>
      <c r="K387" s="217"/>
      <c r="L387" s="218">
        <v>37100</v>
      </c>
      <c r="M387" s="218"/>
      <c r="N387" s="218"/>
      <c r="O387" s="218"/>
      <c r="P387" s="218"/>
      <c r="Q387" s="218">
        <f>SUM(K387:P387)</f>
        <v>37100</v>
      </c>
      <c r="R387" s="274" t="s">
        <v>87</v>
      </c>
      <c r="S387" s="266" t="s">
        <v>84</v>
      </c>
      <c r="T387" s="229"/>
    </row>
    <row r="388" spans="1:20" ht="26.1" hidden="1" customHeight="1">
      <c r="A388" s="208"/>
      <c r="B388" s="211"/>
      <c r="C388" s="211"/>
      <c r="D388" s="212"/>
      <c r="E388" s="210" t="str">
        <f>IFERROR(VLOOKUP($T388,공사현장대장!$A$5:$T$330,4),"")</f>
        <v/>
      </c>
      <c r="F388" s="212"/>
      <c r="G388" s="265"/>
      <c r="H388" s="265"/>
      <c r="I388" s="265"/>
      <c r="J388" s="265" t="str">
        <f>IFERROR(ROUND(VLOOKUP($T388,공사현장대장!$A$5:$T$330,9)/1000,0),"")</f>
        <v/>
      </c>
      <c r="K388" s="225"/>
      <c r="L388" s="209"/>
      <c r="M388" s="209"/>
      <c r="N388" s="209"/>
      <c r="O388" s="209"/>
      <c r="P388" s="209"/>
      <c r="Q388" s="209"/>
      <c r="R388" s="263" t="s">
        <v>87</v>
      </c>
      <c r="S388" s="266" t="s">
        <v>84</v>
      </c>
      <c r="T388" s="229"/>
    </row>
    <row r="389" spans="1:20" ht="26.1" hidden="1" customHeight="1">
      <c r="A389" s="208"/>
      <c r="B389" s="211"/>
      <c r="C389" s="211"/>
      <c r="D389" s="212"/>
      <c r="E389" s="210" t="str">
        <f>IFERROR(VLOOKUP($T389,공사현장대장!$A$5:$T$330,4),"")</f>
        <v/>
      </c>
      <c r="F389" s="212"/>
      <c r="G389" s="265"/>
      <c r="H389" s="265"/>
      <c r="I389" s="265"/>
      <c r="J389" s="265" t="str">
        <f>IFERROR(ROUND(VLOOKUP($T389,공사현장대장!$A$5:$T$330,9)/1000,0),"")</f>
        <v/>
      </c>
      <c r="K389" s="225"/>
      <c r="L389" s="209"/>
      <c r="M389" s="209"/>
      <c r="N389" s="209"/>
      <c r="O389" s="209"/>
      <c r="P389" s="209"/>
      <c r="Q389" s="209"/>
      <c r="R389" s="263" t="s">
        <v>87</v>
      </c>
      <c r="S389" s="266" t="s">
        <v>84</v>
      </c>
      <c r="T389" s="229"/>
    </row>
    <row r="390" spans="1:20" ht="26.1" hidden="1" customHeight="1">
      <c r="A390" s="208"/>
      <c r="B390" s="211"/>
      <c r="C390" s="211"/>
      <c r="D390" s="212"/>
      <c r="E390" s="210" t="str">
        <f>IFERROR(VLOOKUP($T390,공사현장대장!$A$5:$T$330,4),"")</f>
        <v/>
      </c>
      <c r="F390" s="212"/>
      <c r="G390" s="265"/>
      <c r="H390" s="265"/>
      <c r="I390" s="265"/>
      <c r="J390" s="265" t="str">
        <f>IFERROR(ROUND(VLOOKUP($T390,공사현장대장!$A$5:$T$330,9)/1000,0),"")</f>
        <v/>
      </c>
      <c r="K390" s="225"/>
      <c r="L390" s="209"/>
      <c r="M390" s="209"/>
      <c r="N390" s="209"/>
      <c r="O390" s="209"/>
      <c r="P390" s="209"/>
      <c r="Q390" s="209"/>
      <c r="R390" s="263" t="s">
        <v>87</v>
      </c>
      <c r="S390" s="266" t="s">
        <v>84</v>
      </c>
      <c r="T390" s="229"/>
    </row>
    <row r="391" spans="1:20" ht="26.1" hidden="1" customHeight="1">
      <c r="A391" s="324" t="s">
        <v>40</v>
      </c>
      <c r="B391" s="325"/>
      <c r="C391" s="325"/>
      <c r="D391" s="325"/>
      <c r="E391" s="326"/>
      <c r="F391" s="226"/>
      <c r="G391" s="267"/>
      <c r="H391" s="267"/>
      <c r="I391" s="267"/>
      <c r="J391" s="267"/>
      <c r="K391" s="227">
        <f t="shared" ref="K391:Q391" si="76">SUM(K387-SUM(K388:K390))</f>
        <v>0</v>
      </c>
      <c r="L391" s="227">
        <f t="shared" si="76"/>
        <v>37100</v>
      </c>
      <c r="M391" s="227">
        <f t="shared" si="76"/>
        <v>0</v>
      </c>
      <c r="N391" s="227">
        <f t="shared" si="76"/>
        <v>0</v>
      </c>
      <c r="O391" s="227">
        <f t="shared" si="76"/>
        <v>0</v>
      </c>
      <c r="P391" s="227">
        <f t="shared" si="76"/>
        <v>0</v>
      </c>
      <c r="Q391" s="227">
        <f t="shared" si="76"/>
        <v>37100</v>
      </c>
      <c r="R391" s="268" t="s">
        <v>87</v>
      </c>
      <c r="S391" s="269" t="s">
        <v>84</v>
      </c>
      <c r="T391" s="230"/>
    </row>
    <row r="392" spans="1:20" ht="26.1" hidden="1" customHeight="1">
      <c r="A392" s="213" t="s">
        <v>29</v>
      </c>
      <c r="B392" s="214" t="s">
        <v>50</v>
      </c>
      <c r="C392" s="214" t="s">
        <v>31</v>
      </c>
      <c r="D392" s="215" t="s">
        <v>212</v>
      </c>
      <c r="E392" s="216" t="s">
        <v>194</v>
      </c>
      <c r="F392" s="215" t="s">
        <v>214</v>
      </c>
      <c r="G392" s="262" t="s">
        <v>46</v>
      </c>
      <c r="H392" s="262" t="s">
        <v>54</v>
      </c>
      <c r="I392" s="262" t="s">
        <v>55</v>
      </c>
      <c r="J392" s="262">
        <f>SUM(J393:J395)</f>
        <v>0</v>
      </c>
      <c r="K392" s="217"/>
      <c r="L392" s="218"/>
      <c r="M392" s="218"/>
      <c r="N392" s="218"/>
      <c r="O392" s="218"/>
      <c r="P392" s="218">
        <v>18550</v>
      </c>
      <c r="Q392" s="218">
        <f>SUM(K392:P392)</f>
        <v>18550</v>
      </c>
      <c r="R392" s="263" t="s">
        <v>38</v>
      </c>
      <c r="S392" s="266" t="s">
        <v>84</v>
      </c>
      <c r="T392" s="229"/>
    </row>
    <row r="393" spans="1:20" ht="26.1" hidden="1" customHeight="1">
      <c r="A393" s="208"/>
      <c r="B393" s="211"/>
      <c r="C393" s="211"/>
      <c r="D393" s="212"/>
      <c r="E393" s="210" t="str">
        <f>IFERROR(VLOOKUP($T393,공사현장대장!$A$5:$T$330,4),"")</f>
        <v/>
      </c>
      <c r="F393" s="212"/>
      <c r="G393" s="265"/>
      <c r="H393" s="265"/>
      <c r="I393" s="265"/>
      <c r="J393" s="265" t="str">
        <f>IFERROR(ROUND(VLOOKUP($T393,공사현장대장!$A$5:$T$330,9)/1000,0),"")</f>
        <v/>
      </c>
      <c r="K393" s="225"/>
      <c r="L393" s="209"/>
      <c r="M393" s="209"/>
      <c r="N393" s="209"/>
      <c r="O393" s="209"/>
      <c r="P393" s="209"/>
      <c r="Q393" s="209"/>
      <c r="R393" s="263" t="s">
        <v>38</v>
      </c>
      <c r="S393" s="266" t="s">
        <v>84</v>
      </c>
      <c r="T393" s="229"/>
    </row>
    <row r="394" spans="1:20" ht="26.1" hidden="1" customHeight="1">
      <c r="A394" s="208"/>
      <c r="B394" s="211"/>
      <c r="C394" s="211"/>
      <c r="D394" s="212"/>
      <c r="E394" s="210" t="str">
        <f>IFERROR(VLOOKUP($T394,공사현장대장!$A$5:$T$330,4),"")</f>
        <v/>
      </c>
      <c r="F394" s="212"/>
      <c r="G394" s="265"/>
      <c r="H394" s="265"/>
      <c r="I394" s="265"/>
      <c r="J394" s="265" t="str">
        <f>IFERROR(ROUND(VLOOKUP($T394,공사현장대장!$A$5:$T$330,9)/1000,0),"")</f>
        <v/>
      </c>
      <c r="K394" s="225"/>
      <c r="L394" s="209"/>
      <c r="M394" s="209"/>
      <c r="N394" s="209"/>
      <c r="O394" s="209"/>
      <c r="P394" s="209"/>
      <c r="Q394" s="209"/>
      <c r="R394" s="263" t="s">
        <v>38</v>
      </c>
      <c r="S394" s="266" t="s">
        <v>84</v>
      </c>
      <c r="T394" s="229"/>
    </row>
    <row r="395" spans="1:20" ht="26.1" hidden="1" customHeight="1">
      <c r="A395" s="208"/>
      <c r="B395" s="211"/>
      <c r="C395" s="211"/>
      <c r="D395" s="212"/>
      <c r="E395" s="210" t="str">
        <f>IFERROR(VLOOKUP($T395,공사현장대장!$A$5:$T$330,4),"")</f>
        <v/>
      </c>
      <c r="F395" s="212"/>
      <c r="G395" s="265"/>
      <c r="H395" s="265"/>
      <c r="I395" s="265"/>
      <c r="J395" s="265" t="str">
        <f>IFERROR(ROUND(VLOOKUP($T395,공사현장대장!$A$5:$T$330,9)/1000,0),"")</f>
        <v/>
      </c>
      <c r="K395" s="225"/>
      <c r="L395" s="209"/>
      <c r="M395" s="209"/>
      <c r="N395" s="209"/>
      <c r="O395" s="209"/>
      <c r="P395" s="209"/>
      <c r="Q395" s="209"/>
      <c r="R395" s="263" t="s">
        <v>38</v>
      </c>
      <c r="S395" s="266" t="s">
        <v>84</v>
      </c>
      <c r="T395" s="229"/>
    </row>
    <row r="396" spans="1:20" ht="26.1" hidden="1" customHeight="1">
      <c r="A396" s="324" t="s">
        <v>40</v>
      </c>
      <c r="B396" s="325"/>
      <c r="C396" s="325"/>
      <c r="D396" s="325"/>
      <c r="E396" s="326"/>
      <c r="F396" s="226"/>
      <c r="G396" s="267"/>
      <c r="H396" s="267"/>
      <c r="I396" s="267"/>
      <c r="J396" s="267"/>
      <c r="K396" s="227">
        <f t="shared" ref="K396:Q396" si="77">SUM(K392-SUM(K393:K395))</f>
        <v>0</v>
      </c>
      <c r="L396" s="227">
        <f t="shared" si="77"/>
        <v>0</v>
      </c>
      <c r="M396" s="227">
        <f t="shared" si="77"/>
        <v>0</v>
      </c>
      <c r="N396" s="227">
        <f t="shared" si="77"/>
        <v>0</v>
      </c>
      <c r="O396" s="227">
        <f t="shared" si="77"/>
        <v>0</v>
      </c>
      <c r="P396" s="227">
        <f t="shared" si="77"/>
        <v>18550</v>
      </c>
      <c r="Q396" s="227">
        <f t="shared" si="77"/>
        <v>18550</v>
      </c>
      <c r="R396" s="268" t="s">
        <v>38</v>
      </c>
      <c r="S396" s="269" t="s">
        <v>84</v>
      </c>
      <c r="T396" s="230"/>
    </row>
    <row r="397" spans="1:20" ht="26.1" hidden="1" customHeight="1">
      <c r="A397" s="213" t="s">
        <v>29</v>
      </c>
      <c r="B397" s="214" t="s">
        <v>50</v>
      </c>
      <c r="C397" s="214" t="s">
        <v>31</v>
      </c>
      <c r="D397" s="215" t="s">
        <v>212</v>
      </c>
      <c r="E397" s="216" t="s">
        <v>217</v>
      </c>
      <c r="F397" s="215" t="s">
        <v>218</v>
      </c>
      <c r="G397" s="262" t="s">
        <v>46</v>
      </c>
      <c r="H397" s="262" t="s">
        <v>54</v>
      </c>
      <c r="I397" s="262" t="s">
        <v>55</v>
      </c>
      <c r="J397" s="262">
        <f>SUM(J398:J400)</f>
        <v>0</v>
      </c>
      <c r="K397" s="217"/>
      <c r="L397" s="218">
        <v>67900</v>
      </c>
      <c r="M397" s="218"/>
      <c r="N397" s="218"/>
      <c r="O397" s="218"/>
      <c r="P397" s="218"/>
      <c r="Q397" s="218">
        <f>SUM(K397:P397)</f>
        <v>67900</v>
      </c>
      <c r="R397" s="263" t="s">
        <v>38</v>
      </c>
      <c r="S397" s="266" t="s">
        <v>84</v>
      </c>
      <c r="T397" s="229"/>
    </row>
    <row r="398" spans="1:20" ht="26.1" hidden="1" customHeight="1">
      <c r="A398" s="208"/>
      <c r="B398" s="211"/>
      <c r="C398" s="211"/>
      <c r="D398" s="212"/>
      <c r="E398" s="210" t="str">
        <f>IFERROR(VLOOKUP($T398,공사현장대장!$A$5:$T$330,4),"")</f>
        <v/>
      </c>
      <c r="F398" s="212"/>
      <c r="G398" s="265"/>
      <c r="H398" s="265"/>
      <c r="I398" s="265"/>
      <c r="J398" s="265" t="str">
        <f>IFERROR(ROUND(VLOOKUP($T398,공사현장대장!$A$5:$T$330,9)/1000,0),"")</f>
        <v/>
      </c>
      <c r="K398" s="225"/>
      <c r="L398" s="209"/>
      <c r="M398" s="209"/>
      <c r="N398" s="209"/>
      <c r="O398" s="209"/>
      <c r="P398" s="209"/>
      <c r="Q398" s="209"/>
      <c r="R398" s="263" t="s">
        <v>38</v>
      </c>
      <c r="S398" s="266" t="s">
        <v>84</v>
      </c>
      <c r="T398" s="229"/>
    </row>
    <row r="399" spans="1:20" ht="26.1" hidden="1" customHeight="1">
      <c r="A399" s="208"/>
      <c r="B399" s="211"/>
      <c r="C399" s="211"/>
      <c r="D399" s="212"/>
      <c r="E399" s="210" t="str">
        <f>IFERROR(VLOOKUP($T399,공사현장대장!$A$5:$T$330,4),"")</f>
        <v/>
      </c>
      <c r="F399" s="212"/>
      <c r="G399" s="265"/>
      <c r="H399" s="265"/>
      <c r="I399" s="265"/>
      <c r="J399" s="265" t="str">
        <f>IFERROR(ROUND(VLOOKUP($T399,공사현장대장!$A$5:$T$330,9)/1000,0),"")</f>
        <v/>
      </c>
      <c r="K399" s="225"/>
      <c r="L399" s="209"/>
      <c r="M399" s="209"/>
      <c r="N399" s="209"/>
      <c r="O399" s="209"/>
      <c r="P399" s="209"/>
      <c r="Q399" s="209"/>
      <c r="R399" s="263" t="s">
        <v>38</v>
      </c>
      <c r="S399" s="266" t="s">
        <v>84</v>
      </c>
      <c r="T399" s="229"/>
    </row>
    <row r="400" spans="1:20" ht="26.1" hidden="1" customHeight="1">
      <c r="A400" s="208"/>
      <c r="B400" s="211"/>
      <c r="C400" s="211"/>
      <c r="D400" s="212"/>
      <c r="E400" s="210" t="str">
        <f>IFERROR(VLOOKUP($T400,공사현장대장!$A$5:$T$330,4),"")</f>
        <v/>
      </c>
      <c r="F400" s="212"/>
      <c r="G400" s="265"/>
      <c r="H400" s="265"/>
      <c r="I400" s="265"/>
      <c r="J400" s="265" t="str">
        <f>IFERROR(ROUND(VLOOKUP($T400,공사현장대장!$A$5:$T$330,9)/1000,0),"")</f>
        <v/>
      </c>
      <c r="K400" s="225"/>
      <c r="L400" s="209"/>
      <c r="M400" s="209"/>
      <c r="N400" s="209"/>
      <c r="O400" s="209"/>
      <c r="P400" s="209"/>
      <c r="Q400" s="209"/>
      <c r="R400" s="263" t="s">
        <v>38</v>
      </c>
      <c r="S400" s="266" t="s">
        <v>84</v>
      </c>
      <c r="T400" s="229"/>
    </row>
    <row r="401" spans="1:29" ht="26.1" hidden="1" customHeight="1">
      <c r="A401" s="324" t="s">
        <v>40</v>
      </c>
      <c r="B401" s="325"/>
      <c r="C401" s="325"/>
      <c r="D401" s="325"/>
      <c r="E401" s="326"/>
      <c r="F401" s="226"/>
      <c r="G401" s="267"/>
      <c r="H401" s="267"/>
      <c r="I401" s="267"/>
      <c r="J401" s="267"/>
      <c r="K401" s="227">
        <f t="shared" ref="K401:Q401" si="78">SUM(K397-SUM(K398:K400))</f>
        <v>0</v>
      </c>
      <c r="L401" s="227">
        <f t="shared" si="78"/>
        <v>67900</v>
      </c>
      <c r="M401" s="227">
        <f t="shared" si="78"/>
        <v>0</v>
      </c>
      <c r="N401" s="227">
        <f t="shared" si="78"/>
        <v>0</v>
      </c>
      <c r="O401" s="227">
        <f t="shared" si="78"/>
        <v>0</v>
      </c>
      <c r="P401" s="227">
        <f t="shared" si="78"/>
        <v>0</v>
      </c>
      <c r="Q401" s="227">
        <f t="shared" si="78"/>
        <v>67900</v>
      </c>
      <c r="R401" s="268" t="s">
        <v>38</v>
      </c>
      <c r="S401" s="269" t="s">
        <v>84</v>
      </c>
      <c r="T401" s="230"/>
    </row>
    <row r="402" spans="1:29" ht="24.75" hidden="1" customHeight="1">
      <c r="A402" s="213" t="s">
        <v>29</v>
      </c>
      <c r="B402" s="214" t="s">
        <v>50</v>
      </c>
      <c r="C402" s="214" t="s">
        <v>31</v>
      </c>
      <c r="D402" s="215" t="s">
        <v>212</v>
      </c>
      <c r="E402" s="216" t="s">
        <v>219</v>
      </c>
      <c r="F402" s="215" t="s">
        <v>220</v>
      </c>
      <c r="G402" s="262" t="s">
        <v>46</v>
      </c>
      <c r="H402" s="262" t="s">
        <v>54</v>
      </c>
      <c r="I402" s="262" t="s">
        <v>55</v>
      </c>
      <c r="J402" s="262">
        <f>SUM(J403:J405)</f>
        <v>0</v>
      </c>
      <c r="K402" s="217"/>
      <c r="L402" s="218">
        <v>52500</v>
      </c>
      <c r="M402" s="218"/>
      <c r="N402" s="218"/>
      <c r="O402" s="218"/>
      <c r="P402" s="218"/>
      <c r="Q402" s="218">
        <f>SUM(K402:P402)</f>
        <v>52500</v>
      </c>
      <c r="R402" s="274" t="s">
        <v>87</v>
      </c>
      <c r="S402" s="266" t="s">
        <v>84</v>
      </c>
      <c r="T402" s="229"/>
    </row>
    <row r="403" spans="1:29" ht="24.75" hidden="1" customHeight="1">
      <c r="A403" s="208"/>
      <c r="B403" s="211"/>
      <c r="C403" s="211"/>
      <c r="D403" s="212"/>
      <c r="E403" s="210" t="str">
        <f>IFERROR(VLOOKUP($T403,공사현장대장!$A$5:$T$330,4),"")</f>
        <v/>
      </c>
      <c r="F403" s="212"/>
      <c r="G403" s="265"/>
      <c r="H403" s="265"/>
      <c r="I403" s="265"/>
      <c r="J403" s="265" t="str">
        <f>IFERROR(ROUND(VLOOKUP($T403,공사현장대장!$A$5:$T$330,9)/1000,0),"")</f>
        <v/>
      </c>
      <c r="K403" s="225"/>
      <c r="L403" s="209"/>
      <c r="M403" s="209"/>
      <c r="N403" s="209"/>
      <c r="O403" s="209"/>
      <c r="P403" s="209"/>
      <c r="Q403" s="209"/>
      <c r="R403" s="263" t="s">
        <v>87</v>
      </c>
      <c r="S403" s="266" t="s">
        <v>84</v>
      </c>
      <c r="T403" s="229"/>
    </row>
    <row r="404" spans="1:29" ht="24.75" hidden="1" customHeight="1">
      <c r="A404" s="208"/>
      <c r="B404" s="211"/>
      <c r="C404" s="211"/>
      <c r="D404" s="212"/>
      <c r="E404" s="210" t="str">
        <f>IFERROR(VLOOKUP($T404,공사현장대장!$A$5:$T$330,4),"")</f>
        <v/>
      </c>
      <c r="F404" s="212"/>
      <c r="G404" s="265"/>
      <c r="H404" s="265"/>
      <c r="I404" s="265"/>
      <c r="J404" s="265" t="str">
        <f>IFERROR(ROUND(VLOOKUP($T404,공사현장대장!$A$5:$T$330,9)/1000,0),"")</f>
        <v/>
      </c>
      <c r="K404" s="225"/>
      <c r="L404" s="209"/>
      <c r="M404" s="209"/>
      <c r="N404" s="209"/>
      <c r="O404" s="209"/>
      <c r="P404" s="209"/>
      <c r="Q404" s="209"/>
      <c r="R404" s="263" t="s">
        <v>87</v>
      </c>
      <c r="S404" s="266" t="s">
        <v>84</v>
      </c>
      <c r="T404" s="229"/>
    </row>
    <row r="405" spans="1:29" ht="24.75" hidden="1" customHeight="1">
      <c r="A405" s="208"/>
      <c r="B405" s="211"/>
      <c r="C405" s="211"/>
      <c r="D405" s="212"/>
      <c r="E405" s="210" t="str">
        <f>IFERROR(VLOOKUP($T405,공사현장대장!$A$5:$T$330,4),"")</f>
        <v/>
      </c>
      <c r="F405" s="212"/>
      <c r="G405" s="265"/>
      <c r="H405" s="265"/>
      <c r="I405" s="265"/>
      <c r="J405" s="265" t="str">
        <f>IFERROR(ROUND(VLOOKUP($T405,공사현장대장!$A$5:$T$330,9)/1000,0),"")</f>
        <v/>
      </c>
      <c r="K405" s="225"/>
      <c r="L405" s="209"/>
      <c r="M405" s="209"/>
      <c r="N405" s="209"/>
      <c r="O405" s="209"/>
      <c r="P405" s="209"/>
      <c r="Q405" s="209"/>
      <c r="R405" s="263" t="s">
        <v>87</v>
      </c>
      <c r="S405" s="266" t="s">
        <v>84</v>
      </c>
      <c r="T405" s="229"/>
    </row>
    <row r="406" spans="1:29" ht="24.75" hidden="1" customHeight="1">
      <c r="A406" s="324" t="s">
        <v>40</v>
      </c>
      <c r="B406" s="325"/>
      <c r="C406" s="325"/>
      <c r="D406" s="325"/>
      <c r="E406" s="326"/>
      <c r="F406" s="226"/>
      <c r="G406" s="267"/>
      <c r="H406" s="267"/>
      <c r="I406" s="267"/>
      <c r="J406" s="267"/>
      <c r="K406" s="227">
        <f t="shared" ref="K406:Q406" si="79">SUM(K402-SUM(K403:K405))</f>
        <v>0</v>
      </c>
      <c r="L406" s="227">
        <f t="shared" si="79"/>
        <v>52500</v>
      </c>
      <c r="M406" s="227">
        <f t="shared" si="79"/>
        <v>0</v>
      </c>
      <c r="N406" s="227">
        <f t="shared" si="79"/>
        <v>0</v>
      </c>
      <c r="O406" s="227">
        <f t="shared" si="79"/>
        <v>0</v>
      </c>
      <c r="P406" s="227">
        <f t="shared" si="79"/>
        <v>0</v>
      </c>
      <c r="Q406" s="227">
        <f t="shared" si="79"/>
        <v>52500</v>
      </c>
      <c r="R406" s="268" t="s">
        <v>87</v>
      </c>
      <c r="S406" s="269" t="s">
        <v>84</v>
      </c>
      <c r="T406" s="230"/>
    </row>
    <row r="407" spans="1:29" ht="26.1" hidden="1" customHeight="1">
      <c r="A407" s="213" t="s">
        <v>29</v>
      </c>
      <c r="B407" s="214" t="s">
        <v>50</v>
      </c>
      <c r="C407" s="214" t="s">
        <v>31</v>
      </c>
      <c r="D407" s="215" t="s">
        <v>212</v>
      </c>
      <c r="E407" s="216" t="s">
        <v>97</v>
      </c>
      <c r="F407" s="215" t="s">
        <v>221</v>
      </c>
      <c r="G407" s="262" t="s">
        <v>46</v>
      </c>
      <c r="H407" s="262" t="s">
        <v>54</v>
      </c>
      <c r="I407" s="262" t="s">
        <v>99</v>
      </c>
      <c r="J407" s="262">
        <f>SUM(J408:J410)</f>
        <v>0</v>
      </c>
      <c r="K407" s="217"/>
      <c r="L407" s="218">
        <v>3683</v>
      </c>
      <c r="M407" s="218"/>
      <c r="N407" s="218"/>
      <c r="O407" s="218"/>
      <c r="P407" s="218"/>
      <c r="Q407" s="218">
        <f>SUM(K407:P407)</f>
        <v>3683</v>
      </c>
      <c r="R407" s="274" t="s">
        <v>87</v>
      </c>
      <c r="S407" s="266" t="s">
        <v>100</v>
      </c>
      <c r="T407" s="229"/>
    </row>
    <row r="408" spans="1:29" ht="26.1" hidden="1" customHeight="1">
      <c r="A408" s="208"/>
      <c r="B408" s="211"/>
      <c r="C408" s="211"/>
      <c r="D408" s="212"/>
      <c r="E408" s="210" t="str">
        <f>IFERROR(VLOOKUP($T408,공사현장대장!$A$5:$T$330,4),"")</f>
        <v/>
      </c>
      <c r="F408" s="212"/>
      <c r="G408" s="265"/>
      <c r="H408" s="265"/>
      <c r="I408" s="265"/>
      <c r="J408" s="265" t="str">
        <f>IFERROR(ROUND(VLOOKUP($T408,공사현장대장!$A$5:$T$330,9)/1000,0),"")</f>
        <v/>
      </c>
      <c r="K408" s="225"/>
      <c r="L408" s="209"/>
      <c r="M408" s="209"/>
      <c r="N408" s="209"/>
      <c r="O408" s="209"/>
      <c r="P408" s="209"/>
      <c r="Q408" s="209"/>
      <c r="R408" s="263" t="s">
        <v>87</v>
      </c>
      <c r="S408" s="266" t="s">
        <v>100</v>
      </c>
      <c r="T408" s="229"/>
    </row>
    <row r="409" spans="1:29" ht="26.1" hidden="1" customHeight="1">
      <c r="A409" s="208"/>
      <c r="B409" s="211"/>
      <c r="C409" s="211"/>
      <c r="D409" s="212"/>
      <c r="E409" s="210" t="str">
        <f>IFERROR(VLOOKUP($T409,공사현장대장!$A$5:$T$330,4),"")</f>
        <v/>
      </c>
      <c r="F409" s="212"/>
      <c r="G409" s="265"/>
      <c r="H409" s="265"/>
      <c r="I409" s="265"/>
      <c r="J409" s="265" t="str">
        <f>IFERROR(ROUND(VLOOKUP($T409,공사현장대장!$A$5:$T$330,9)/1000,0),"")</f>
        <v/>
      </c>
      <c r="K409" s="225"/>
      <c r="L409" s="209"/>
      <c r="M409" s="209"/>
      <c r="N409" s="209"/>
      <c r="O409" s="209"/>
      <c r="P409" s="209"/>
      <c r="Q409" s="209"/>
      <c r="R409" s="263" t="s">
        <v>87</v>
      </c>
      <c r="S409" s="266" t="s">
        <v>100</v>
      </c>
      <c r="T409" s="229"/>
    </row>
    <row r="410" spans="1:29" ht="26.1" hidden="1" customHeight="1">
      <c r="A410" s="208"/>
      <c r="B410" s="211"/>
      <c r="C410" s="211"/>
      <c r="D410" s="212"/>
      <c r="E410" s="210" t="str">
        <f>IFERROR(VLOOKUP($T410,공사현장대장!$A$5:$T$330,4),"")</f>
        <v/>
      </c>
      <c r="F410" s="212"/>
      <c r="G410" s="265"/>
      <c r="H410" s="265"/>
      <c r="I410" s="265"/>
      <c r="J410" s="265" t="str">
        <f>IFERROR(ROUND(VLOOKUP($T410,공사현장대장!$A$5:$T$330,9)/1000,0),"")</f>
        <v/>
      </c>
      <c r="K410" s="225"/>
      <c r="L410" s="209"/>
      <c r="M410" s="209"/>
      <c r="N410" s="209"/>
      <c r="O410" s="209"/>
      <c r="P410" s="209"/>
      <c r="Q410" s="209"/>
      <c r="R410" s="263" t="s">
        <v>87</v>
      </c>
      <c r="S410" s="266" t="s">
        <v>100</v>
      </c>
      <c r="T410" s="229"/>
    </row>
    <row r="411" spans="1:29" ht="26.1" hidden="1" customHeight="1">
      <c r="A411" s="324" t="s">
        <v>40</v>
      </c>
      <c r="B411" s="325"/>
      <c r="C411" s="325"/>
      <c r="D411" s="325"/>
      <c r="E411" s="326"/>
      <c r="F411" s="226"/>
      <c r="G411" s="267"/>
      <c r="H411" s="267"/>
      <c r="I411" s="267"/>
      <c r="J411" s="267"/>
      <c r="K411" s="227">
        <f t="shared" ref="K411:Q411" si="80">SUM(K407-SUM(K408:K410))</f>
        <v>0</v>
      </c>
      <c r="L411" s="227">
        <f t="shared" si="80"/>
        <v>3683</v>
      </c>
      <c r="M411" s="227">
        <f t="shared" si="80"/>
        <v>0</v>
      </c>
      <c r="N411" s="227">
        <f t="shared" si="80"/>
        <v>0</v>
      </c>
      <c r="O411" s="227">
        <f t="shared" si="80"/>
        <v>0</v>
      </c>
      <c r="P411" s="227">
        <f t="shared" si="80"/>
        <v>0</v>
      </c>
      <c r="Q411" s="227">
        <f t="shared" si="80"/>
        <v>3683</v>
      </c>
      <c r="R411" s="268" t="s">
        <v>87</v>
      </c>
      <c r="S411" s="269" t="s">
        <v>100</v>
      </c>
      <c r="T411" s="230"/>
    </row>
    <row r="412" spans="1:29" ht="26.1" hidden="1" customHeight="1">
      <c r="A412" s="213" t="s">
        <v>29</v>
      </c>
      <c r="B412" s="214" t="s">
        <v>50</v>
      </c>
      <c r="C412" s="214" t="s">
        <v>31</v>
      </c>
      <c r="D412" s="215" t="s">
        <v>212</v>
      </c>
      <c r="E412" s="216" t="s">
        <v>166</v>
      </c>
      <c r="F412" s="215" t="s">
        <v>222</v>
      </c>
      <c r="G412" s="262" t="s">
        <v>46</v>
      </c>
      <c r="H412" s="262" t="s">
        <v>54</v>
      </c>
      <c r="I412" s="262" t="s">
        <v>168</v>
      </c>
      <c r="J412" s="262">
        <f>SUM(J413:J415)</f>
        <v>0</v>
      </c>
      <c r="K412" s="217"/>
      <c r="L412" s="218">
        <v>407460</v>
      </c>
      <c r="M412" s="218"/>
      <c r="N412" s="218"/>
      <c r="O412" s="218"/>
      <c r="P412" s="218"/>
      <c r="Q412" s="218">
        <f>SUM(K412:P412)</f>
        <v>407460</v>
      </c>
      <c r="R412" s="270" t="s">
        <v>41</v>
      </c>
      <c r="S412" s="266" t="s">
        <v>84</v>
      </c>
      <c r="T412" s="229"/>
      <c r="V412" s="241" t="str">
        <f>B412</f>
        <v>초</v>
      </c>
      <c r="W412" s="241" t="str">
        <f>C412</f>
        <v>공립</v>
      </c>
      <c r="X412" s="241" t="str">
        <f>D412</f>
        <v>삼생초</v>
      </c>
      <c r="Y412" s="241" t="str">
        <f>E412</f>
        <v xml:space="preserve"> 교사동 창호교체</v>
      </c>
      <c r="Z412" s="241" t="str">
        <f>F412</f>
        <v>20실</v>
      </c>
      <c r="AA412" s="244">
        <f>Q412</f>
        <v>407460</v>
      </c>
      <c r="AB412" s="271" t="str">
        <f>R412</f>
        <v>1회추경</v>
      </c>
      <c r="AC412" s="241">
        <v>420</v>
      </c>
    </row>
    <row r="413" spans="1:29" ht="26.1" hidden="1" customHeight="1">
      <c r="A413" s="208"/>
      <c r="B413" s="211"/>
      <c r="C413" s="211"/>
      <c r="D413" s="212"/>
      <c r="E413" s="210" t="str">
        <f>IFERROR(VLOOKUP($T413,공사현장대장!$A$5:$T$330,4),"")</f>
        <v/>
      </c>
      <c r="F413" s="212"/>
      <c r="G413" s="265"/>
      <c r="H413" s="265"/>
      <c r="I413" s="265"/>
      <c r="J413" s="265" t="str">
        <f>IFERROR(ROUND(VLOOKUP($T413,공사현장대장!$A$5:$T$330,9)/1000,0),"")</f>
        <v/>
      </c>
      <c r="K413" s="225"/>
      <c r="L413" s="209"/>
      <c r="M413" s="209"/>
      <c r="N413" s="209"/>
      <c r="O413" s="209"/>
      <c r="P413" s="209"/>
      <c r="Q413" s="209"/>
      <c r="R413" s="263" t="s">
        <v>41</v>
      </c>
      <c r="S413" s="266" t="s">
        <v>84</v>
      </c>
      <c r="T413" s="229"/>
      <c r="AA413" s="244"/>
      <c r="AB413" s="271"/>
    </row>
    <row r="414" spans="1:29" ht="26.1" hidden="1" customHeight="1">
      <c r="A414" s="208"/>
      <c r="B414" s="211"/>
      <c r="C414" s="211"/>
      <c r="D414" s="212"/>
      <c r="E414" s="210" t="str">
        <f>IFERROR(VLOOKUP($T414,공사현장대장!$A$5:$T$330,4),"")</f>
        <v/>
      </c>
      <c r="F414" s="212"/>
      <c r="G414" s="265"/>
      <c r="H414" s="265"/>
      <c r="I414" s="265"/>
      <c r="J414" s="265" t="str">
        <f>IFERROR(ROUND(VLOOKUP($T414,공사현장대장!$A$5:$T$330,9)/1000,0),"")</f>
        <v/>
      </c>
      <c r="K414" s="225"/>
      <c r="L414" s="209"/>
      <c r="M414" s="209"/>
      <c r="N414" s="209"/>
      <c r="O414" s="209"/>
      <c r="P414" s="209"/>
      <c r="Q414" s="209"/>
      <c r="R414" s="263" t="s">
        <v>41</v>
      </c>
      <c r="S414" s="266" t="s">
        <v>84</v>
      </c>
      <c r="T414" s="229"/>
      <c r="AA414" s="244"/>
      <c r="AB414" s="271"/>
    </row>
    <row r="415" spans="1:29" ht="26.1" hidden="1" customHeight="1">
      <c r="A415" s="208"/>
      <c r="B415" s="211"/>
      <c r="C415" s="211"/>
      <c r="D415" s="212"/>
      <c r="E415" s="210" t="str">
        <f>IFERROR(VLOOKUP($T415,공사현장대장!$A$5:$T$330,4),"")</f>
        <v/>
      </c>
      <c r="F415" s="212"/>
      <c r="G415" s="265"/>
      <c r="H415" s="265"/>
      <c r="I415" s="265"/>
      <c r="J415" s="265" t="str">
        <f>IFERROR(ROUND(VLOOKUP($T415,공사현장대장!$A$5:$T$330,9)/1000,0),"")</f>
        <v/>
      </c>
      <c r="K415" s="225"/>
      <c r="L415" s="209"/>
      <c r="M415" s="209"/>
      <c r="N415" s="209"/>
      <c r="O415" s="209"/>
      <c r="P415" s="209"/>
      <c r="Q415" s="209"/>
      <c r="R415" s="263" t="s">
        <v>41</v>
      </c>
      <c r="S415" s="266" t="s">
        <v>84</v>
      </c>
      <c r="T415" s="229"/>
      <c r="AA415" s="244"/>
      <c r="AB415" s="271"/>
    </row>
    <row r="416" spans="1:29" ht="26.1" hidden="1" customHeight="1">
      <c r="A416" s="324" t="s">
        <v>40</v>
      </c>
      <c r="B416" s="325"/>
      <c r="C416" s="325"/>
      <c r="D416" s="325"/>
      <c r="E416" s="326"/>
      <c r="F416" s="226"/>
      <c r="G416" s="267"/>
      <c r="H416" s="267"/>
      <c r="I416" s="267"/>
      <c r="J416" s="267"/>
      <c r="K416" s="227">
        <f t="shared" ref="K416:Q416" si="81">SUM(K412-SUM(K413:K415))</f>
        <v>0</v>
      </c>
      <c r="L416" s="227">
        <f t="shared" si="81"/>
        <v>407460</v>
      </c>
      <c r="M416" s="227">
        <f t="shared" si="81"/>
        <v>0</v>
      </c>
      <c r="N416" s="227">
        <f t="shared" si="81"/>
        <v>0</v>
      </c>
      <c r="O416" s="227">
        <f t="shared" si="81"/>
        <v>0</v>
      </c>
      <c r="P416" s="227">
        <f t="shared" si="81"/>
        <v>0</v>
      </c>
      <c r="Q416" s="227">
        <f t="shared" si="81"/>
        <v>407460</v>
      </c>
      <c r="R416" s="268" t="s">
        <v>41</v>
      </c>
      <c r="S416" s="269" t="s">
        <v>84</v>
      </c>
      <c r="T416" s="230"/>
      <c r="AA416" s="244"/>
      <c r="AB416" s="271"/>
    </row>
    <row r="417" spans="1:29" ht="26.1" hidden="1" customHeight="1">
      <c r="A417" s="213" t="s">
        <v>29</v>
      </c>
      <c r="B417" s="214" t="s">
        <v>50</v>
      </c>
      <c r="C417" s="214" t="s">
        <v>31</v>
      </c>
      <c r="D417" s="215" t="s">
        <v>212</v>
      </c>
      <c r="E417" s="216" t="s">
        <v>131</v>
      </c>
      <c r="F417" s="215" t="s">
        <v>223</v>
      </c>
      <c r="G417" s="262" t="s">
        <v>46</v>
      </c>
      <c r="H417" s="262" t="s">
        <v>54</v>
      </c>
      <c r="I417" s="262" t="s">
        <v>134</v>
      </c>
      <c r="J417" s="262">
        <f>SUM(J418:J420)</f>
        <v>0</v>
      </c>
      <c r="K417" s="217"/>
      <c r="L417" s="218">
        <v>93530</v>
      </c>
      <c r="M417" s="218"/>
      <c r="N417" s="218"/>
      <c r="O417" s="218"/>
      <c r="P417" s="218"/>
      <c r="Q417" s="218">
        <f>SUM(K417:P417)</f>
        <v>93530</v>
      </c>
      <c r="R417" s="270" t="s">
        <v>41</v>
      </c>
      <c r="S417" s="266" t="s">
        <v>84</v>
      </c>
      <c r="T417" s="229"/>
      <c r="V417" s="241" t="str">
        <f>B417</f>
        <v>초</v>
      </c>
      <c r="W417" s="241" t="str">
        <f>C417</f>
        <v>공립</v>
      </c>
      <c r="X417" s="241" t="str">
        <f>D417</f>
        <v>삼생초</v>
      </c>
      <c r="Y417" s="241" t="str">
        <f>E417</f>
        <v xml:space="preserve"> 연결통로 설치</v>
      </c>
      <c r="Z417" s="241" t="str">
        <f>F417</f>
        <v>94M</v>
      </c>
      <c r="AA417" s="244">
        <f>Q417</f>
        <v>93530</v>
      </c>
      <c r="AB417" s="271" t="str">
        <f>R417</f>
        <v>1회추경</v>
      </c>
      <c r="AC417" s="241">
        <v>420</v>
      </c>
    </row>
    <row r="418" spans="1:29" ht="26.1" hidden="1" customHeight="1">
      <c r="A418" s="208"/>
      <c r="B418" s="211"/>
      <c r="C418" s="211"/>
      <c r="D418" s="212"/>
      <c r="E418" s="210" t="str">
        <f>IFERROR(VLOOKUP($T418,공사현장대장!$A$5:$T$330,4),"")</f>
        <v/>
      </c>
      <c r="F418" s="212"/>
      <c r="G418" s="265"/>
      <c r="H418" s="265"/>
      <c r="I418" s="265"/>
      <c r="J418" s="265" t="str">
        <f>IFERROR(ROUND(VLOOKUP($T418,공사현장대장!$A$5:$T$330,9)/1000,0),"")</f>
        <v/>
      </c>
      <c r="K418" s="225"/>
      <c r="L418" s="209"/>
      <c r="M418" s="209"/>
      <c r="N418" s="209"/>
      <c r="O418" s="209"/>
      <c r="P418" s="209"/>
      <c r="Q418" s="209"/>
      <c r="R418" s="263" t="s">
        <v>41</v>
      </c>
      <c r="S418" s="266" t="s">
        <v>84</v>
      </c>
      <c r="T418" s="229"/>
      <c r="AA418" s="244"/>
      <c r="AB418" s="271"/>
    </row>
    <row r="419" spans="1:29" ht="26.1" hidden="1" customHeight="1">
      <c r="A419" s="208"/>
      <c r="B419" s="211"/>
      <c r="C419" s="211"/>
      <c r="D419" s="212"/>
      <c r="E419" s="210" t="str">
        <f>IFERROR(VLOOKUP($T419,공사현장대장!$A$5:$T$330,4),"")</f>
        <v/>
      </c>
      <c r="F419" s="212"/>
      <c r="G419" s="265"/>
      <c r="H419" s="265"/>
      <c r="I419" s="265"/>
      <c r="J419" s="265" t="str">
        <f>IFERROR(ROUND(VLOOKUP($T419,공사현장대장!$A$5:$T$330,9)/1000,0),"")</f>
        <v/>
      </c>
      <c r="K419" s="225"/>
      <c r="L419" s="209"/>
      <c r="M419" s="209"/>
      <c r="N419" s="209"/>
      <c r="O419" s="209"/>
      <c r="P419" s="209"/>
      <c r="Q419" s="209"/>
      <c r="R419" s="263" t="s">
        <v>41</v>
      </c>
      <c r="S419" s="266" t="s">
        <v>84</v>
      </c>
      <c r="T419" s="229"/>
      <c r="AA419" s="244"/>
      <c r="AB419" s="271"/>
    </row>
    <row r="420" spans="1:29" ht="26.1" hidden="1" customHeight="1">
      <c r="A420" s="208"/>
      <c r="B420" s="211"/>
      <c r="C420" s="211"/>
      <c r="D420" s="212"/>
      <c r="E420" s="210" t="str">
        <f>IFERROR(VLOOKUP($T420,공사현장대장!$A$5:$T$330,4),"")</f>
        <v/>
      </c>
      <c r="F420" s="212"/>
      <c r="G420" s="265"/>
      <c r="H420" s="265"/>
      <c r="I420" s="265"/>
      <c r="J420" s="265" t="str">
        <f>IFERROR(ROUND(VLOOKUP($T420,공사현장대장!$A$5:$T$330,9)/1000,0),"")</f>
        <v/>
      </c>
      <c r="K420" s="225"/>
      <c r="L420" s="209"/>
      <c r="M420" s="209"/>
      <c r="N420" s="209"/>
      <c r="O420" s="209"/>
      <c r="P420" s="209"/>
      <c r="Q420" s="209"/>
      <c r="R420" s="263" t="s">
        <v>41</v>
      </c>
      <c r="S420" s="266" t="s">
        <v>84</v>
      </c>
      <c r="T420" s="229"/>
      <c r="AA420" s="244"/>
      <c r="AB420" s="271"/>
    </row>
    <row r="421" spans="1:29" ht="26.1" hidden="1" customHeight="1">
      <c r="A421" s="324" t="s">
        <v>40</v>
      </c>
      <c r="B421" s="325"/>
      <c r="C421" s="325"/>
      <c r="D421" s="325"/>
      <c r="E421" s="326"/>
      <c r="F421" s="226"/>
      <c r="G421" s="267"/>
      <c r="H421" s="267"/>
      <c r="I421" s="267"/>
      <c r="J421" s="267"/>
      <c r="K421" s="227">
        <f t="shared" ref="K421:Q421" si="82">SUM(K417-SUM(K418:K420))</f>
        <v>0</v>
      </c>
      <c r="L421" s="227">
        <f t="shared" si="82"/>
        <v>93530</v>
      </c>
      <c r="M421" s="227">
        <f t="shared" si="82"/>
        <v>0</v>
      </c>
      <c r="N421" s="227">
        <f t="shared" si="82"/>
        <v>0</v>
      </c>
      <c r="O421" s="227">
        <f t="shared" si="82"/>
        <v>0</v>
      </c>
      <c r="P421" s="227">
        <f t="shared" si="82"/>
        <v>0</v>
      </c>
      <c r="Q421" s="227">
        <f t="shared" si="82"/>
        <v>93530</v>
      </c>
      <c r="R421" s="268" t="s">
        <v>41</v>
      </c>
      <c r="S421" s="269" t="s">
        <v>84</v>
      </c>
      <c r="T421" s="230"/>
      <c r="AA421" s="244"/>
      <c r="AB421" s="271"/>
    </row>
    <row r="422" spans="1:29" ht="26.1" hidden="1" customHeight="1">
      <c r="A422" s="213" t="s">
        <v>29</v>
      </c>
      <c r="B422" s="214" t="s">
        <v>50</v>
      </c>
      <c r="C422" s="214" t="s">
        <v>31</v>
      </c>
      <c r="D422" s="215" t="s">
        <v>212</v>
      </c>
      <c r="E422" s="216" t="s">
        <v>224</v>
      </c>
      <c r="F422" s="215" t="s">
        <v>225</v>
      </c>
      <c r="G422" s="262" t="s">
        <v>46</v>
      </c>
      <c r="H422" s="262" t="s">
        <v>107</v>
      </c>
      <c r="I422" s="262" t="s">
        <v>108</v>
      </c>
      <c r="J422" s="262">
        <f>SUM(J423:J425)</f>
        <v>0</v>
      </c>
      <c r="K422" s="217">
        <v>12083</v>
      </c>
      <c r="L422" s="218">
        <v>0</v>
      </c>
      <c r="M422" s="218">
        <v>0</v>
      </c>
      <c r="N422" s="218"/>
      <c r="O422" s="218"/>
      <c r="P422" s="218"/>
      <c r="Q422" s="218">
        <f>SUM(K422:P422)</f>
        <v>12083</v>
      </c>
      <c r="R422" s="263" t="s">
        <v>76</v>
      </c>
      <c r="S422" s="266" t="s">
        <v>84</v>
      </c>
      <c r="T422" s="229"/>
    </row>
    <row r="423" spans="1:29" ht="26.1" hidden="1" customHeight="1">
      <c r="A423" s="208"/>
      <c r="B423" s="211"/>
      <c r="C423" s="211"/>
      <c r="D423" s="212"/>
      <c r="E423" s="210" t="str">
        <f>IFERROR(VLOOKUP($T423,공사현장대장!$A$5:$T$330,4),"")</f>
        <v/>
      </c>
      <c r="F423" s="212"/>
      <c r="G423" s="265"/>
      <c r="H423" s="265"/>
      <c r="I423" s="265"/>
      <c r="J423" s="265" t="str">
        <f>IFERROR(ROUND(VLOOKUP($T423,공사현장대장!$A$5:$T$330,9)/1000,0),"")</f>
        <v/>
      </c>
      <c r="K423" s="225"/>
      <c r="L423" s="209"/>
      <c r="M423" s="209"/>
      <c r="N423" s="209"/>
      <c r="O423" s="209"/>
      <c r="P423" s="209"/>
      <c r="Q423" s="209"/>
      <c r="R423" s="263" t="s">
        <v>76</v>
      </c>
      <c r="S423" s="266" t="s">
        <v>84</v>
      </c>
      <c r="T423" s="229"/>
    </row>
    <row r="424" spans="1:29" ht="26.1" hidden="1" customHeight="1">
      <c r="A424" s="208"/>
      <c r="B424" s="211"/>
      <c r="C424" s="211"/>
      <c r="D424" s="212"/>
      <c r="E424" s="210" t="str">
        <f>IFERROR(VLOOKUP($T424,공사현장대장!$A$5:$T$330,4),"")</f>
        <v/>
      </c>
      <c r="F424" s="212"/>
      <c r="G424" s="265"/>
      <c r="H424" s="265"/>
      <c r="I424" s="265"/>
      <c r="J424" s="265" t="str">
        <f>IFERROR(ROUND(VLOOKUP($T424,공사현장대장!$A$5:$T$330,9)/1000,0),"")</f>
        <v/>
      </c>
      <c r="K424" s="225"/>
      <c r="L424" s="209"/>
      <c r="M424" s="209"/>
      <c r="N424" s="209"/>
      <c r="O424" s="209"/>
      <c r="P424" s="209"/>
      <c r="Q424" s="209"/>
      <c r="R424" s="263" t="s">
        <v>76</v>
      </c>
      <c r="S424" s="266" t="s">
        <v>84</v>
      </c>
      <c r="T424" s="229"/>
    </row>
    <row r="425" spans="1:29" ht="26.1" hidden="1" customHeight="1">
      <c r="A425" s="208"/>
      <c r="B425" s="211"/>
      <c r="C425" s="211"/>
      <c r="D425" s="212"/>
      <c r="E425" s="210" t="str">
        <f>IFERROR(VLOOKUP($T425,공사현장대장!$A$5:$T$330,4),"")</f>
        <v/>
      </c>
      <c r="F425" s="212"/>
      <c r="G425" s="265"/>
      <c r="H425" s="265"/>
      <c r="I425" s="265"/>
      <c r="J425" s="265" t="str">
        <f>IFERROR(ROUND(VLOOKUP($T425,공사현장대장!$A$5:$T$330,9)/1000,0),"")</f>
        <v/>
      </c>
      <c r="K425" s="225"/>
      <c r="L425" s="209"/>
      <c r="M425" s="209"/>
      <c r="N425" s="209"/>
      <c r="O425" s="209"/>
      <c r="P425" s="209"/>
      <c r="Q425" s="209"/>
      <c r="R425" s="263" t="s">
        <v>76</v>
      </c>
      <c r="S425" s="266" t="s">
        <v>84</v>
      </c>
      <c r="T425" s="229"/>
    </row>
    <row r="426" spans="1:29" ht="26.1" hidden="1" customHeight="1">
      <c r="A426" s="324" t="s">
        <v>40</v>
      </c>
      <c r="B426" s="325"/>
      <c r="C426" s="325"/>
      <c r="D426" s="325"/>
      <c r="E426" s="326"/>
      <c r="F426" s="226"/>
      <c r="G426" s="267"/>
      <c r="H426" s="267"/>
      <c r="I426" s="267"/>
      <c r="J426" s="267"/>
      <c r="K426" s="227">
        <f t="shared" ref="K426:Q426" si="83">SUM(K422-SUM(K423:K425))</f>
        <v>12083</v>
      </c>
      <c r="L426" s="227">
        <f t="shared" si="83"/>
        <v>0</v>
      </c>
      <c r="M426" s="227">
        <f t="shared" si="83"/>
        <v>0</v>
      </c>
      <c r="N426" s="227">
        <f t="shared" si="83"/>
        <v>0</v>
      </c>
      <c r="O426" s="227">
        <f t="shared" si="83"/>
        <v>0</v>
      </c>
      <c r="P426" s="227">
        <f t="shared" si="83"/>
        <v>0</v>
      </c>
      <c r="Q426" s="227">
        <f t="shared" si="83"/>
        <v>12083</v>
      </c>
      <c r="R426" s="268" t="s">
        <v>76</v>
      </c>
      <c r="S426" s="269" t="s">
        <v>84</v>
      </c>
      <c r="T426" s="230"/>
    </row>
    <row r="427" spans="1:29" ht="26.1" hidden="1" customHeight="1">
      <c r="A427" s="213" t="s">
        <v>29</v>
      </c>
      <c r="B427" s="214" t="s">
        <v>50</v>
      </c>
      <c r="C427" s="214" t="s">
        <v>31</v>
      </c>
      <c r="D427" s="215" t="s">
        <v>226</v>
      </c>
      <c r="E427" s="216" t="s">
        <v>88</v>
      </c>
      <c r="F427" s="215" t="s">
        <v>227</v>
      </c>
      <c r="G427" s="262" t="s">
        <v>46</v>
      </c>
      <c r="H427" s="262" t="s">
        <v>54</v>
      </c>
      <c r="I427" s="262" t="s">
        <v>55</v>
      </c>
      <c r="J427" s="262">
        <f>SUM(J428:J430)</f>
        <v>0</v>
      </c>
      <c r="K427" s="217"/>
      <c r="L427" s="218">
        <v>421050</v>
      </c>
      <c r="M427" s="218"/>
      <c r="N427" s="218"/>
      <c r="O427" s="218"/>
      <c r="P427" s="218"/>
      <c r="Q427" s="218">
        <f>SUM(K427:P427)</f>
        <v>421050</v>
      </c>
      <c r="R427" s="263" t="s">
        <v>38</v>
      </c>
      <c r="S427" s="266" t="s">
        <v>84</v>
      </c>
      <c r="T427" s="229"/>
    </row>
    <row r="428" spans="1:29" ht="26.1" hidden="1" customHeight="1">
      <c r="A428" s="208"/>
      <c r="B428" s="211"/>
      <c r="C428" s="211"/>
      <c r="D428" s="212"/>
      <c r="E428" s="210" t="str">
        <f>IFERROR(VLOOKUP($T428,공사현장대장!$A$5:$T$330,4),"")</f>
        <v/>
      </c>
      <c r="F428" s="212"/>
      <c r="G428" s="265"/>
      <c r="H428" s="265"/>
      <c r="I428" s="265"/>
      <c r="J428" s="265" t="str">
        <f>IFERROR(ROUND(VLOOKUP($T428,공사현장대장!$A$5:$T$330,9)/1000,0),"")</f>
        <v/>
      </c>
      <c r="K428" s="225"/>
      <c r="L428" s="209"/>
      <c r="M428" s="209"/>
      <c r="N428" s="209"/>
      <c r="O428" s="209"/>
      <c r="P428" s="209"/>
      <c r="Q428" s="209"/>
      <c r="R428" s="263" t="s">
        <v>38</v>
      </c>
      <c r="S428" s="266" t="s">
        <v>84</v>
      </c>
      <c r="T428" s="229"/>
    </row>
    <row r="429" spans="1:29" ht="26.1" hidden="1" customHeight="1">
      <c r="A429" s="208"/>
      <c r="B429" s="211"/>
      <c r="C429" s="211"/>
      <c r="D429" s="212"/>
      <c r="E429" s="210" t="str">
        <f>IFERROR(VLOOKUP($T429,공사현장대장!$A$5:$T$330,4),"")</f>
        <v/>
      </c>
      <c r="F429" s="212"/>
      <c r="G429" s="265"/>
      <c r="H429" s="265"/>
      <c r="I429" s="265"/>
      <c r="J429" s="265" t="str">
        <f>IFERROR(ROUND(VLOOKUP($T429,공사현장대장!$A$5:$T$330,9)/1000,0),"")</f>
        <v/>
      </c>
      <c r="K429" s="225"/>
      <c r="L429" s="209"/>
      <c r="M429" s="209"/>
      <c r="N429" s="209"/>
      <c r="O429" s="209"/>
      <c r="P429" s="209"/>
      <c r="Q429" s="209"/>
      <c r="R429" s="263" t="s">
        <v>38</v>
      </c>
      <c r="S429" s="266" t="s">
        <v>84</v>
      </c>
      <c r="T429" s="229"/>
    </row>
    <row r="430" spans="1:29" ht="26.1" hidden="1" customHeight="1">
      <c r="A430" s="208"/>
      <c r="B430" s="211"/>
      <c r="C430" s="211"/>
      <c r="D430" s="212"/>
      <c r="E430" s="210" t="str">
        <f>IFERROR(VLOOKUP($T430,공사현장대장!$A$5:$T$330,4),"")</f>
        <v/>
      </c>
      <c r="F430" s="212"/>
      <c r="G430" s="265"/>
      <c r="H430" s="265"/>
      <c r="I430" s="265"/>
      <c r="J430" s="265" t="str">
        <f>IFERROR(ROUND(VLOOKUP($T430,공사현장대장!$A$5:$T$330,9)/1000,0),"")</f>
        <v/>
      </c>
      <c r="K430" s="225"/>
      <c r="L430" s="209"/>
      <c r="M430" s="209"/>
      <c r="N430" s="209"/>
      <c r="O430" s="209"/>
      <c r="P430" s="209"/>
      <c r="Q430" s="209"/>
      <c r="R430" s="263" t="s">
        <v>38</v>
      </c>
      <c r="S430" s="266" t="s">
        <v>84</v>
      </c>
      <c r="T430" s="229"/>
    </row>
    <row r="431" spans="1:29" ht="26.1" hidden="1" customHeight="1">
      <c r="A431" s="324" t="s">
        <v>40</v>
      </c>
      <c r="B431" s="325"/>
      <c r="C431" s="325"/>
      <c r="D431" s="325"/>
      <c r="E431" s="326"/>
      <c r="F431" s="226"/>
      <c r="G431" s="267"/>
      <c r="H431" s="267"/>
      <c r="I431" s="267"/>
      <c r="J431" s="267"/>
      <c r="K431" s="227">
        <f t="shared" ref="K431:Q431" si="84">SUM(K427-SUM(K428:K430))</f>
        <v>0</v>
      </c>
      <c r="L431" s="227">
        <f t="shared" si="84"/>
        <v>421050</v>
      </c>
      <c r="M431" s="227">
        <f t="shared" si="84"/>
        <v>0</v>
      </c>
      <c r="N431" s="227">
        <f t="shared" si="84"/>
        <v>0</v>
      </c>
      <c r="O431" s="227">
        <f t="shared" si="84"/>
        <v>0</v>
      </c>
      <c r="P431" s="227">
        <f t="shared" si="84"/>
        <v>0</v>
      </c>
      <c r="Q431" s="227">
        <f t="shared" si="84"/>
        <v>421050</v>
      </c>
      <c r="R431" s="268" t="s">
        <v>38</v>
      </c>
      <c r="S431" s="269" t="s">
        <v>84</v>
      </c>
      <c r="T431" s="230"/>
    </row>
    <row r="432" spans="1:29" ht="26.1" hidden="1" customHeight="1">
      <c r="A432" s="213" t="s">
        <v>29</v>
      </c>
      <c r="B432" s="214" t="s">
        <v>50</v>
      </c>
      <c r="C432" s="214" t="s">
        <v>31</v>
      </c>
      <c r="D432" s="215" t="s">
        <v>226</v>
      </c>
      <c r="E432" s="216" t="s">
        <v>90</v>
      </c>
      <c r="F432" s="215" t="s">
        <v>228</v>
      </c>
      <c r="G432" s="262" t="s">
        <v>46</v>
      </c>
      <c r="H432" s="262" t="s">
        <v>54</v>
      </c>
      <c r="I432" s="262" t="s">
        <v>55</v>
      </c>
      <c r="J432" s="262">
        <f>SUM(J433:J435)</f>
        <v>0</v>
      </c>
      <c r="K432" s="217"/>
      <c r="L432" s="218">
        <v>172200</v>
      </c>
      <c r="M432" s="218"/>
      <c r="N432" s="218"/>
      <c r="O432" s="218"/>
      <c r="P432" s="218"/>
      <c r="Q432" s="218">
        <f>SUM(K432:P432)</f>
        <v>172200</v>
      </c>
      <c r="R432" s="274" t="s">
        <v>87</v>
      </c>
      <c r="S432" s="266" t="s">
        <v>84</v>
      </c>
      <c r="T432" s="229"/>
    </row>
    <row r="433" spans="1:20" ht="26.1" hidden="1" customHeight="1">
      <c r="A433" s="208"/>
      <c r="B433" s="211"/>
      <c r="C433" s="211"/>
      <c r="D433" s="212"/>
      <c r="E433" s="210" t="str">
        <f>IFERROR(VLOOKUP($T433,공사현장대장!$A$5:$T$330,4),"")</f>
        <v/>
      </c>
      <c r="F433" s="212"/>
      <c r="G433" s="265"/>
      <c r="H433" s="265"/>
      <c r="I433" s="265"/>
      <c r="J433" s="265" t="str">
        <f>IFERROR(ROUND(VLOOKUP($T433,공사현장대장!$A$5:$T$330,9)/1000,0),"")</f>
        <v/>
      </c>
      <c r="K433" s="225"/>
      <c r="L433" s="209"/>
      <c r="M433" s="209"/>
      <c r="N433" s="209"/>
      <c r="O433" s="209"/>
      <c r="P433" s="209"/>
      <c r="Q433" s="209"/>
      <c r="R433" s="263" t="s">
        <v>87</v>
      </c>
      <c r="S433" s="266" t="s">
        <v>84</v>
      </c>
      <c r="T433" s="229"/>
    </row>
    <row r="434" spans="1:20" ht="26.1" hidden="1" customHeight="1">
      <c r="A434" s="208"/>
      <c r="B434" s="211"/>
      <c r="C434" s="211"/>
      <c r="D434" s="212"/>
      <c r="E434" s="210" t="str">
        <f>IFERROR(VLOOKUP($T434,공사현장대장!$A$5:$T$330,4),"")</f>
        <v/>
      </c>
      <c r="F434" s="212"/>
      <c r="G434" s="265"/>
      <c r="H434" s="265"/>
      <c r="I434" s="265"/>
      <c r="J434" s="265" t="str">
        <f>IFERROR(ROUND(VLOOKUP($T434,공사현장대장!$A$5:$T$330,9)/1000,0),"")</f>
        <v/>
      </c>
      <c r="K434" s="225"/>
      <c r="L434" s="209"/>
      <c r="M434" s="209"/>
      <c r="N434" s="209"/>
      <c r="O434" s="209"/>
      <c r="P434" s="209"/>
      <c r="Q434" s="209"/>
      <c r="R434" s="263" t="s">
        <v>87</v>
      </c>
      <c r="S434" s="266" t="s">
        <v>84</v>
      </c>
      <c r="T434" s="229"/>
    </row>
    <row r="435" spans="1:20" ht="26.1" hidden="1" customHeight="1">
      <c r="A435" s="208"/>
      <c r="B435" s="211"/>
      <c r="C435" s="211"/>
      <c r="D435" s="212"/>
      <c r="E435" s="210" t="str">
        <f>IFERROR(VLOOKUP($T435,공사현장대장!$A$5:$T$330,4),"")</f>
        <v/>
      </c>
      <c r="F435" s="212"/>
      <c r="G435" s="265"/>
      <c r="H435" s="265"/>
      <c r="I435" s="265"/>
      <c r="J435" s="265" t="str">
        <f>IFERROR(ROUND(VLOOKUP($T435,공사현장대장!$A$5:$T$330,9)/1000,0),"")</f>
        <v/>
      </c>
      <c r="K435" s="225"/>
      <c r="L435" s="209"/>
      <c r="M435" s="209"/>
      <c r="N435" s="209"/>
      <c r="O435" s="209"/>
      <c r="P435" s="209"/>
      <c r="Q435" s="209"/>
      <c r="R435" s="263" t="s">
        <v>87</v>
      </c>
      <c r="S435" s="266" t="s">
        <v>84</v>
      </c>
      <c r="T435" s="229"/>
    </row>
    <row r="436" spans="1:20" ht="26.1" hidden="1" customHeight="1">
      <c r="A436" s="324" t="s">
        <v>40</v>
      </c>
      <c r="B436" s="325"/>
      <c r="C436" s="325"/>
      <c r="D436" s="325"/>
      <c r="E436" s="326"/>
      <c r="F436" s="226"/>
      <c r="G436" s="267"/>
      <c r="H436" s="267"/>
      <c r="I436" s="267"/>
      <c r="J436" s="267"/>
      <c r="K436" s="227">
        <f t="shared" ref="K436:Q436" si="85">SUM(K432-SUM(K433:K435))</f>
        <v>0</v>
      </c>
      <c r="L436" s="227">
        <f t="shared" si="85"/>
        <v>172200</v>
      </c>
      <c r="M436" s="227">
        <f t="shared" si="85"/>
        <v>0</v>
      </c>
      <c r="N436" s="227">
        <f t="shared" si="85"/>
        <v>0</v>
      </c>
      <c r="O436" s="227">
        <f t="shared" si="85"/>
        <v>0</v>
      </c>
      <c r="P436" s="227">
        <f t="shared" si="85"/>
        <v>0</v>
      </c>
      <c r="Q436" s="227">
        <f t="shared" si="85"/>
        <v>172200</v>
      </c>
      <c r="R436" s="268" t="s">
        <v>87</v>
      </c>
      <c r="S436" s="269" t="s">
        <v>84</v>
      </c>
      <c r="T436" s="230"/>
    </row>
    <row r="437" spans="1:20" ht="26.1" hidden="1" customHeight="1">
      <c r="A437" s="213" t="s">
        <v>29</v>
      </c>
      <c r="B437" s="214" t="s">
        <v>50</v>
      </c>
      <c r="C437" s="214" t="s">
        <v>31</v>
      </c>
      <c r="D437" s="215" t="s">
        <v>226</v>
      </c>
      <c r="E437" s="216" t="s">
        <v>97</v>
      </c>
      <c r="F437" s="215" t="s">
        <v>229</v>
      </c>
      <c r="G437" s="262" t="s">
        <v>46</v>
      </c>
      <c r="H437" s="262" t="s">
        <v>54</v>
      </c>
      <c r="I437" s="262" t="s">
        <v>99</v>
      </c>
      <c r="J437" s="262">
        <f>SUM(J438:J440)</f>
        <v>0</v>
      </c>
      <c r="K437" s="217"/>
      <c r="L437" s="218">
        <v>5524</v>
      </c>
      <c r="M437" s="218"/>
      <c r="N437" s="218"/>
      <c r="O437" s="218"/>
      <c r="P437" s="218"/>
      <c r="Q437" s="218">
        <f>SUM(K437:P437)</f>
        <v>5524</v>
      </c>
      <c r="R437" s="274" t="s">
        <v>87</v>
      </c>
      <c r="S437" s="266" t="s">
        <v>100</v>
      </c>
      <c r="T437" s="229"/>
    </row>
    <row r="438" spans="1:20" ht="26.1" hidden="1" customHeight="1">
      <c r="A438" s="208"/>
      <c r="B438" s="211"/>
      <c r="C438" s="211"/>
      <c r="D438" s="212"/>
      <c r="E438" s="210" t="str">
        <f>IFERROR(VLOOKUP($T438,공사현장대장!$A$5:$T$330,4),"")</f>
        <v/>
      </c>
      <c r="F438" s="212"/>
      <c r="G438" s="265"/>
      <c r="H438" s="265"/>
      <c r="I438" s="265"/>
      <c r="J438" s="265" t="str">
        <f>IFERROR(ROUND(VLOOKUP($T438,공사현장대장!$A$5:$T$330,9)/1000,0),"")</f>
        <v/>
      </c>
      <c r="K438" s="225"/>
      <c r="L438" s="209"/>
      <c r="M438" s="209"/>
      <c r="N438" s="209"/>
      <c r="O438" s="209"/>
      <c r="P438" s="209"/>
      <c r="Q438" s="209"/>
      <c r="R438" s="263" t="s">
        <v>87</v>
      </c>
      <c r="S438" s="266" t="s">
        <v>100</v>
      </c>
      <c r="T438" s="229"/>
    </row>
    <row r="439" spans="1:20" ht="26.1" hidden="1" customHeight="1">
      <c r="A439" s="208"/>
      <c r="B439" s="211"/>
      <c r="C439" s="211"/>
      <c r="D439" s="212"/>
      <c r="E439" s="210" t="str">
        <f>IFERROR(VLOOKUP($T439,공사현장대장!$A$5:$T$330,4),"")</f>
        <v/>
      </c>
      <c r="F439" s="212"/>
      <c r="G439" s="265"/>
      <c r="H439" s="265"/>
      <c r="I439" s="265"/>
      <c r="J439" s="265" t="str">
        <f>IFERROR(ROUND(VLOOKUP($T439,공사현장대장!$A$5:$T$330,9)/1000,0),"")</f>
        <v/>
      </c>
      <c r="K439" s="225"/>
      <c r="L439" s="209"/>
      <c r="M439" s="209"/>
      <c r="N439" s="209"/>
      <c r="O439" s="209"/>
      <c r="P439" s="209"/>
      <c r="Q439" s="209"/>
      <c r="R439" s="263" t="s">
        <v>87</v>
      </c>
      <c r="S439" s="266" t="s">
        <v>100</v>
      </c>
      <c r="T439" s="229"/>
    </row>
    <row r="440" spans="1:20" ht="26.1" hidden="1" customHeight="1">
      <c r="A440" s="208"/>
      <c r="B440" s="211"/>
      <c r="C440" s="211"/>
      <c r="D440" s="212"/>
      <c r="E440" s="210" t="str">
        <f>IFERROR(VLOOKUP($T440,공사현장대장!$A$5:$T$330,4),"")</f>
        <v/>
      </c>
      <c r="F440" s="212"/>
      <c r="G440" s="265"/>
      <c r="H440" s="265"/>
      <c r="I440" s="265"/>
      <c r="J440" s="265" t="str">
        <f>IFERROR(ROUND(VLOOKUP($T440,공사현장대장!$A$5:$T$330,9)/1000,0),"")</f>
        <v/>
      </c>
      <c r="K440" s="225"/>
      <c r="L440" s="209"/>
      <c r="M440" s="209"/>
      <c r="N440" s="209"/>
      <c r="O440" s="209"/>
      <c r="P440" s="209"/>
      <c r="Q440" s="209"/>
      <c r="R440" s="263" t="s">
        <v>87</v>
      </c>
      <c r="S440" s="266" t="s">
        <v>100</v>
      </c>
      <c r="T440" s="229"/>
    </row>
    <row r="441" spans="1:20" ht="26.1" hidden="1" customHeight="1">
      <c r="A441" s="324" t="s">
        <v>40</v>
      </c>
      <c r="B441" s="325"/>
      <c r="C441" s="325"/>
      <c r="D441" s="325"/>
      <c r="E441" s="326"/>
      <c r="F441" s="226"/>
      <c r="G441" s="267"/>
      <c r="H441" s="267"/>
      <c r="I441" s="267"/>
      <c r="J441" s="267"/>
      <c r="K441" s="227">
        <f t="shared" ref="K441:Q441" si="86">SUM(K437-SUM(K438:K440))</f>
        <v>0</v>
      </c>
      <c r="L441" s="227">
        <f t="shared" si="86"/>
        <v>5524</v>
      </c>
      <c r="M441" s="227">
        <f t="shared" si="86"/>
        <v>0</v>
      </c>
      <c r="N441" s="227">
        <f t="shared" si="86"/>
        <v>0</v>
      </c>
      <c r="O441" s="227">
        <f t="shared" si="86"/>
        <v>0</v>
      </c>
      <c r="P441" s="227">
        <f t="shared" si="86"/>
        <v>0</v>
      </c>
      <c r="Q441" s="227">
        <f t="shared" si="86"/>
        <v>5524</v>
      </c>
      <c r="R441" s="268" t="s">
        <v>87</v>
      </c>
      <c r="S441" s="269" t="s">
        <v>100</v>
      </c>
      <c r="T441" s="230"/>
    </row>
    <row r="442" spans="1:20" ht="26.1" hidden="1" customHeight="1">
      <c r="A442" s="213" t="s">
        <v>29</v>
      </c>
      <c r="B442" s="214" t="s">
        <v>50</v>
      </c>
      <c r="C442" s="214" t="s">
        <v>31</v>
      </c>
      <c r="D442" s="215" t="s">
        <v>226</v>
      </c>
      <c r="E442" s="216" t="s">
        <v>230</v>
      </c>
      <c r="F442" s="215" t="s">
        <v>231</v>
      </c>
      <c r="G442" s="262" t="s">
        <v>46</v>
      </c>
      <c r="H442" s="262" t="s">
        <v>133</v>
      </c>
      <c r="I442" s="262" t="s">
        <v>151</v>
      </c>
      <c r="J442" s="262">
        <f>SUM(J443:J445)</f>
        <v>0</v>
      </c>
      <c r="K442" s="217"/>
      <c r="L442" s="218">
        <v>192060</v>
      </c>
      <c r="M442" s="218"/>
      <c r="N442" s="218"/>
      <c r="O442" s="218"/>
      <c r="P442" s="218"/>
      <c r="Q442" s="218">
        <f>SUM(K442:P442)</f>
        <v>192060</v>
      </c>
      <c r="R442" s="274" t="s">
        <v>87</v>
      </c>
      <c r="S442" s="266" t="s">
        <v>84</v>
      </c>
      <c r="T442" s="229"/>
    </row>
    <row r="443" spans="1:20" ht="26.1" hidden="1" customHeight="1">
      <c r="A443" s="208"/>
      <c r="B443" s="211"/>
      <c r="C443" s="211"/>
      <c r="D443" s="212"/>
      <c r="E443" s="210" t="str">
        <f>IFERROR(VLOOKUP($T443,공사현장대장!$A$5:$T$330,4),"")</f>
        <v/>
      </c>
      <c r="F443" s="212"/>
      <c r="G443" s="265"/>
      <c r="H443" s="265"/>
      <c r="I443" s="265"/>
      <c r="J443" s="265" t="str">
        <f>IFERROR(ROUND(VLOOKUP($T443,공사현장대장!$A$5:$T$330,9)/1000,0),"")</f>
        <v/>
      </c>
      <c r="K443" s="225"/>
      <c r="L443" s="209"/>
      <c r="M443" s="209"/>
      <c r="N443" s="209"/>
      <c r="O443" s="209"/>
      <c r="P443" s="209"/>
      <c r="Q443" s="209"/>
      <c r="R443" s="263" t="s">
        <v>87</v>
      </c>
      <c r="S443" s="266" t="s">
        <v>84</v>
      </c>
      <c r="T443" s="229"/>
    </row>
    <row r="444" spans="1:20" ht="26.1" hidden="1" customHeight="1">
      <c r="A444" s="208"/>
      <c r="B444" s="211"/>
      <c r="C444" s="211"/>
      <c r="D444" s="212"/>
      <c r="E444" s="210" t="str">
        <f>IFERROR(VLOOKUP($T444,공사현장대장!$A$5:$T$330,4),"")</f>
        <v/>
      </c>
      <c r="F444" s="212"/>
      <c r="G444" s="265"/>
      <c r="H444" s="265"/>
      <c r="I444" s="265"/>
      <c r="J444" s="265" t="str">
        <f>IFERROR(ROUND(VLOOKUP($T444,공사현장대장!$A$5:$T$330,9)/1000,0),"")</f>
        <v/>
      </c>
      <c r="K444" s="225"/>
      <c r="L444" s="209"/>
      <c r="M444" s="209"/>
      <c r="N444" s="209"/>
      <c r="O444" s="209"/>
      <c r="P444" s="209"/>
      <c r="Q444" s="209"/>
      <c r="R444" s="263" t="s">
        <v>87</v>
      </c>
      <c r="S444" s="266" t="s">
        <v>84</v>
      </c>
      <c r="T444" s="229"/>
    </row>
    <row r="445" spans="1:20" ht="26.1" hidden="1" customHeight="1">
      <c r="A445" s="208"/>
      <c r="B445" s="211"/>
      <c r="C445" s="211"/>
      <c r="D445" s="212"/>
      <c r="E445" s="210" t="str">
        <f>IFERROR(VLOOKUP($T445,공사현장대장!$A$5:$T$330,4),"")</f>
        <v/>
      </c>
      <c r="F445" s="212"/>
      <c r="G445" s="265"/>
      <c r="H445" s="265"/>
      <c r="I445" s="265"/>
      <c r="J445" s="265" t="str">
        <f>IFERROR(ROUND(VLOOKUP($T445,공사현장대장!$A$5:$T$330,9)/1000,0),"")</f>
        <v/>
      </c>
      <c r="K445" s="225"/>
      <c r="L445" s="209"/>
      <c r="M445" s="209"/>
      <c r="N445" s="209"/>
      <c r="O445" s="209"/>
      <c r="P445" s="209"/>
      <c r="Q445" s="209"/>
      <c r="R445" s="263" t="s">
        <v>87</v>
      </c>
      <c r="S445" s="266" t="s">
        <v>84</v>
      </c>
      <c r="T445" s="229"/>
    </row>
    <row r="446" spans="1:20" ht="26.1" hidden="1" customHeight="1">
      <c r="A446" s="324" t="s">
        <v>40</v>
      </c>
      <c r="B446" s="325"/>
      <c r="C446" s="325"/>
      <c r="D446" s="325"/>
      <c r="E446" s="326"/>
      <c r="F446" s="226"/>
      <c r="G446" s="267"/>
      <c r="H446" s="267"/>
      <c r="I446" s="267"/>
      <c r="J446" s="267"/>
      <c r="K446" s="227">
        <f t="shared" ref="K446:Q446" si="87">SUM(K442-SUM(K443:K445))</f>
        <v>0</v>
      </c>
      <c r="L446" s="227">
        <f t="shared" si="87"/>
        <v>192060</v>
      </c>
      <c r="M446" s="227">
        <f t="shared" si="87"/>
        <v>0</v>
      </c>
      <c r="N446" s="227">
        <f t="shared" si="87"/>
        <v>0</v>
      </c>
      <c r="O446" s="227">
        <f t="shared" si="87"/>
        <v>0</v>
      </c>
      <c r="P446" s="227">
        <f t="shared" si="87"/>
        <v>0</v>
      </c>
      <c r="Q446" s="227">
        <f t="shared" si="87"/>
        <v>192060</v>
      </c>
      <c r="R446" s="268" t="s">
        <v>87</v>
      </c>
      <c r="S446" s="269" t="s">
        <v>84</v>
      </c>
      <c r="T446" s="230"/>
    </row>
    <row r="447" spans="1:20" ht="26.1" hidden="1" customHeight="1">
      <c r="A447" s="213" t="s">
        <v>29</v>
      </c>
      <c r="B447" s="214" t="s">
        <v>50</v>
      </c>
      <c r="C447" s="214" t="s">
        <v>31</v>
      </c>
      <c r="D447" s="215" t="s">
        <v>226</v>
      </c>
      <c r="E447" s="216" t="s">
        <v>232</v>
      </c>
      <c r="F447" s="215" t="s">
        <v>113</v>
      </c>
      <c r="G447" s="262" t="s">
        <v>46</v>
      </c>
      <c r="H447" s="262" t="s">
        <v>133</v>
      </c>
      <c r="I447" s="262" t="s">
        <v>233</v>
      </c>
      <c r="J447" s="262">
        <f>SUM(J448:J450)</f>
        <v>0</v>
      </c>
      <c r="K447" s="217"/>
      <c r="L447" s="218">
        <v>75750</v>
      </c>
      <c r="M447" s="218"/>
      <c r="N447" s="218"/>
      <c r="O447" s="218"/>
      <c r="P447" s="218"/>
      <c r="Q447" s="218">
        <f>SUM(K447:P447)</f>
        <v>75750</v>
      </c>
      <c r="R447" s="274" t="s">
        <v>87</v>
      </c>
      <c r="S447" s="266" t="s">
        <v>84</v>
      </c>
      <c r="T447" s="229"/>
    </row>
    <row r="448" spans="1:20" ht="26.1" hidden="1" customHeight="1">
      <c r="A448" s="208"/>
      <c r="B448" s="211"/>
      <c r="C448" s="211"/>
      <c r="D448" s="212"/>
      <c r="E448" s="210" t="str">
        <f>IFERROR(VLOOKUP($T448,공사현장대장!$A$5:$T$330,4),"")</f>
        <v/>
      </c>
      <c r="F448" s="212"/>
      <c r="G448" s="265"/>
      <c r="H448" s="265"/>
      <c r="I448" s="265"/>
      <c r="J448" s="265" t="str">
        <f>IFERROR(ROUND(VLOOKUP($T448,공사현장대장!$A$5:$T$330,9)/1000,0),"")</f>
        <v/>
      </c>
      <c r="K448" s="225"/>
      <c r="L448" s="209"/>
      <c r="M448" s="209"/>
      <c r="N448" s="209"/>
      <c r="O448" s="209"/>
      <c r="P448" s="209"/>
      <c r="Q448" s="209"/>
      <c r="R448" s="263" t="s">
        <v>87</v>
      </c>
      <c r="S448" s="266" t="s">
        <v>84</v>
      </c>
      <c r="T448" s="229"/>
    </row>
    <row r="449" spans="1:29" ht="26.1" hidden="1" customHeight="1">
      <c r="A449" s="208"/>
      <c r="B449" s="211"/>
      <c r="C449" s="211"/>
      <c r="D449" s="212"/>
      <c r="E449" s="210" t="str">
        <f>IFERROR(VLOOKUP($T449,공사현장대장!$A$5:$T$330,4),"")</f>
        <v/>
      </c>
      <c r="F449" s="212"/>
      <c r="G449" s="265"/>
      <c r="H449" s="265"/>
      <c r="I449" s="265"/>
      <c r="J449" s="265" t="str">
        <f>IFERROR(ROUND(VLOOKUP($T449,공사현장대장!$A$5:$T$330,9)/1000,0),"")</f>
        <v/>
      </c>
      <c r="K449" s="225"/>
      <c r="L449" s="209"/>
      <c r="M449" s="209"/>
      <c r="N449" s="209"/>
      <c r="O449" s="209"/>
      <c r="P449" s="209"/>
      <c r="Q449" s="209"/>
      <c r="R449" s="263" t="s">
        <v>87</v>
      </c>
      <c r="S449" s="266" t="s">
        <v>84</v>
      </c>
      <c r="T449" s="229"/>
    </row>
    <row r="450" spans="1:29" ht="26.1" hidden="1" customHeight="1">
      <c r="A450" s="208"/>
      <c r="B450" s="211"/>
      <c r="C450" s="211"/>
      <c r="D450" s="212"/>
      <c r="E450" s="210" t="str">
        <f>IFERROR(VLOOKUP($T450,공사현장대장!$A$5:$T$330,4),"")</f>
        <v/>
      </c>
      <c r="F450" s="212"/>
      <c r="G450" s="265"/>
      <c r="H450" s="265"/>
      <c r="I450" s="265"/>
      <c r="J450" s="265" t="str">
        <f>IFERROR(ROUND(VLOOKUP($T450,공사현장대장!$A$5:$T$330,9)/1000,0),"")</f>
        <v/>
      </c>
      <c r="K450" s="225"/>
      <c r="L450" s="209"/>
      <c r="M450" s="209"/>
      <c r="N450" s="209"/>
      <c r="O450" s="209"/>
      <c r="P450" s="209"/>
      <c r="Q450" s="209"/>
      <c r="R450" s="263" t="s">
        <v>87</v>
      </c>
      <c r="S450" s="266" t="s">
        <v>84</v>
      </c>
      <c r="T450" s="229"/>
    </row>
    <row r="451" spans="1:29" ht="26.1" hidden="1" customHeight="1">
      <c r="A451" s="324" t="s">
        <v>40</v>
      </c>
      <c r="B451" s="325"/>
      <c r="C451" s="325"/>
      <c r="D451" s="325"/>
      <c r="E451" s="326"/>
      <c r="F451" s="226"/>
      <c r="G451" s="267"/>
      <c r="H451" s="267"/>
      <c r="I451" s="267"/>
      <c r="J451" s="267"/>
      <c r="K451" s="227">
        <f t="shared" ref="K451:Q451" si="88">SUM(K447-SUM(K448:K450))</f>
        <v>0</v>
      </c>
      <c r="L451" s="227">
        <f t="shared" si="88"/>
        <v>75750</v>
      </c>
      <c r="M451" s="227">
        <f t="shared" si="88"/>
        <v>0</v>
      </c>
      <c r="N451" s="227">
        <f t="shared" si="88"/>
        <v>0</v>
      </c>
      <c r="O451" s="227">
        <f t="shared" si="88"/>
        <v>0</v>
      </c>
      <c r="P451" s="227">
        <f t="shared" si="88"/>
        <v>0</v>
      </c>
      <c r="Q451" s="227">
        <f t="shared" si="88"/>
        <v>75750</v>
      </c>
      <c r="R451" s="268" t="s">
        <v>87</v>
      </c>
      <c r="S451" s="269" t="s">
        <v>84</v>
      </c>
      <c r="T451" s="230"/>
    </row>
    <row r="452" spans="1:29" ht="26.1" hidden="1" customHeight="1">
      <c r="A452" s="213" t="s">
        <v>29</v>
      </c>
      <c r="B452" s="214" t="s">
        <v>50</v>
      </c>
      <c r="C452" s="214" t="s">
        <v>31</v>
      </c>
      <c r="D452" s="215" t="s">
        <v>226</v>
      </c>
      <c r="E452" s="216" t="s">
        <v>166</v>
      </c>
      <c r="F452" s="215" t="s">
        <v>234</v>
      </c>
      <c r="G452" s="262" t="s">
        <v>46</v>
      </c>
      <c r="H452" s="262" t="s">
        <v>54</v>
      </c>
      <c r="I452" s="262" t="s">
        <v>168</v>
      </c>
      <c r="J452" s="262">
        <f>SUM(J453:J455)</f>
        <v>0</v>
      </c>
      <c r="K452" s="217"/>
      <c r="L452" s="218">
        <v>570444</v>
      </c>
      <c r="M452" s="218"/>
      <c r="N452" s="218"/>
      <c r="O452" s="218"/>
      <c r="P452" s="218"/>
      <c r="Q452" s="218">
        <f>SUM(K452:P452)</f>
        <v>570444</v>
      </c>
      <c r="R452" s="270" t="s">
        <v>41</v>
      </c>
      <c r="S452" s="266" t="s">
        <v>84</v>
      </c>
      <c r="T452" s="229"/>
      <c r="V452" s="241" t="str">
        <f>B452</f>
        <v>초</v>
      </c>
      <c r="W452" s="241" t="str">
        <f>C452</f>
        <v>공립</v>
      </c>
      <c r="X452" s="241" t="str">
        <f>D452</f>
        <v>서석초</v>
      </c>
      <c r="Y452" s="241" t="str">
        <f>E452</f>
        <v xml:space="preserve"> 교사동 창호교체</v>
      </c>
      <c r="Z452" s="241" t="str">
        <f>F452</f>
        <v>28실</v>
      </c>
      <c r="AA452" s="244">
        <f>Q452</f>
        <v>570444</v>
      </c>
      <c r="AB452" s="271" t="str">
        <f>R452</f>
        <v>1회추경</v>
      </c>
      <c r="AC452" s="241">
        <v>420</v>
      </c>
    </row>
    <row r="453" spans="1:29" ht="26.1" hidden="1" customHeight="1">
      <c r="A453" s="208"/>
      <c r="B453" s="211"/>
      <c r="C453" s="211"/>
      <c r="D453" s="212"/>
      <c r="E453" s="210" t="str">
        <f>IFERROR(VLOOKUP($T453,공사현장대장!$A$5:$T$330,4),"")</f>
        <v/>
      </c>
      <c r="F453" s="212"/>
      <c r="G453" s="265"/>
      <c r="H453" s="265"/>
      <c r="I453" s="265"/>
      <c r="J453" s="265" t="str">
        <f>IFERROR(ROUND(VLOOKUP($T453,공사현장대장!$A$5:$T$330,9)/1000,0),"")</f>
        <v/>
      </c>
      <c r="K453" s="225"/>
      <c r="L453" s="209"/>
      <c r="M453" s="209"/>
      <c r="N453" s="209"/>
      <c r="O453" s="209"/>
      <c r="P453" s="209"/>
      <c r="Q453" s="209"/>
      <c r="R453" s="263" t="s">
        <v>41</v>
      </c>
      <c r="S453" s="266" t="s">
        <v>84</v>
      </c>
      <c r="T453" s="229"/>
      <c r="AA453" s="244"/>
      <c r="AB453" s="271"/>
    </row>
    <row r="454" spans="1:29" ht="26.1" hidden="1" customHeight="1">
      <c r="A454" s="208"/>
      <c r="B454" s="211"/>
      <c r="C454" s="211"/>
      <c r="D454" s="212"/>
      <c r="E454" s="210" t="str">
        <f>IFERROR(VLOOKUP($T454,공사현장대장!$A$5:$T$330,4),"")</f>
        <v/>
      </c>
      <c r="F454" s="212"/>
      <c r="G454" s="265"/>
      <c r="H454" s="265"/>
      <c r="I454" s="265"/>
      <c r="J454" s="265" t="str">
        <f>IFERROR(ROUND(VLOOKUP($T454,공사현장대장!$A$5:$T$330,9)/1000,0),"")</f>
        <v/>
      </c>
      <c r="K454" s="225"/>
      <c r="L454" s="209"/>
      <c r="M454" s="209"/>
      <c r="N454" s="209"/>
      <c r="O454" s="209"/>
      <c r="P454" s="209"/>
      <c r="Q454" s="209"/>
      <c r="R454" s="263" t="s">
        <v>41</v>
      </c>
      <c r="S454" s="266" t="s">
        <v>84</v>
      </c>
      <c r="T454" s="229"/>
      <c r="AA454" s="244"/>
      <c r="AB454" s="271"/>
    </row>
    <row r="455" spans="1:29" ht="26.1" hidden="1" customHeight="1">
      <c r="A455" s="208"/>
      <c r="B455" s="211"/>
      <c r="C455" s="211"/>
      <c r="D455" s="212"/>
      <c r="E455" s="210" t="str">
        <f>IFERROR(VLOOKUP($T455,공사현장대장!$A$5:$T$330,4),"")</f>
        <v/>
      </c>
      <c r="F455" s="212"/>
      <c r="G455" s="265"/>
      <c r="H455" s="265"/>
      <c r="I455" s="265"/>
      <c r="J455" s="265" t="str">
        <f>IFERROR(ROUND(VLOOKUP($T455,공사현장대장!$A$5:$T$330,9)/1000,0),"")</f>
        <v/>
      </c>
      <c r="K455" s="225"/>
      <c r="L455" s="209"/>
      <c r="M455" s="209"/>
      <c r="N455" s="209"/>
      <c r="O455" s="209"/>
      <c r="P455" s="209"/>
      <c r="Q455" s="209"/>
      <c r="R455" s="263" t="s">
        <v>41</v>
      </c>
      <c r="S455" s="266" t="s">
        <v>84</v>
      </c>
      <c r="T455" s="229"/>
      <c r="AA455" s="244"/>
      <c r="AB455" s="271"/>
    </row>
    <row r="456" spans="1:29" ht="26.1" hidden="1" customHeight="1">
      <c r="A456" s="324" t="s">
        <v>40</v>
      </c>
      <c r="B456" s="325"/>
      <c r="C456" s="325"/>
      <c r="D456" s="325"/>
      <c r="E456" s="326"/>
      <c r="F456" s="226"/>
      <c r="G456" s="267"/>
      <c r="H456" s="267"/>
      <c r="I456" s="267"/>
      <c r="J456" s="267"/>
      <c r="K456" s="227">
        <f t="shared" ref="K456:Q456" si="89">SUM(K452-SUM(K453:K455))</f>
        <v>0</v>
      </c>
      <c r="L456" s="227">
        <f t="shared" si="89"/>
        <v>570444</v>
      </c>
      <c r="M456" s="227">
        <f t="shared" si="89"/>
        <v>0</v>
      </c>
      <c r="N456" s="227">
        <f t="shared" si="89"/>
        <v>0</v>
      </c>
      <c r="O456" s="227">
        <f t="shared" si="89"/>
        <v>0</v>
      </c>
      <c r="P456" s="227">
        <f t="shared" si="89"/>
        <v>0</v>
      </c>
      <c r="Q456" s="227">
        <f t="shared" si="89"/>
        <v>570444</v>
      </c>
      <c r="R456" s="268" t="s">
        <v>41</v>
      </c>
      <c r="S456" s="269" t="s">
        <v>84</v>
      </c>
      <c r="T456" s="230"/>
      <c r="AA456" s="244"/>
      <c r="AB456" s="271"/>
    </row>
    <row r="457" spans="1:29" ht="26.1" hidden="1" customHeight="1">
      <c r="A457" s="213" t="s">
        <v>29</v>
      </c>
      <c r="B457" s="214" t="s">
        <v>50</v>
      </c>
      <c r="C457" s="214" t="s">
        <v>31</v>
      </c>
      <c r="D457" s="215" t="s">
        <v>226</v>
      </c>
      <c r="E457" s="216" t="s">
        <v>235</v>
      </c>
      <c r="F457" s="215" t="s">
        <v>136</v>
      </c>
      <c r="G457" s="262" t="s">
        <v>46</v>
      </c>
      <c r="H457" s="262" t="s">
        <v>145</v>
      </c>
      <c r="I457" s="262" t="s">
        <v>235</v>
      </c>
      <c r="J457" s="262">
        <f>SUM(J458:J460)</f>
        <v>0</v>
      </c>
      <c r="K457" s="217"/>
      <c r="L457" s="218">
        <v>148839</v>
      </c>
      <c r="M457" s="218"/>
      <c r="N457" s="218"/>
      <c r="O457" s="218"/>
      <c r="P457" s="218"/>
      <c r="Q457" s="218">
        <f>SUM(K457:P457)</f>
        <v>148839</v>
      </c>
      <c r="R457" s="263" t="s">
        <v>38</v>
      </c>
      <c r="S457" s="266" t="s">
        <v>100</v>
      </c>
      <c r="T457" s="229"/>
    </row>
    <row r="458" spans="1:29" ht="26.1" hidden="1" customHeight="1">
      <c r="A458" s="208"/>
      <c r="B458" s="211"/>
      <c r="C458" s="211"/>
      <c r="D458" s="212"/>
      <c r="E458" s="210" t="str">
        <f>IFERROR(VLOOKUP($T458,공사현장대장!$A$5:$T$330,4),"")</f>
        <v/>
      </c>
      <c r="F458" s="212"/>
      <c r="G458" s="265"/>
      <c r="H458" s="265"/>
      <c r="I458" s="265"/>
      <c r="J458" s="265" t="str">
        <f>IFERROR(ROUND(VLOOKUP($T458,공사현장대장!$A$5:$T$330,9)/1000,0),"")</f>
        <v/>
      </c>
      <c r="K458" s="225"/>
      <c r="L458" s="209"/>
      <c r="M458" s="209"/>
      <c r="N458" s="209"/>
      <c r="O458" s="209"/>
      <c r="P458" s="209"/>
      <c r="Q458" s="209"/>
      <c r="R458" s="263" t="s">
        <v>38</v>
      </c>
      <c r="S458" s="266" t="s">
        <v>100</v>
      </c>
      <c r="T458" s="229"/>
    </row>
    <row r="459" spans="1:29" ht="26.1" hidden="1" customHeight="1">
      <c r="A459" s="208"/>
      <c r="B459" s="211"/>
      <c r="C459" s="211"/>
      <c r="D459" s="212"/>
      <c r="E459" s="210" t="str">
        <f>IFERROR(VLOOKUP($T459,공사현장대장!$A$5:$T$330,4),"")</f>
        <v/>
      </c>
      <c r="F459" s="212"/>
      <c r="G459" s="265"/>
      <c r="H459" s="265"/>
      <c r="I459" s="265"/>
      <c r="J459" s="265" t="str">
        <f>IFERROR(ROUND(VLOOKUP($T459,공사현장대장!$A$5:$T$330,9)/1000,0),"")</f>
        <v/>
      </c>
      <c r="K459" s="225"/>
      <c r="L459" s="209"/>
      <c r="M459" s="209"/>
      <c r="N459" s="209"/>
      <c r="O459" s="209"/>
      <c r="P459" s="209"/>
      <c r="Q459" s="209"/>
      <c r="R459" s="263" t="s">
        <v>38</v>
      </c>
      <c r="S459" s="266" t="s">
        <v>100</v>
      </c>
      <c r="T459" s="229"/>
    </row>
    <row r="460" spans="1:29" ht="26.1" hidden="1" customHeight="1">
      <c r="A460" s="208"/>
      <c r="B460" s="211"/>
      <c r="C460" s="211"/>
      <c r="D460" s="212"/>
      <c r="E460" s="210" t="str">
        <f>IFERROR(VLOOKUP($T460,공사현장대장!$A$5:$T$330,4),"")</f>
        <v/>
      </c>
      <c r="F460" s="212"/>
      <c r="G460" s="265"/>
      <c r="H460" s="265"/>
      <c r="I460" s="265"/>
      <c r="J460" s="265" t="str">
        <f>IFERROR(ROUND(VLOOKUP($T460,공사현장대장!$A$5:$T$330,9)/1000,0),"")</f>
        <v/>
      </c>
      <c r="K460" s="225"/>
      <c r="L460" s="209"/>
      <c r="M460" s="209"/>
      <c r="N460" s="209"/>
      <c r="O460" s="209"/>
      <c r="P460" s="209"/>
      <c r="Q460" s="209"/>
      <c r="R460" s="263" t="s">
        <v>38</v>
      </c>
      <c r="S460" s="266" t="s">
        <v>100</v>
      </c>
      <c r="T460" s="229"/>
    </row>
    <row r="461" spans="1:29" ht="26.1" hidden="1" customHeight="1">
      <c r="A461" s="324" t="s">
        <v>40</v>
      </c>
      <c r="B461" s="325"/>
      <c r="C461" s="325"/>
      <c r="D461" s="325"/>
      <c r="E461" s="326"/>
      <c r="F461" s="226"/>
      <c r="G461" s="267"/>
      <c r="H461" s="267"/>
      <c r="I461" s="267"/>
      <c r="J461" s="267"/>
      <c r="K461" s="227">
        <f t="shared" ref="K461:Q461" si="90">SUM(K457-SUM(K458:K460))</f>
        <v>0</v>
      </c>
      <c r="L461" s="227">
        <f t="shared" si="90"/>
        <v>148839</v>
      </c>
      <c r="M461" s="227">
        <f t="shared" si="90"/>
        <v>0</v>
      </c>
      <c r="N461" s="227">
        <f t="shared" si="90"/>
        <v>0</v>
      </c>
      <c r="O461" s="227">
        <f t="shared" si="90"/>
        <v>0</v>
      </c>
      <c r="P461" s="227">
        <f t="shared" si="90"/>
        <v>0</v>
      </c>
      <c r="Q461" s="227">
        <f t="shared" si="90"/>
        <v>148839</v>
      </c>
      <c r="R461" s="268" t="s">
        <v>38</v>
      </c>
      <c r="S461" s="269" t="s">
        <v>100</v>
      </c>
      <c r="T461" s="230"/>
    </row>
    <row r="462" spans="1:29" ht="26.1" hidden="1" customHeight="1">
      <c r="A462" s="213" t="s">
        <v>29</v>
      </c>
      <c r="B462" s="214" t="s">
        <v>50</v>
      </c>
      <c r="C462" s="214" t="s">
        <v>31</v>
      </c>
      <c r="D462" s="215" t="s">
        <v>226</v>
      </c>
      <c r="E462" s="216" t="s">
        <v>236</v>
      </c>
      <c r="F462" s="215" t="s">
        <v>237</v>
      </c>
      <c r="G462" s="262" t="s">
        <v>46</v>
      </c>
      <c r="H462" s="262" t="s">
        <v>107</v>
      </c>
      <c r="I462" s="262" t="s">
        <v>238</v>
      </c>
      <c r="J462" s="262">
        <f>SUM(J463:J465)</f>
        <v>0</v>
      </c>
      <c r="K462" s="217">
        <v>24949</v>
      </c>
      <c r="L462" s="218">
        <v>0</v>
      </c>
      <c r="M462" s="218">
        <v>0</v>
      </c>
      <c r="N462" s="218"/>
      <c r="O462" s="218"/>
      <c r="P462" s="218"/>
      <c r="Q462" s="218">
        <f>SUM(K462:P462)</f>
        <v>24949</v>
      </c>
      <c r="R462" s="263" t="s">
        <v>76</v>
      </c>
      <c r="S462" s="266" t="s">
        <v>84</v>
      </c>
      <c r="T462" s="229"/>
    </row>
    <row r="463" spans="1:29" ht="26.1" hidden="1" customHeight="1">
      <c r="A463" s="208"/>
      <c r="B463" s="211"/>
      <c r="C463" s="211"/>
      <c r="D463" s="212"/>
      <c r="E463" s="210" t="str">
        <f>IFERROR(VLOOKUP($T463,공사현장대장!$A$5:$T$330,4),"")</f>
        <v/>
      </c>
      <c r="F463" s="212"/>
      <c r="G463" s="265"/>
      <c r="H463" s="265"/>
      <c r="I463" s="265"/>
      <c r="J463" s="265" t="str">
        <f>IFERROR(ROUND(VLOOKUP($T463,공사현장대장!$A$5:$T$330,9)/1000,0),"")</f>
        <v/>
      </c>
      <c r="K463" s="225"/>
      <c r="L463" s="209"/>
      <c r="M463" s="209"/>
      <c r="N463" s="209"/>
      <c r="O463" s="209"/>
      <c r="P463" s="209"/>
      <c r="Q463" s="209"/>
      <c r="R463" s="263" t="s">
        <v>76</v>
      </c>
      <c r="S463" s="266" t="s">
        <v>84</v>
      </c>
      <c r="T463" s="229"/>
    </row>
    <row r="464" spans="1:29" ht="26.1" hidden="1" customHeight="1">
      <c r="A464" s="208"/>
      <c r="B464" s="211"/>
      <c r="C464" s="211"/>
      <c r="D464" s="212"/>
      <c r="E464" s="210" t="str">
        <f>IFERROR(VLOOKUP($T464,공사현장대장!$A$5:$T$330,4),"")</f>
        <v/>
      </c>
      <c r="F464" s="212"/>
      <c r="G464" s="265"/>
      <c r="H464" s="265"/>
      <c r="I464" s="265"/>
      <c r="J464" s="265" t="str">
        <f>IFERROR(ROUND(VLOOKUP($T464,공사현장대장!$A$5:$T$330,9)/1000,0),"")</f>
        <v/>
      </c>
      <c r="K464" s="225"/>
      <c r="L464" s="209"/>
      <c r="M464" s="209"/>
      <c r="N464" s="209"/>
      <c r="O464" s="209"/>
      <c r="P464" s="209"/>
      <c r="Q464" s="209"/>
      <c r="R464" s="263" t="s">
        <v>76</v>
      </c>
      <c r="S464" s="266" t="s">
        <v>84</v>
      </c>
      <c r="T464" s="229"/>
    </row>
    <row r="465" spans="1:20" ht="26.1" hidden="1" customHeight="1">
      <c r="A465" s="208"/>
      <c r="B465" s="211"/>
      <c r="C465" s="211"/>
      <c r="D465" s="212"/>
      <c r="E465" s="210" t="str">
        <f>IFERROR(VLOOKUP($T465,공사현장대장!$A$5:$T$330,4),"")</f>
        <v/>
      </c>
      <c r="F465" s="212"/>
      <c r="G465" s="265"/>
      <c r="H465" s="265"/>
      <c r="I465" s="265"/>
      <c r="J465" s="265" t="str">
        <f>IFERROR(ROUND(VLOOKUP($T465,공사현장대장!$A$5:$T$330,9)/1000,0),"")</f>
        <v/>
      </c>
      <c r="K465" s="225"/>
      <c r="L465" s="209"/>
      <c r="M465" s="209"/>
      <c r="N465" s="209"/>
      <c r="O465" s="209"/>
      <c r="P465" s="209"/>
      <c r="Q465" s="209"/>
      <c r="R465" s="263" t="s">
        <v>76</v>
      </c>
      <c r="S465" s="266" t="s">
        <v>84</v>
      </c>
      <c r="T465" s="229"/>
    </row>
    <row r="466" spans="1:20" ht="26.1" hidden="1" customHeight="1">
      <c r="A466" s="324" t="s">
        <v>40</v>
      </c>
      <c r="B466" s="325"/>
      <c r="C466" s="325"/>
      <c r="D466" s="325"/>
      <c r="E466" s="326"/>
      <c r="F466" s="226"/>
      <c r="G466" s="267"/>
      <c r="H466" s="267"/>
      <c r="I466" s="267"/>
      <c r="J466" s="267"/>
      <c r="K466" s="227">
        <f t="shared" ref="K466:Q466" si="91">SUM(K462-SUM(K463:K465))</f>
        <v>24949</v>
      </c>
      <c r="L466" s="227">
        <f t="shared" si="91"/>
        <v>0</v>
      </c>
      <c r="M466" s="227">
        <f t="shared" si="91"/>
        <v>0</v>
      </c>
      <c r="N466" s="227">
        <f t="shared" si="91"/>
        <v>0</v>
      </c>
      <c r="O466" s="227">
        <f t="shared" si="91"/>
        <v>0</v>
      </c>
      <c r="P466" s="227">
        <f t="shared" si="91"/>
        <v>0</v>
      </c>
      <c r="Q466" s="227">
        <f t="shared" si="91"/>
        <v>24949</v>
      </c>
      <c r="R466" s="268" t="s">
        <v>76</v>
      </c>
      <c r="S466" s="269" t="s">
        <v>84</v>
      </c>
      <c r="T466" s="230"/>
    </row>
    <row r="467" spans="1:20" ht="26.1" hidden="1" customHeight="1">
      <c r="A467" s="213" t="s">
        <v>29</v>
      </c>
      <c r="B467" s="214" t="s">
        <v>50</v>
      </c>
      <c r="C467" s="214" t="s">
        <v>31</v>
      </c>
      <c r="D467" s="215" t="s">
        <v>239</v>
      </c>
      <c r="E467" s="216" t="s">
        <v>125</v>
      </c>
      <c r="F467" s="215" t="s">
        <v>240</v>
      </c>
      <c r="G467" s="262" t="s">
        <v>127</v>
      </c>
      <c r="H467" s="262" t="s">
        <v>241</v>
      </c>
      <c r="I467" s="262" t="s">
        <v>242</v>
      </c>
      <c r="J467" s="262">
        <f>SUM(J468:J470)</f>
        <v>0</v>
      </c>
      <c r="K467" s="217">
        <v>806139</v>
      </c>
      <c r="L467" s="218">
        <v>214498</v>
      </c>
      <c r="M467" s="218"/>
      <c r="N467" s="218">
        <v>11891</v>
      </c>
      <c r="O467" s="218"/>
      <c r="P467" s="218"/>
      <c r="Q467" s="218">
        <f>SUM(K467:P467)</f>
        <v>1032528</v>
      </c>
      <c r="R467" s="263" t="s">
        <v>38</v>
      </c>
      <c r="S467" s="266" t="s">
        <v>71</v>
      </c>
      <c r="T467" s="229"/>
    </row>
    <row r="468" spans="1:20" ht="26.1" hidden="1" customHeight="1">
      <c r="A468" s="208"/>
      <c r="B468" s="211"/>
      <c r="C468" s="211"/>
      <c r="D468" s="212"/>
      <c r="E468" s="210" t="str">
        <f>IFERROR(VLOOKUP($T468,공사현장대장!$A$5:$T$330,4),"")</f>
        <v/>
      </c>
      <c r="F468" s="212"/>
      <c r="G468" s="265"/>
      <c r="H468" s="265"/>
      <c r="I468" s="265"/>
      <c r="J468" s="265" t="str">
        <f>IFERROR(ROUND(VLOOKUP($T468,공사현장대장!$A$5:$T$330,9)/1000,0),"")</f>
        <v/>
      </c>
      <c r="K468" s="225"/>
      <c r="L468" s="209"/>
      <c r="M468" s="209"/>
      <c r="N468" s="209"/>
      <c r="O468" s="209"/>
      <c r="P468" s="209"/>
      <c r="Q468" s="209"/>
      <c r="R468" s="263" t="s">
        <v>38</v>
      </c>
      <c r="S468" s="266" t="s">
        <v>71</v>
      </c>
      <c r="T468" s="229"/>
    </row>
    <row r="469" spans="1:20" ht="26.1" hidden="1" customHeight="1">
      <c r="A469" s="208"/>
      <c r="B469" s="211"/>
      <c r="C469" s="211"/>
      <c r="D469" s="212"/>
      <c r="E469" s="210" t="str">
        <f>IFERROR(VLOOKUP($T469,공사현장대장!$A$5:$T$330,4),"")</f>
        <v/>
      </c>
      <c r="F469" s="212"/>
      <c r="G469" s="265"/>
      <c r="H469" s="265"/>
      <c r="I469" s="265"/>
      <c r="J469" s="265" t="str">
        <f>IFERROR(ROUND(VLOOKUP($T469,공사현장대장!$A$5:$T$330,9)/1000,0),"")</f>
        <v/>
      </c>
      <c r="K469" s="225"/>
      <c r="L469" s="209"/>
      <c r="M469" s="209"/>
      <c r="N469" s="209"/>
      <c r="O469" s="209"/>
      <c r="P469" s="209"/>
      <c r="Q469" s="209"/>
      <c r="R469" s="263" t="s">
        <v>38</v>
      </c>
      <c r="S469" s="266" t="s">
        <v>71</v>
      </c>
      <c r="T469" s="229"/>
    </row>
    <row r="470" spans="1:20" ht="26.1" hidden="1" customHeight="1">
      <c r="A470" s="208"/>
      <c r="B470" s="211"/>
      <c r="C470" s="211"/>
      <c r="D470" s="212"/>
      <c r="E470" s="210" t="str">
        <f>IFERROR(VLOOKUP($T470,공사현장대장!$A$5:$T$330,4),"")</f>
        <v/>
      </c>
      <c r="F470" s="212"/>
      <c r="G470" s="265"/>
      <c r="H470" s="265"/>
      <c r="I470" s="265"/>
      <c r="J470" s="265" t="str">
        <f>IFERROR(ROUND(VLOOKUP($T470,공사현장대장!$A$5:$T$330,9)/1000,0),"")</f>
        <v/>
      </c>
      <c r="K470" s="225"/>
      <c r="L470" s="209"/>
      <c r="M470" s="209"/>
      <c r="N470" s="209"/>
      <c r="O470" s="209"/>
      <c r="P470" s="209"/>
      <c r="Q470" s="209"/>
      <c r="R470" s="263" t="s">
        <v>38</v>
      </c>
      <c r="S470" s="266" t="s">
        <v>71</v>
      </c>
      <c r="T470" s="229"/>
    </row>
    <row r="471" spans="1:20" ht="26.1" hidden="1" customHeight="1">
      <c r="A471" s="324" t="s">
        <v>40</v>
      </c>
      <c r="B471" s="325"/>
      <c r="C471" s="325"/>
      <c r="D471" s="325"/>
      <c r="E471" s="326"/>
      <c r="F471" s="226"/>
      <c r="G471" s="267"/>
      <c r="H471" s="267"/>
      <c r="I471" s="267"/>
      <c r="J471" s="267"/>
      <c r="K471" s="227">
        <f t="shared" ref="K471:Q471" si="92">SUM(K467-SUM(K468:K470))</f>
        <v>806139</v>
      </c>
      <c r="L471" s="227">
        <f t="shared" si="92"/>
        <v>214498</v>
      </c>
      <c r="M471" s="227">
        <f t="shared" si="92"/>
        <v>0</v>
      </c>
      <c r="N471" s="227">
        <f t="shared" si="92"/>
        <v>11891</v>
      </c>
      <c r="O471" s="227">
        <f t="shared" si="92"/>
        <v>0</v>
      </c>
      <c r="P471" s="227">
        <f t="shared" si="92"/>
        <v>0</v>
      </c>
      <c r="Q471" s="227">
        <f t="shared" si="92"/>
        <v>1032528</v>
      </c>
      <c r="R471" s="268" t="s">
        <v>38</v>
      </c>
      <c r="S471" s="269" t="s">
        <v>71</v>
      </c>
      <c r="T471" s="230"/>
    </row>
    <row r="472" spans="1:20" ht="26.1" hidden="1" customHeight="1">
      <c r="A472" s="213" t="s">
        <v>29</v>
      </c>
      <c r="B472" s="214" t="s">
        <v>50</v>
      </c>
      <c r="C472" s="214" t="s">
        <v>31</v>
      </c>
      <c r="D472" s="215" t="s">
        <v>243</v>
      </c>
      <c r="E472" s="216" t="s">
        <v>162</v>
      </c>
      <c r="F472" s="215" t="s">
        <v>244</v>
      </c>
      <c r="G472" s="262" t="s">
        <v>46</v>
      </c>
      <c r="H472" s="262" t="s">
        <v>47</v>
      </c>
      <c r="I472" s="262" t="s">
        <v>48</v>
      </c>
      <c r="J472" s="262">
        <f>SUM(J473:J475)</f>
        <v>0</v>
      </c>
      <c r="K472" s="217"/>
      <c r="L472" s="218"/>
      <c r="M472" s="218"/>
      <c r="N472" s="218"/>
      <c r="O472" s="218"/>
      <c r="P472" s="218">
        <v>11692</v>
      </c>
      <c r="Q472" s="218">
        <f>SUM(K472:P472)</f>
        <v>11692</v>
      </c>
      <c r="R472" s="263" t="s">
        <v>38</v>
      </c>
      <c r="S472" s="266" t="s">
        <v>115</v>
      </c>
      <c r="T472" s="229"/>
    </row>
    <row r="473" spans="1:20" ht="26.1" hidden="1" customHeight="1">
      <c r="A473" s="208"/>
      <c r="B473" s="211"/>
      <c r="C473" s="211"/>
      <c r="D473" s="212"/>
      <c r="E473" s="210" t="str">
        <f>IFERROR(VLOOKUP($T473,공사현장대장!$A$5:$T$330,4),"")</f>
        <v/>
      </c>
      <c r="F473" s="212"/>
      <c r="G473" s="265"/>
      <c r="H473" s="265"/>
      <c r="I473" s="265"/>
      <c r="J473" s="265" t="str">
        <f>IFERROR(ROUND(VLOOKUP($T473,공사현장대장!$A$5:$T$330,9)/1000,0),"")</f>
        <v/>
      </c>
      <c r="K473" s="225"/>
      <c r="L473" s="209"/>
      <c r="M473" s="209"/>
      <c r="N473" s="209"/>
      <c r="O473" s="209"/>
      <c r="P473" s="209"/>
      <c r="Q473" s="209"/>
      <c r="R473" s="263" t="s">
        <v>38</v>
      </c>
      <c r="S473" s="266" t="s">
        <v>115</v>
      </c>
      <c r="T473" s="229"/>
    </row>
    <row r="474" spans="1:20" ht="26.1" hidden="1" customHeight="1">
      <c r="A474" s="208"/>
      <c r="B474" s="211"/>
      <c r="C474" s="211"/>
      <c r="D474" s="212"/>
      <c r="E474" s="210" t="str">
        <f>IFERROR(VLOOKUP($T474,공사현장대장!$A$5:$T$330,4),"")</f>
        <v/>
      </c>
      <c r="F474" s="212"/>
      <c r="G474" s="265"/>
      <c r="H474" s="265"/>
      <c r="I474" s="265"/>
      <c r="J474" s="265" t="str">
        <f>IFERROR(ROUND(VLOOKUP($T474,공사현장대장!$A$5:$T$330,9)/1000,0),"")</f>
        <v/>
      </c>
      <c r="K474" s="225"/>
      <c r="L474" s="209"/>
      <c r="M474" s="209"/>
      <c r="N474" s="209"/>
      <c r="O474" s="209"/>
      <c r="P474" s="209"/>
      <c r="Q474" s="209"/>
      <c r="R474" s="263" t="s">
        <v>38</v>
      </c>
      <c r="S474" s="266" t="s">
        <v>115</v>
      </c>
      <c r="T474" s="229"/>
    </row>
    <row r="475" spans="1:20" ht="26.1" hidden="1" customHeight="1">
      <c r="A475" s="208"/>
      <c r="B475" s="211"/>
      <c r="C475" s="211"/>
      <c r="D475" s="212"/>
      <c r="E475" s="210" t="str">
        <f>IFERROR(VLOOKUP($T475,공사현장대장!$A$5:$T$330,4),"")</f>
        <v/>
      </c>
      <c r="F475" s="212"/>
      <c r="G475" s="265"/>
      <c r="H475" s="265"/>
      <c r="I475" s="265"/>
      <c r="J475" s="265" t="str">
        <f>IFERROR(ROUND(VLOOKUP($T475,공사현장대장!$A$5:$T$330,9)/1000,0),"")</f>
        <v/>
      </c>
      <c r="K475" s="225"/>
      <c r="L475" s="209"/>
      <c r="M475" s="209"/>
      <c r="N475" s="209"/>
      <c r="O475" s="209"/>
      <c r="P475" s="209"/>
      <c r="Q475" s="209"/>
      <c r="R475" s="263" t="s">
        <v>38</v>
      </c>
      <c r="S475" s="266" t="s">
        <v>115</v>
      </c>
      <c r="T475" s="229"/>
    </row>
    <row r="476" spans="1:20" ht="26.1" hidden="1" customHeight="1">
      <c r="A476" s="324" t="s">
        <v>40</v>
      </c>
      <c r="B476" s="325"/>
      <c r="C476" s="325"/>
      <c r="D476" s="325"/>
      <c r="E476" s="326"/>
      <c r="F476" s="226"/>
      <c r="G476" s="267"/>
      <c r="H476" s="267"/>
      <c r="I476" s="267"/>
      <c r="J476" s="267"/>
      <c r="K476" s="227">
        <f t="shared" ref="K476:Q476" si="93">SUM(K472-SUM(K473:K475))</f>
        <v>0</v>
      </c>
      <c r="L476" s="227">
        <f t="shared" si="93"/>
        <v>0</v>
      </c>
      <c r="M476" s="227">
        <f t="shared" si="93"/>
        <v>0</v>
      </c>
      <c r="N476" s="227">
        <f t="shared" si="93"/>
        <v>0</v>
      </c>
      <c r="O476" s="227">
        <f t="shared" si="93"/>
        <v>0</v>
      </c>
      <c r="P476" s="227">
        <f t="shared" si="93"/>
        <v>11692</v>
      </c>
      <c r="Q476" s="227">
        <f t="shared" si="93"/>
        <v>11692</v>
      </c>
      <c r="R476" s="268" t="s">
        <v>38</v>
      </c>
      <c r="S476" s="269" t="s">
        <v>115</v>
      </c>
      <c r="T476" s="230"/>
    </row>
    <row r="477" spans="1:20" ht="26.1" hidden="1" customHeight="1">
      <c r="A477" s="213" t="s">
        <v>29</v>
      </c>
      <c r="B477" s="214" t="s">
        <v>50</v>
      </c>
      <c r="C477" s="214" t="s">
        <v>31</v>
      </c>
      <c r="D477" s="215" t="s">
        <v>243</v>
      </c>
      <c r="E477" s="216" t="s">
        <v>169</v>
      </c>
      <c r="F477" s="215" t="s">
        <v>245</v>
      </c>
      <c r="G477" s="262" t="s">
        <v>46</v>
      </c>
      <c r="H477" s="262" t="s">
        <v>107</v>
      </c>
      <c r="I477" s="262" t="s">
        <v>171</v>
      </c>
      <c r="J477" s="262">
        <f>SUM(J478:J480)</f>
        <v>0</v>
      </c>
      <c r="K477" s="217">
        <v>0</v>
      </c>
      <c r="L477" s="218">
        <v>280263</v>
      </c>
      <c r="M477" s="218">
        <v>16815</v>
      </c>
      <c r="N477" s="218"/>
      <c r="O477" s="218"/>
      <c r="P477" s="218"/>
      <c r="Q477" s="218">
        <f>SUM(K477:P477)</f>
        <v>297078</v>
      </c>
      <c r="R477" s="263" t="s">
        <v>76</v>
      </c>
      <c r="S477" s="266" t="s">
        <v>115</v>
      </c>
      <c r="T477" s="229"/>
    </row>
    <row r="478" spans="1:20" ht="26.1" hidden="1" customHeight="1">
      <c r="A478" s="208"/>
      <c r="B478" s="211"/>
      <c r="C478" s="211"/>
      <c r="D478" s="212"/>
      <c r="E478" s="210" t="str">
        <f>IFERROR(VLOOKUP($T478,공사현장대장!$A$5:$T$330,4),"")</f>
        <v/>
      </c>
      <c r="F478" s="212"/>
      <c r="G478" s="265"/>
      <c r="H478" s="265"/>
      <c r="I478" s="265"/>
      <c r="J478" s="265" t="str">
        <f>IFERROR(ROUND(VLOOKUP($T478,공사현장대장!$A$5:$T$330,9)/1000,0),"")</f>
        <v/>
      </c>
      <c r="K478" s="225"/>
      <c r="L478" s="209"/>
      <c r="M478" s="209"/>
      <c r="N478" s="209"/>
      <c r="O478" s="209"/>
      <c r="P478" s="209"/>
      <c r="Q478" s="209"/>
      <c r="R478" s="263" t="s">
        <v>76</v>
      </c>
      <c r="S478" s="266" t="s">
        <v>115</v>
      </c>
      <c r="T478" s="229"/>
    </row>
    <row r="479" spans="1:20" ht="26.1" hidden="1" customHeight="1">
      <c r="A479" s="208"/>
      <c r="B479" s="211"/>
      <c r="C479" s="211"/>
      <c r="D479" s="212"/>
      <c r="E479" s="210" t="str">
        <f>IFERROR(VLOOKUP($T479,공사현장대장!$A$5:$T$330,4),"")</f>
        <v/>
      </c>
      <c r="F479" s="212"/>
      <c r="G479" s="265"/>
      <c r="H479" s="265"/>
      <c r="I479" s="265"/>
      <c r="J479" s="265" t="str">
        <f>IFERROR(ROUND(VLOOKUP($T479,공사현장대장!$A$5:$T$330,9)/1000,0),"")</f>
        <v/>
      </c>
      <c r="K479" s="225"/>
      <c r="L479" s="209"/>
      <c r="M479" s="209"/>
      <c r="N479" s="209"/>
      <c r="O479" s="209"/>
      <c r="P479" s="209"/>
      <c r="Q479" s="209"/>
      <c r="R479" s="263" t="s">
        <v>76</v>
      </c>
      <c r="S479" s="266" t="s">
        <v>115</v>
      </c>
      <c r="T479" s="229"/>
    </row>
    <row r="480" spans="1:20" ht="26.1" hidden="1" customHeight="1">
      <c r="A480" s="208"/>
      <c r="B480" s="211"/>
      <c r="C480" s="211"/>
      <c r="D480" s="212"/>
      <c r="E480" s="210" t="str">
        <f>IFERROR(VLOOKUP($T480,공사현장대장!$A$5:$T$330,4),"")</f>
        <v/>
      </c>
      <c r="F480" s="212"/>
      <c r="G480" s="265"/>
      <c r="H480" s="265"/>
      <c r="I480" s="265"/>
      <c r="J480" s="265" t="str">
        <f>IFERROR(ROUND(VLOOKUP($T480,공사현장대장!$A$5:$T$330,9)/1000,0),"")</f>
        <v/>
      </c>
      <c r="K480" s="225"/>
      <c r="L480" s="209"/>
      <c r="M480" s="209"/>
      <c r="N480" s="209"/>
      <c r="O480" s="209"/>
      <c r="P480" s="209"/>
      <c r="Q480" s="209"/>
      <c r="R480" s="263" t="s">
        <v>76</v>
      </c>
      <c r="S480" s="266" t="s">
        <v>115</v>
      </c>
      <c r="T480" s="229"/>
    </row>
    <row r="481" spans="1:20" ht="26.1" hidden="1" customHeight="1">
      <c r="A481" s="324" t="s">
        <v>40</v>
      </c>
      <c r="B481" s="325"/>
      <c r="C481" s="325"/>
      <c r="D481" s="325"/>
      <c r="E481" s="326"/>
      <c r="F481" s="226"/>
      <c r="G481" s="267"/>
      <c r="H481" s="267"/>
      <c r="I481" s="267"/>
      <c r="J481" s="267"/>
      <c r="K481" s="227">
        <f t="shared" ref="K481:Q481" si="94">SUM(K477-SUM(K478:K480))</f>
        <v>0</v>
      </c>
      <c r="L481" s="227">
        <f t="shared" si="94"/>
        <v>280263</v>
      </c>
      <c r="M481" s="227">
        <f t="shared" si="94"/>
        <v>16815</v>
      </c>
      <c r="N481" s="227">
        <f t="shared" si="94"/>
        <v>0</v>
      </c>
      <c r="O481" s="227">
        <f t="shared" si="94"/>
        <v>0</v>
      </c>
      <c r="P481" s="227">
        <f t="shared" si="94"/>
        <v>0</v>
      </c>
      <c r="Q481" s="227">
        <f t="shared" si="94"/>
        <v>297078</v>
      </c>
      <c r="R481" s="268" t="s">
        <v>76</v>
      </c>
      <c r="S481" s="269" t="s">
        <v>115</v>
      </c>
      <c r="T481" s="230"/>
    </row>
    <row r="482" spans="1:20" ht="26.1" hidden="1" customHeight="1">
      <c r="A482" s="213" t="s">
        <v>29</v>
      </c>
      <c r="B482" s="214" t="s">
        <v>50</v>
      </c>
      <c r="C482" s="214" t="s">
        <v>31</v>
      </c>
      <c r="D482" s="215" t="s">
        <v>246</v>
      </c>
      <c r="E482" s="216" t="s">
        <v>247</v>
      </c>
      <c r="F482" s="215" t="s">
        <v>248</v>
      </c>
      <c r="G482" s="262" t="s">
        <v>46</v>
      </c>
      <c r="H482" s="262" t="s">
        <v>54</v>
      </c>
      <c r="I482" s="262" t="s">
        <v>55</v>
      </c>
      <c r="J482" s="262">
        <f>SUM(J483:J485)</f>
        <v>0</v>
      </c>
      <c r="K482" s="217"/>
      <c r="L482" s="218">
        <v>66500</v>
      </c>
      <c r="M482" s="218"/>
      <c r="N482" s="218"/>
      <c r="O482" s="218"/>
      <c r="P482" s="218"/>
      <c r="Q482" s="218">
        <f>SUM(K482:P482)</f>
        <v>66500</v>
      </c>
      <c r="R482" s="263" t="s">
        <v>38</v>
      </c>
      <c r="S482" s="266" t="s">
        <v>84</v>
      </c>
      <c r="T482" s="229"/>
    </row>
    <row r="483" spans="1:20" ht="26.1" hidden="1" customHeight="1">
      <c r="A483" s="208"/>
      <c r="B483" s="211"/>
      <c r="C483" s="211"/>
      <c r="D483" s="212"/>
      <c r="E483" s="210" t="str">
        <f>IFERROR(VLOOKUP($T483,공사현장대장!$A$5:$T$330,4),"")</f>
        <v/>
      </c>
      <c r="F483" s="212"/>
      <c r="G483" s="265"/>
      <c r="H483" s="265"/>
      <c r="I483" s="265"/>
      <c r="J483" s="265" t="str">
        <f>IFERROR(ROUND(VLOOKUP($T483,공사현장대장!$A$5:$T$330,9)/1000,0),"")</f>
        <v/>
      </c>
      <c r="K483" s="225"/>
      <c r="L483" s="209"/>
      <c r="M483" s="209"/>
      <c r="N483" s="209"/>
      <c r="O483" s="209"/>
      <c r="P483" s="209"/>
      <c r="Q483" s="209"/>
      <c r="R483" s="263" t="s">
        <v>38</v>
      </c>
      <c r="S483" s="266" t="s">
        <v>84</v>
      </c>
      <c r="T483" s="229"/>
    </row>
    <row r="484" spans="1:20" ht="26.1" hidden="1" customHeight="1">
      <c r="A484" s="208"/>
      <c r="B484" s="211"/>
      <c r="C484" s="211"/>
      <c r="D484" s="212"/>
      <c r="E484" s="210" t="str">
        <f>IFERROR(VLOOKUP($T484,공사현장대장!$A$5:$T$330,4),"")</f>
        <v/>
      </c>
      <c r="F484" s="212"/>
      <c r="G484" s="265"/>
      <c r="H484" s="265"/>
      <c r="I484" s="265"/>
      <c r="J484" s="265" t="str">
        <f>IFERROR(ROUND(VLOOKUP($T484,공사현장대장!$A$5:$T$330,9)/1000,0),"")</f>
        <v/>
      </c>
      <c r="K484" s="225"/>
      <c r="L484" s="209"/>
      <c r="M484" s="209"/>
      <c r="N484" s="209"/>
      <c r="O484" s="209"/>
      <c r="P484" s="209"/>
      <c r="Q484" s="209"/>
      <c r="R484" s="263" t="s">
        <v>38</v>
      </c>
      <c r="S484" s="266" t="s">
        <v>84</v>
      </c>
      <c r="T484" s="229"/>
    </row>
    <row r="485" spans="1:20" ht="26.1" hidden="1" customHeight="1">
      <c r="A485" s="208"/>
      <c r="B485" s="211"/>
      <c r="C485" s="211"/>
      <c r="D485" s="212"/>
      <c r="E485" s="210" t="str">
        <f>IFERROR(VLOOKUP($T485,공사현장대장!$A$5:$T$330,4),"")</f>
        <v/>
      </c>
      <c r="F485" s="212"/>
      <c r="G485" s="265"/>
      <c r="H485" s="265"/>
      <c r="I485" s="265"/>
      <c r="J485" s="265" t="str">
        <f>IFERROR(ROUND(VLOOKUP($T485,공사현장대장!$A$5:$T$330,9)/1000,0),"")</f>
        <v/>
      </c>
      <c r="K485" s="225"/>
      <c r="L485" s="209"/>
      <c r="M485" s="209"/>
      <c r="N485" s="209"/>
      <c r="O485" s="209"/>
      <c r="P485" s="209"/>
      <c r="Q485" s="209"/>
      <c r="R485" s="263" t="s">
        <v>38</v>
      </c>
      <c r="S485" s="266" t="s">
        <v>84</v>
      </c>
      <c r="T485" s="229"/>
    </row>
    <row r="486" spans="1:20" ht="26.1" hidden="1" customHeight="1">
      <c r="A486" s="324" t="s">
        <v>40</v>
      </c>
      <c r="B486" s="325"/>
      <c r="C486" s="325"/>
      <c r="D486" s="325"/>
      <c r="E486" s="326"/>
      <c r="F486" s="226"/>
      <c r="G486" s="267"/>
      <c r="H486" s="267"/>
      <c r="I486" s="267"/>
      <c r="J486" s="267"/>
      <c r="K486" s="227">
        <f t="shared" ref="K486:Q486" si="95">SUM(K482-SUM(K483:K485))</f>
        <v>0</v>
      </c>
      <c r="L486" s="227">
        <f t="shared" si="95"/>
        <v>66500</v>
      </c>
      <c r="M486" s="227">
        <f t="shared" si="95"/>
        <v>0</v>
      </c>
      <c r="N486" s="227">
        <f t="shared" si="95"/>
        <v>0</v>
      </c>
      <c r="O486" s="227">
        <f t="shared" si="95"/>
        <v>0</v>
      </c>
      <c r="P486" s="227">
        <f t="shared" si="95"/>
        <v>0</v>
      </c>
      <c r="Q486" s="227">
        <f t="shared" si="95"/>
        <v>66500</v>
      </c>
      <c r="R486" s="268" t="s">
        <v>38</v>
      </c>
      <c r="S486" s="269" t="s">
        <v>84</v>
      </c>
      <c r="T486" s="230"/>
    </row>
    <row r="487" spans="1:20" ht="26.1" hidden="1" customHeight="1">
      <c r="A487" s="213" t="s">
        <v>29</v>
      </c>
      <c r="B487" s="214" t="s">
        <v>50</v>
      </c>
      <c r="C487" s="214" t="s">
        <v>31</v>
      </c>
      <c r="D487" s="215" t="s">
        <v>246</v>
      </c>
      <c r="E487" s="216" t="s">
        <v>249</v>
      </c>
      <c r="F487" s="215" t="s">
        <v>250</v>
      </c>
      <c r="G487" s="262" t="s">
        <v>46</v>
      </c>
      <c r="H487" s="262" t="s">
        <v>54</v>
      </c>
      <c r="I487" s="262" t="s">
        <v>55</v>
      </c>
      <c r="J487" s="262">
        <f>SUM(J488:J490)</f>
        <v>0</v>
      </c>
      <c r="K487" s="217"/>
      <c r="L487" s="218">
        <v>53550</v>
      </c>
      <c r="M487" s="218"/>
      <c r="N487" s="218"/>
      <c r="O487" s="218"/>
      <c r="P487" s="218"/>
      <c r="Q487" s="218">
        <f>SUM(K487:P487)</f>
        <v>53550</v>
      </c>
      <c r="R487" s="274" t="s">
        <v>87</v>
      </c>
      <c r="S487" s="266" t="s">
        <v>84</v>
      </c>
      <c r="T487" s="229"/>
    </row>
    <row r="488" spans="1:20" ht="26.1" hidden="1" customHeight="1">
      <c r="A488" s="208"/>
      <c r="B488" s="211"/>
      <c r="C488" s="211"/>
      <c r="D488" s="212"/>
      <c r="E488" s="210" t="str">
        <f>IFERROR(VLOOKUP($T488,공사현장대장!$A$5:$T$330,4),"")</f>
        <v/>
      </c>
      <c r="F488" s="212"/>
      <c r="G488" s="265"/>
      <c r="H488" s="265"/>
      <c r="I488" s="265"/>
      <c r="J488" s="265" t="str">
        <f>IFERROR(ROUND(VLOOKUP($T488,공사현장대장!$A$5:$T$330,9)/1000,0),"")</f>
        <v/>
      </c>
      <c r="K488" s="225"/>
      <c r="L488" s="209"/>
      <c r="M488" s="209"/>
      <c r="N488" s="209"/>
      <c r="O488" s="209"/>
      <c r="P488" s="209"/>
      <c r="Q488" s="209"/>
      <c r="R488" s="263" t="s">
        <v>87</v>
      </c>
      <c r="S488" s="266" t="s">
        <v>84</v>
      </c>
      <c r="T488" s="229"/>
    </row>
    <row r="489" spans="1:20" ht="26.1" hidden="1" customHeight="1">
      <c r="A489" s="208"/>
      <c r="B489" s="211"/>
      <c r="C489" s="211"/>
      <c r="D489" s="212"/>
      <c r="E489" s="210" t="str">
        <f>IFERROR(VLOOKUP($T489,공사현장대장!$A$5:$T$330,4),"")</f>
        <v/>
      </c>
      <c r="F489" s="212"/>
      <c r="G489" s="265"/>
      <c r="H489" s="265"/>
      <c r="I489" s="265"/>
      <c r="J489" s="265" t="str">
        <f>IFERROR(ROUND(VLOOKUP($T489,공사현장대장!$A$5:$T$330,9)/1000,0),"")</f>
        <v/>
      </c>
      <c r="K489" s="225"/>
      <c r="L489" s="209"/>
      <c r="M489" s="209"/>
      <c r="N489" s="209"/>
      <c r="O489" s="209"/>
      <c r="P489" s="209"/>
      <c r="Q489" s="209"/>
      <c r="R489" s="263" t="s">
        <v>87</v>
      </c>
      <c r="S489" s="266" t="s">
        <v>84</v>
      </c>
      <c r="T489" s="229"/>
    </row>
    <row r="490" spans="1:20" ht="26.1" hidden="1" customHeight="1">
      <c r="A490" s="208"/>
      <c r="B490" s="211"/>
      <c r="C490" s="211"/>
      <c r="D490" s="212"/>
      <c r="E490" s="210" t="str">
        <f>IFERROR(VLOOKUP($T490,공사현장대장!$A$5:$T$330,4),"")</f>
        <v/>
      </c>
      <c r="F490" s="212"/>
      <c r="G490" s="265"/>
      <c r="H490" s="265"/>
      <c r="I490" s="265"/>
      <c r="J490" s="265" t="str">
        <f>IFERROR(ROUND(VLOOKUP($T490,공사현장대장!$A$5:$T$330,9)/1000,0),"")</f>
        <v/>
      </c>
      <c r="K490" s="225"/>
      <c r="L490" s="209"/>
      <c r="M490" s="209"/>
      <c r="N490" s="209"/>
      <c r="O490" s="209"/>
      <c r="P490" s="209"/>
      <c r="Q490" s="209"/>
      <c r="R490" s="263" t="s">
        <v>87</v>
      </c>
      <c r="S490" s="266" t="s">
        <v>84</v>
      </c>
      <c r="T490" s="229"/>
    </row>
    <row r="491" spans="1:20" ht="26.1" hidden="1" customHeight="1">
      <c r="A491" s="324" t="s">
        <v>40</v>
      </c>
      <c r="B491" s="325"/>
      <c r="C491" s="325"/>
      <c r="D491" s="325"/>
      <c r="E491" s="326"/>
      <c r="F491" s="226"/>
      <c r="G491" s="267"/>
      <c r="H491" s="267"/>
      <c r="I491" s="267"/>
      <c r="J491" s="267"/>
      <c r="K491" s="227">
        <f t="shared" ref="K491:Q491" si="96">SUM(K487-SUM(K488:K490))</f>
        <v>0</v>
      </c>
      <c r="L491" s="227">
        <f t="shared" si="96"/>
        <v>53550</v>
      </c>
      <c r="M491" s="227">
        <f t="shared" si="96"/>
        <v>0</v>
      </c>
      <c r="N491" s="227">
        <f t="shared" si="96"/>
        <v>0</v>
      </c>
      <c r="O491" s="227">
        <f t="shared" si="96"/>
        <v>0</v>
      </c>
      <c r="P491" s="227">
        <f t="shared" si="96"/>
        <v>0</v>
      </c>
      <c r="Q491" s="227">
        <f t="shared" si="96"/>
        <v>53550</v>
      </c>
      <c r="R491" s="268" t="s">
        <v>87</v>
      </c>
      <c r="S491" s="269" t="s">
        <v>84</v>
      </c>
      <c r="T491" s="230"/>
    </row>
    <row r="492" spans="1:20" ht="26.1" hidden="1" customHeight="1">
      <c r="A492" s="213" t="s">
        <v>29</v>
      </c>
      <c r="B492" s="214" t="s">
        <v>50</v>
      </c>
      <c r="C492" s="214" t="s">
        <v>31</v>
      </c>
      <c r="D492" s="215" t="s">
        <v>246</v>
      </c>
      <c r="E492" s="216" t="s">
        <v>251</v>
      </c>
      <c r="F492" s="215" t="s">
        <v>252</v>
      </c>
      <c r="G492" s="262" t="s">
        <v>46</v>
      </c>
      <c r="H492" s="262" t="s">
        <v>54</v>
      </c>
      <c r="I492" s="262" t="s">
        <v>55</v>
      </c>
      <c r="J492" s="262">
        <f>SUM(J493:J495)</f>
        <v>0</v>
      </c>
      <c r="K492" s="217"/>
      <c r="L492" s="218"/>
      <c r="M492" s="218"/>
      <c r="N492" s="218"/>
      <c r="O492" s="218"/>
      <c r="P492" s="218">
        <v>23450</v>
      </c>
      <c r="Q492" s="218">
        <f>SUM(K492:P492)</f>
        <v>23450</v>
      </c>
      <c r="R492" s="263" t="s">
        <v>38</v>
      </c>
      <c r="S492" s="266" t="s">
        <v>84</v>
      </c>
      <c r="T492" s="229"/>
    </row>
    <row r="493" spans="1:20" ht="26.1" hidden="1" customHeight="1">
      <c r="A493" s="208"/>
      <c r="B493" s="211"/>
      <c r="C493" s="211"/>
      <c r="D493" s="212"/>
      <c r="E493" s="210" t="str">
        <f>IFERROR(VLOOKUP($T493,공사현장대장!$A$5:$T$330,4),"")</f>
        <v/>
      </c>
      <c r="F493" s="212"/>
      <c r="G493" s="265"/>
      <c r="H493" s="265"/>
      <c r="I493" s="265"/>
      <c r="J493" s="265" t="str">
        <f>IFERROR(ROUND(VLOOKUP($T493,공사현장대장!$A$5:$T$330,9)/1000,0),"")</f>
        <v/>
      </c>
      <c r="K493" s="225"/>
      <c r="L493" s="209"/>
      <c r="M493" s="209"/>
      <c r="N493" s="209"/>
      <c r="O493" s="209"/>
      <c r="P493" s="209"/>
      <c r="Q493" s="209"/>
      <c r="R493" s="263" t="s">
        <v>38</v>
      </c>
      <c r="S493" s="266" t="s">
        <v>84</v>
      </c>
      <c r="T493" s="229"/>
    </row>
    <row r="494" spans="1:20" ht="26.1" hidden="1" customHeight="1">
      <c r="A494" s="208"/>
      <c r="B494" s="211"/>
      <c r="C494" s="211"/>
      <c r="D494" s="212"/>
      <c r="E494" s="210" t="str">
        <f>IFERROR(VLOOKUP($T494,공사현장대장!$A$5:$T$330,4),"")</f>
        <v/>
      </c>
      <c r="F494" s="212"/>
      <c r="G494" s="265"/>
      <c r="H494" s="265"/>
      <c r="I494" s="265"/>
      <c r="J494" s="265" t="str">
        <f>IFERROR(ROUND(VLOOKUP($T494,공사현장대장!$A$5:$T$330,9)/1000,0),"")</f>
        <v/>
      </c>
      <c r="K494" s="225"/>
      <c r="L494" s="209"/>
      <c r="M494" s="209"/>
      <c r="N494" s="209"/>
      <c r="O494" s="209"/>
      <c r="P494" s="209"/>
      <c r="Q494" s="209"/>
      <c r="R494" s="263" t="s">
        <v>38</v>
      </c>
      <c r="S494" s="266" t="s">
        <v>84</v>
      </c>
      <c r="T494" s="229"/>
    </row>
    <row r="495" spans="1:20" ht="26.1" hidden="1" customHeight="1">
      <c r="A495" s="208"/>
      <c r="B495" s="211"/>
      <c r="C495" s="211"/>
      <c r="D495" s="212"/>
      <c r="E495" s="210" t="str">
        <f>IFERROR(VLOOKUP($T495,공사현장대장!$A$5:$T$330,4),"")</f>
        <v/>
      </c>
      <c r="F495" s="212"/>
      <c r="G495" s="265"/>
      <c r="H495" s="265"/>
      <c r="I495" s="265"/>
      <c r="J495" s="265" t="str">
        <f>IFERROR(ROUND(VLOOKUP($T495,공사현장대장!$A$5:$T$330,9)/1000,0),"")</f>
        <v/>
      </c>
      <c r="K495" s="225"/>
      <c r="L495" s="209"/>
      <c r="M495" s="209"/>
      <c r="N495" s="209"/>
      <c r="O495" s="209"/>
      <c r="P495" s="209"/>
      <c r="Q495" s="209"/>
      <c r="R495" s="263" t="s">
        <v>38</v>
      </c>
      <c r="S495" s="266" t="s">
        <v>84</v>
      </c>
      <c r="T495" s="229"/>
    </row>
    <row r="496" spans="1:20" ht="26.1" hidden="1" customHeight="1">
      <c r="A496" s="324" t="s">
        <v>40</v>
      </c>
      <c r="B496" s="325"/>
      <c r="C496" s="325"/>
      <c r="D496" s="325"/>
      <c r="E496" s="326"/>
      <c r="F496" s="226"/>
      <c r="G496" s="267"/>
      <c r="H496" s="267"/>
      <c r="I496" s="267"/>
      <c r="J496" s="267"/>
      <c r="K496" s="227">
        <f t="shared" ref="K496:Q496" si="97">SUM(K492-SUM(K493:K495))</f>
        <v>0</v>
      </c>
      <c r="L496" s="227">
        <f t="shared" si="97"/>
        <v>0</v>
      </c>
      <c r="M496" s="227">
        <f t="shared" si="97"/>
        <v>0</v>
      </c>
      <c r="N496" s="227">
        <f t="shared" si="97"/>
        <v>0</v>
      </c>
      <c r="O496" s="227">
        <f t="shared" si="97"/>
        <v>0</v>
      </c>
      <c r="P496" s="227">
        <f t="shared" si="97"/>
        <v>23450</v>
      </c>
      <c r="Q496" s="227">
        <f t="shared" si="97"/>
        <v>23450</v>
      </c>
      <c r="R496" s="268" t="s">
        <v>38</v>
      </c>
      <c r="S496" s="269" t="s">
        <v>84</v>
      </c>
      <c r="T496" s="230"/>
    </row>
    <row r="497" spans="1:29" ht="26.1" hidden="1" customHeight="1">
      <c r="A497" s="213" t="s">
        <v>29</v>
      </c>
      <c r="B497" s="214" t="s">
        <v>50</v>
      </c>
      <c r="C497" s="214" t="s">
        <v>31</v>
      </c>
      <c r="D497" s="215" t="s">
        <v>246</v>
      </c>
      <c r="E497" s="216" t="s">
        <v>88</v>
      </c>
      <c r="F497" s="215" t="s">
        <v>253</v>
      </c>
      <c r="G497" s="262" t="s">
        <v>46</v>
      </c>
      <c r="H497" s="262" t="s">
        <v>54</v>
      </c>
      <c r="I497" s="262" t="s">
        <v>55</v>
      </c>
      <c r="J497" s="262">
        <f>SUM(J498:J500)</f>
        <v>0</v>
      </c>
      <c r="K497" s="217"/>
      <c r="L497" s="218">
        <v>203000</v>
      </c>
      <c r="M497" s="218"/>
      <c r="N497" s="218"/>
      <c r="O497" s="218"/>
      <c r="P497" s="218"/>
      <c r="Q497" s="218">
        <f>SUM(K497:P497)</f>
        <v>203000</v>
      </c>
      <c r="R497" s="263" t="s">
        <v>38</v>
      </c>
      <c r="S497" s="266" t="s">
        <v>84</v>
      </c>
      <c r="T497" s="229"/>
    </row>
    <row r="498" spans="1:29" ht="26.1" hidden="1" customHeight="1">
      <c r="A498" s="208"/>
      <c r="B498" s="211"/>
      <c r="C498" s="211"/>
      <c r="D498" s="212"/>
      <c r="E498" s="210" t="str">
        <f>IFERROR(VLOOKUP($T498,공사현장대장!$A$5:$T$330,4),"")</f>
        <v/>
      </c>
      <c r="F498" s="212"/>
      <c r="G498" s="265"/>
      <c r="H498" s="265"/>
      <c r="I498" s="265"/>
      <c r="J498" s="265" t="str">
        <f>IFERROR(ROUND(VLOOKUP($T498,공사현장대장!$A$5:$T$330,9)/1000,0),"")</f>
        <v/>
      </c>
      <c r="K498" s="225"/>
      <c r="L498" s="209"/>
      <c r="M498" s="209"/>
      <c r="N498" s="209"/>
      <c r="O498" s="209"/>
      <c r="P498" s="209"/>
      <c r="Q498" s="209"/>
      <c r="R498" s="263" t="s">
        <v>38</v>
      </c>
      <c r="S498" s="266" t="s">
        <v>84</v>
      </c>
      <c r="T498" s="229"/>
    </row>
    <row r="499" spans="1:29" ht="26.1" hidden="1" customHeight="1">
      <c r="A499" s="208"/>
      <c r="B499" s="211"/>
      <c r="C499" s="211"/>
      <c r="D499" s="212"/>
      <c r="E499" s="210" t="str">
        <f>IFERROR(VLOOKUP($T499,공사현장대장!$A$5:$T$330,4),"")</f>
        <v/>
      </c>
      <c r="F499" s="212"/>
      <c r="G499" s="265"/>
      <c r="H499" s="265"/>
      <c r="I499" s="265"/>
      <c r="J499" s="265" t="str">
        <f>IFERROR(ROUND(VLOOKUP($T499,공사현장대장!$A$5:$T$330,9)/1000,0),"")</f>
        <v/>
      </c>
      <c r="K499" s="225"/>
      <c r="L499" s="209"/>
      <c r="M499" s="209"/>
      <c r="N499" s="209"/>
      <c r="O499" s="209"/>
      <c r="P499" s="209"/>
      <c r="Q499" s="209"/>
      <c r="R499" s="263" t="s">
        <v>38</v>
      </c>
      <c r="S499" s="266" t="s">
        <v>84</v>
      </c>
      <c r="T499" s="229"/>
    </row>
    <row r="500" spans="1:29" ht="26.1" hidden="1" customHeight="1">
      <c r="A500" s="208"/>
      <c r="B500" s="211"/>
      <c r="C500" s="211"/>
      <c r="D500" s="212"/>
      <c r="E500" s="210" t="str">
        <f>IFERROR(VLOOKUP($T500,공사현장대장!$A$5:$T$330,4),"")</f>
        <v/>
      </c>
      <c r="F500" s="212"/>
      <c r="G500" s="265"/>
      <c r="H500" s="265"/>
      <c r="I500" s="265"/>
      <c r="J500" s="265" t="str">
        <f>IFERROR(ROUND(VLOOKUP($T500,공사현장대장!$A$5:$T$330,9)/1000,0),"")</f>
        <v/>
      </c>
      <c r="K500" s="225"/>
      <c r="L500" s="209"/>
      <c r="M500" s="209"/>
      <c r="N500" s="209"/>
      <c r="O500" s="209"/>
      <c r="P500" s="209"/>
      <c r="Q500" s="209"/>
      <c r="R500" s="263" t="s">
        <v>38</v>
      </c>
      <c r="S500" s="266" t="s">
        <v>84</v>
      </c>
      <c r="T500" s="229"/>
    </row>
    <row r="501" spans="1:29" ht="26.1" hidden="1" customHeight="1">
      <c r="A501" s="324" t="s">
        <v>40</v>
      </c>
      <c r="B501" s="325"/>
      <c r="C501" s="325"/>
      <c r="D501" s="325"/>
      <c r="E501" s="326"/>
      <c r="F501" s="226"/>
      <c r="G501" s="267"/>
      <c r="H501" s="267"/>
      <c r="I501" s="267"/>
      <c r="J501" s="267"/>
      <c r="K501" s="227">
        <f t="shared" ref="K501:Q501" si="98">SUM(K497-SUM(K498:K500))</f>
        <v>0</v>
      </c>
      <c r="L501" s="227">
        <f t="shared" si="98"/>
        <v>203000</v>
      </c>
      <c r="M501" s="227">
        <f t="shared" si="98"/>
        <v>0</v>
      </c>
      <c r="N501" s="227">
        <f t="shared" si="98"/>
        <v>0</v>
      </c>
      <c r="O501" s="227">
        <f t="shared" si="98"/>
        <v>0</v>
      </c>
      <c r="P501" s="227">
        <f t="shared" si="98"/>
        <v>0</v>
      </c>
      <c r="Q501" s="227">
        <f t="shared" si="98"/>
        <v>203000</v>
      </c>
      <c r="R501" s="268" t="s">
        <v>38</v>
      </c>
      <c r="S501" s="269" t="s">
        <v>84</v>
      </c>
      <c r="T501" s="230"/>
    </row>
    <row r="502" spans="1:29" ht="26.1" hidden="1" customHeight="1">
      <c r="A502" s="213" t="s">
        <v>29</v>
      </c>
      <c r="B502" s="214" t="s">
        <v>50</v>
      </c>
      <c r="C502" s="214" t="s">
        <v>31</v>
      </c>
      <c r="D502" s="215" t="s">
        <v>246</v>
      </c>
      <c r="E502" s="216" t="s">
        <v>90</v>
      </c>
      <c r="F502" s="215" t="s">
        <v>254</v>
      </c>
      <c r="G502" s="262" t="s">
        <v>46</v>
      </c>
      <c r="H502" s="262" t="s">
        <v>54</v>
      </c>
      <c r="I502" s="262" t="s">
        <v>55</v>
      </c>
      <c r="J502" s="262">
        <f>SUM(J503:J505)</f>
        <v>0</v>
      </c>
      <c r="K502" s="217"/>
      <c r="L502" s="218">
        <v>52150</v>
      </c>
      <c r="M502" s="218"/>
      <c r="N502" s="218"/>
      <c r="O502" s="218"/>
      <c r="P502" s="218"/>
      <c r="Q502" s="218">
        <f>SUM(K502:P502)</f>
        <v>52150</v>
      </c>
      <c r="R502" s="274" t="s">
        <v>87</v>
      </c>
      <c r="S502" s="266" t="s">
        <v>84</v>
      </c>
      <c r="T502" s="229"/>
    </row>
    <row r="503" spans="1:29" ht="26.1" hidden="1" customHeight="1">
      <c r="A503" s="208"/>
      <c r="B503" s="211"/>
      <c r="C503" s="211"/>
      <c r="D503" s="212"/>
      <c r="E503" s="210" t="str">
        <f>IFERROR(VLOOKUP($T503,공사현장대장!$A$5:$T$330,4),"")</f>
        <v/>
      </c>
      <c r="F503" s="212"/>
      <c r="G503" s="265"/>
      <c r="H503" s="265"/>
      <c r="I503" s="265"/>
      <c r="J503" s="265" t="str">
        <f>IFERROR(ROUND(VLOOKUP($T503,공사현장대장!$A$5:$T$330,9)/1000,0),"")</f>
        <v/>
      </c>
      <c r="K503" s="225"/>
      <c r="L503" s="209"/>
      <c r="M503" s="209"/>
      <c r="N503" s="209"/>
      <c r="O503" s="209"/>
      <c r="P503" s="209"/>
      <c r="Q503" s="209"/>
      <c r="R503" s="263" t="s">
        <v>87</v>
      </c>
      <c r="S503" s="266" t="s">
        <v>84</v>
      </c>
      <c r="T503" s="229"/>
    </row>
    <row r="504" spans="1:29" ht="26.1" hidden="1" customHeight="1">
      <c r="A504" s="208"/>
      <c r="B504" s="211"/>
      <c r="C504" s="211"/>
      <c r="D504" s="212"/>
      <c r="E504" s="210" t="str">
        <f>IFERROR(VLOOKUP($T504,공사현장대장!$A$5:$T$330,4),"")</f>
        <v/>
      </c>
      <c r="F504" s="212"/>
      <c r="G504" s="265"/>
      <c r="H504" s="265"/>
      <c r="I504" s="265"/>
      <c r="J504" s="265" t="str">
        <f>IFERROR(ROUND(VLOOKUP($T504,공사현장대장!$A$5:$T$330,9)/1000,0),"")</f>
        <v/>
      </c>
      <c r="K504" s="225"/>
      <c r="L504" s="209"/>
      <c r="M504" s="209"/>
      <c r="N504" s="209"/>
      <c r="O504" s="209"/>
      <c r="P504" s="209"/>
      <c r="Q504" s="209"/>
      <c r="R504" s="263" t="s">
        <v>87</v>
      </c>
      <c r="S504" s="266" t="s">
        <v>84</v>
      </c>
      <c r="T504" s="229"/>
    </row>
    <row r="505" spans="1:29" ht="26.1" hidden="1" customHeight="1">
      <c r="A505" s="208"/>
      <c r="B505" s="211"/>
      <c r="C505" s="211"/>
      <c r="D505" s="212"/>
      <c r="E505" s="210" t="str">
        <f>IFERROR(VLOOKUP($T505,공사현장대장!$A$5:$T$330,4),"")</f>
        <v/>
      </c>
      <c r="F505" s="212"/>
      <c r="G505" s="265"/>
      <c r="H505" s="265"/>
      <c r="I505" s="265"/>
      <c r="J505" s="265" t="str">
        <f>IFERROR(ROUND(VLOOKUP($T505,공사현장대장!$A$5:$T$330,9)/1000,0),"")</f>
        <v/>
      </c>
      <c r="K505" s="225"/>
      <c r="L505" s="209"/>
      <c r="M505" s="209"/>
      <c r="N505" s="209"/>
      <c r="O505" s="209"/>
      <c r="P505" s="209"/>
      <c r="Q505" s="209"/>
      <c r="R505" s="263" t="s">
        <v>87</v>
      </c>
      <c r="S505" s="266" t="s">
        <v>84</v>
      </c>
      <c r="T505" s="229"/>
    </row>
    <row r="506" spans="1:29" ht="26.1" hidden="1" customHeight="1">
      <c r="A506" s="324" t="s">
        <v>40</v>
      </c>
      <c r="B506" s="325"/>
      <c r="C506" s="325"/>
      <c r="D506" s="325"/>
      <c r="E506" s="326"/>
      <c r="F506" s="226"/>
      <c r="G506" s="267"/>
      <c r="H506" s="267"/>
      <c r="I506" s="267"/>
      <c r="J506" s="267"/>
      <c r="K506" s="227">
        <f t="shared" ref="K506:Q506" si="99">SUM(K502-SUM(K503:K505))</f>
        <v>0</v>
      </c>
      <c r="L506" s="227">
        <f t="shared" si="99"/>
        <v>52150</v>
      </c>
      <c r="M506" s="227">
        <f t="shared" si="99"/>
        <v>0</v>
      </c>
      <c r="N506" s="227">
        <f t="shared" si="99"/>
        <v>0</v>
      </c>
      <c r="O506" s="227">
        <f t="shared" si="99"/>
        <v>0</v>
      </c>
      <c r="P506" s="227">
        <f t="shared" si="99"/>
        <v>0</v>
      </c>
      <c r="Q506" s="227">
        <f t="shared" si="99"/>
        <v>52150</v>
      </c>
      <c r="R506" s="268" t="s">
        <v>87</v>
      </c>
      <c r="S506" s="269" t="s">
        <v>84</v>
      </c>
      <c r="T506" s="230"/>
    </row>
    <row r="507" spans="1:29" ht="26.1" hidden="1" customHeight="1">
      <c r="A507" s="213" t="s">
        <v>29</v>
      </c>
      <c r="B507" s="214" t="s">
        <v>50</v>
      </c>
      <c r="C507" s="214" t="s">
        <v>31</v>
      </c>
      <c r="D507" s="215" t="s">
        <v>246</v>
      </c>
      <c r="E507" s="216" t="s">
        <v>97</v>
      </c>
      <c r="F507" s="215" t="s">
        <v>221</v>
      </c>
      <c r="G507" s="262" t="s">
        <v>46</v>
      </c>
      <c r="H507" s="262" t="s">
        <v>54</v>
      </c>
      <c r="I507" s="262" t="s">
        <v>99</v>
      </c>
      <c r="J507" s="262">
        <f>SUM(J508:J510)</f>
        <v>0</v>
      </c>
      <c r="K507" s="217"/>
      <c r="L507" s="218">
        <v>3683</v>
      </c>
      <c r="M507" s="218"/>
      <c r="N507" s="218"/>
      <c r="O507" s="218"/>
      <c r="P507" s="218"/>
      <c r="Q507" s="218">
        <f>SUM(K507:P507)</f>
        <v>3683</v>
      </c>
      <c r="R507" s="274" t="s">
        <v>87</v>
      </c>
      <c r="S507" s="266" t="s">
        <v>100</v>
      </c>
      <c r="T507" s="229"/>
    </row>
    <row r="508" spans="1:29" ht="26.1" hidden="1" customHeight="1">
      <c r="A508" s="208"/>
      <c r="B508" s="211"/>
      <c r="C508" s="211"/>
      <c r="D508" s="212"/>
      <c r="E508" s="210" t="str">
        <f>IFERROR(VLOOKUP($T508,공사현장대장!$A$5:$T$330,4),"")</f>
        <v/>
      </c>
      <c r="F508" s="212"/>
      <c r="G508" s="265"/>
      <c r="H508" s="265"/>
      <c r="I508" s="265"/>
      <c r="J508" s="265" t="str">
        <f>IFERROR(ROUND(VLOOKUP($T508,공사현장대장!$A$5:$T$330,9)/1000,0),"")</f>
        <v/>
      </c>
      <c r="K508" s="225"/>
      <c r="L508" s="209"/>
      <c r="M508" s="209"/>
      <c r="N508" s="209"/>
      <c r="O508" s="209"/>
      <c r="P508" s="209"/>
      <c r="Q508" s="209"/>
      <c r="R508" s="263" t="s">
        <v>87</v>
      </c>
      <c r="S508" s="266" t="s">
        <v>100</v>
      </c>
      <c r="T508" s="229"/>
    </row>
    <row r="509" spans="1:29" ht="26.1" hidden="1" customHeight="1">
      <c r="A509" s="208"/>
      <c r="B509" s="211"/>
      <c r="C509" s="211"/>
      <c r="D509" s="212"/>
      <c r="E509" s="210" t="str">
        <f>IFERROR(VLOOKUP($T509,공사현장대장!$A$5:$T$330,4),"")</f>
        <v/>
      </c>
      <c r="F509" s="212"/>
      <c r="G509" s="265"/>
      <c r="H509" s="265"/>
      <c r="I509" s="265"/>
      <c r="J509" s="265" t="str">
        <f>IFERROR(ROUND(VLOOKUP($T509,공사현장대장!$A$5:$T$330,9)/1000,0),"")</f>
        <v/>
      </c>
      <c r="K509" s="225"/>
      <c r="L509" s="209"/>
      <c r="M509" s="209"/>
      <c r="N509" s="209"/>
      <c r="O509" s="209"/>
      <c r="P509" s="209"/>
      <c r="Q509" s="209"/>
      <c r="R509" s="263" t="s">
        <v>87</v>
      </c>
      <c r="S509" s="266" t="s">
        <v>100</v>
      </c>
      <c r="T509" s="229"/>
    </row>
    <row r="510" spans="1:29" ht="26.1" hidden="1" customHeight="1">
      <c r="A510" s="208"/>
      <c r="B510" s="211"/>
      <c r="C510" s="211"/>
      <c r="D510" s="212"/>
      <c r="E510" s="210" t="str">
        <f>IFERROR(VLOOKUP($T510,공사현장대장!$A$5:$T$330,4),"")</f>
        <v/>
      </c>
      <c r="F510" s="212"/>
      <c r="G510" s="265"/>
      <c r="H510" s="265"/>
      <c r="I510" s="265"/>
      <c r="J510" s="265" t="str">
        <f>IFERROR(ROUND(VLOOKUP($T510,공사현장대장!$A$5:$T$330,9)/1000,0),"")</f>
        <v/>
      </c>
      <c r="K510" s="225"/>
      <c r="L510" s="209"/>
      <c r="M510" s="209"/>
      <c r="N510" s="209"/>
      <c r="O510" s="209"/>
      <c r="P510" s="209"/>
      <c r="Q510" s="209"/>
      <c r="R510" s="263" t="s">
        <v>87</v>
      </c>
      <c r="S510" s="266" t="s">
        <v>100</v>
      </c>
      <c r="T510" s="229"/>
    </row>
    <row r="511" spans="1:29" ht="26.1" hidden="1" customHeight="1">
      <c r="A511" s="324" t="s">
        <v>40</v>
      </c>
      <c r="B511" s="325"/>
      <c r="C511" s="325"/>
      <c r="D511" s="325"/>
      <c r="E511" s="326"/>
      <c r="F511" s="226"/>
      <c r="G511" s="267"/>
      <c r="H511" s="267"/>
      <c r="I511" s="267"/>
      <c r="J511" s="267"/>
      <c r="K511" s="227">
        <f t="shared" ref="K511:Q511" si="100">SUM(K507-SUM(K508:K510))</f>
        <v>0</v>
      </c>
      <c r="L511" s="227">
        <f t="shared" si="100"/>
        <v>3683</v>
      </c>
      <c r="M511" s="227">
        <f t="shared" si="100"/>
        <v>0</v>
      </c>
      <c r="N511" s="227">
        <f t="shared" si="100"/>
        <v>0</v>
      </c>
      <c r="O511" s="227">
        <f t="shared" si="100"/>
        <v>0</v>
      </c>
      <c r="P511" s="227">
        <f t="shared" si="100"/>
        <v>0</v>
      </c>
      <c r="Q511" s="227">
        <f t="shared" si="100"/>
        <v>3683</v>
      </c>
      <c r="R511" s="268" t="s">
        <v>87</v>
      </c>
      <c r="S511" s="269" t="s">
        <v>100</v>
      </c>
      <c r="T511" s="230"/>
    </row>
    <row r="512" spans="1:29" ht="26.1" hidden="1" customHeight="1">
      <c r="A512" s="213" t="s">
        <v>29</v>
      </c>
      <c r="B512" s="214" t="s">
        <v>50</v>
      </c>
      <c r="C512" s="214" t="s">
        <v>31</v>
      </c>
      <c r="D512" s="215" t="s">
        <v>246</v>
      </c>
      <c r="E512" s="216" t="s">
        <v>255</v>
      </c>
      <c r="F512" s="215" t="s">
        <v>201</v>
      </c>
      <c r="G512" s="262" t="s">
        <v>46</v>
      </c>
      <c r="H512" s="262" t="s">
        <v>54</v>
      </c>
      <c r="I512" s="262" t="s">
        <v>256</v>
      </c>
      <c r="J512" s="262">
        <f>SUM(J513:J515)</f>
        <v>0</v>
      </c>
      <c r="K512" s="217"/>
      <c r="L512" s="218">
        <v>74096</v>
      </c>
      <c r="M512" s="218"/>
      <c r="N512" s="218"/>
      <c r="O512" s="218"/>
      <c r="P512" s="218"/>
      <c r="Q512" s="218">
        <f>SUM(K512:P512)</f>
        <v>74096</v>
      </c>
      <c r="R512" s="270" t="s">
        <v>41</v>
      </c>
      <c r="S512" s="266" t="s">
        <v>84</v>
      </c>
      <c r="T512" s="229"/>
      <c r="V512" s="241" t="str">
        <f>B512</f>
        <v>초</v>
      </c>
      <c r="W512" s="241" t="str">
        <f>C512</f>
        <v>공립</v>
      </c>
      <c r="X512" s="241" t="str">
        <f>D512</f>
        <v>원당초</v>
      </c>
      <c r="Y512" s="241" t="str">
        <f>E512</f>
        <v xml:space="preserve"> 지붕방수</v>
      </c>
      <c r="Z512" s="241" t="str">
        <f>F512</f>
        <v>5.5실</v>
      </c>
      <c r="AA512" s="244">
        <f>Q512</f>
        <v>74096</v>
      </c>
      <c r="AB512" s="271" t="str">
        <f>R512</f>
        <v>1회추경</v>
      </c>
      <c r="AC512" s="241">
        <v>420</v>
      </c>
    </row>
    <row r="513" spans="1:29" ht="26.1" hidden="1" customHeight="1">
      <c r="A513" s="208"/>
      <c r="B513" s="211"/>
      <c r="C513" s="211"/>
      <c r="D513" s="212"/>
      <c r="E513" s="210" t="str">
        <f>IFERROR(VLOOKUP($T513,공사현장대장!$A$5:$T$330,4),"")</f>
        <v/>
      </c>
      <c r="F513" s="212"/>
      <c r="G513" s="265"/>
      <c r="H513" s="265"/>
      <c r="I513" s="265"/>
      <c r="J513" s="265" t="str">
        <f>IFERROR(ROUND(VLOOKUP($T513,공사현장대장!$A$5:$T$330,9)/1000,0),"")</f>
        <v/>
      </c>
      <c r="K513" s="225"/>
      <c r="L513" s="209"/>
      <c r="M513" s="209"/>
      <c r="N513" s="209"/>
      <c r="O513" s="209"/>
      <c r="P513" s="209"/>
      <c r="Q513" s="209"/>
      <c r="R513" s="263" t="s">
        <v>41</v>
      </c>
      <c r="S513" s="266" t="s">
        <v>84</v>
      </c>
      <c r="T513" s="229"/>
      <c r="AA513" s="244"/>
      <c r="AB513" s="271"/>
    </row>
    <row r="514" spans="1:29" ht="26.1" hidden="1" customHeight="1">
      <c r="A514" s="208"/>
      <c r="B514" s="211"/>
      <c r="C514" s="211"/>
      <c r="D514" s="212"/>
      <c r="E514" s="210" t="str">
        <f>IFERROR(VLOOKUP($T514,공사현장대장!$A$5:$T$330,4),"")</f>
        <v/>
      </c>
      <c r="F514" s="212"/>
      <c r="G514" s="265"/>
      <c r="H514" s="265"/>
      <c r="I514" s="265"/>
      <c r="J514" s="265" t="str">
        <f>IFERROR(ROUND(VLOOKUP($T514,공사현장대장!$A$5:$T$330,9)/1000,0),"")</f>
        <v/>
      </c>
      <c r="K514" s="225"/>
      <c r="L514" s="209"/>
      <c r="M514" s="209"/>
      <c r="N514" s="209"/>
      <c r="O514" s="209"/>
      <c r="P514" s="209"/>
      <c r="Q514" s="209"/>
      <c r="R514" s="263" t="s">
        <v>41</v>
      </c>
      <c r="S514" s="266" t="s">
        <v>84</v>
      </c>
      <c r="T514" s="229"/>
      <c r="AA514" s="244"/>
      <c r="AB514" s="271"/>
    </row>
    <row r="515" spans="1:29" ht="26.1" hidden="1" customHeight="1">
      <c r="A515" s="208"/>
      <c r="B515" s="211"/>
      <c r="C515" s="211"/>
      <c r="D515" s="212"/>
      <c r="E515" s="210" t="str">
        <f>IFERROR(VLOOKUP($T515,공사현장대장!$A$5:$T$330,4),"")</f>
        <v/>
      </c>
      <c r="F515" s="212"/>
      <c r="G515" s="265"/>
      <c r="H515" s="265"/>
      <c r="I515" s="265"/>
      <c r="J515" s="265" t="str">
        <f>IFERROR(ROUND(VLOOKUP($T515,공사현장대장!$A$5:$T$330,9)/1000,0),"")</f>
        <v/>
      </c>
      <c r="K515" s="225"/>
      <c r="L515" s="209"/>
      <c r="M515" s="209"/>
      <c r="N515" s="209"/>
      <c r="O515" s="209"/>
      <c r="P515" s="209"/>
      <c r="Q515" s="209"/>
      <c r="R515" s="263" t="s">
        <v>41</v>
      </c>
      <c r="S515" s="266" t="s">
        <v>84</v>
      </c>
      <c r="T515" s="229"/>
      <c r="AA515" s="244"/>
      <c r="AB515" s="271"/>
    </row>
    <row r="516" spans="1:29" ht="26.1" hidden="1" customHeight="1">
      <c r="A516" s="324" t="s">
        <v>40</v>
      </c>
      <c r="B516" s="325"/>
      <c r="C516" s="325"/>
      <c r="D516" s="325"/>
      <c r="E516" s="326"/>
      <c r="F516" s="226"/>
      <c r="G516" s="267"/>
      <c r="H516" s="267"/>
      <c r="I516" s="267"/>
      <c r="J516" s="267"/>
      <c r="K516" s="227">
        <f t="shared" ref="K516:Q516" si="101">SUM(K512-SUM(K513:K515))</f>
        <v>0</v>
      </c>
      <c r="L516" s="227">
        <f t="shared" si="101"/>
        <v>74096</v>
      </c>
      <c r="M516" s="227">
        <f t="shared" si="101"/>
        <v>0</v>
      </c>
      <c r="N516" s="227">
        <f t="shared" si="101"/>
        <v>0</v>
      </c>
      <c r="O516" s="227">
        <f t="shared" si="101"/>
        <v>0</v>
      </c>
      <c r="P516" s="227">
        <f t="shared" si="101"/>
        <v>0</v>
      </c>
      <c r="Q516" s="227">
        <f t="shared" si="101"/>
        <v>74096</v>
      </c>
      <c r="R516" s="268" t="s">
        <v>41</v>
      </c>
      <c r="S516" s="269" t="s">
        <v>84</v>
      </c>
      <c r="T516" s="230"/>
      <c r="AA516" s="244"/>
      <c r="AB516" s="271"/>
    </row>
    <row r="517" spans="1:29" ht="26.1" hidden="1" customHeight="1">
      <c r="A517" s="213" t="s">
        <v>29</v>
      </c>
      <c r="B517" s="214" t="s">
        <v>50</v>
      </c>
      <c r="C517" s="214" t="s">
        <v>31</v>
      </c>
      <c r="D517" s="215" t="s">
        <v>246</v>
      </c>
      <c r="E517" s="216" t="s">
        <v>166</v>
      </c>
      <c r="F517" s="215" t="s">
        <v>257</v>
      </c>
      <c r="G517" s="262" t="s">
        <v>46</v>
      </c>
      <c r="H517" s="262" t="s">
        <v>54</v>
      </c>
      <c r="I517" s="262" t="s">
        <v>168</v>
      </c>
      <c r="J517" s="262">
        <f>SUM(J518:J520)</f>
        <v>0</v>
      </c>
      <c r="K517" s="217"/>
      <c r="L517" s="218">
        <v>213916</v>
      </c>
      <c r="M517" s="218"/>
      <c r="N517" s="218"/>
      <c r="O517" s="218"/>
      <c r="P517" s="218"/>
      <c r="Q517" s="218">
        <f>SUM(K517:P517)</f>
        <v>213916</v>
      </c>
      <c r="R517" s="270" t="s">
        <v>41</v>
      </c>
      <c r="S517" s="266" t="s">
        <v>84</v>
      </c>
      <c r="T517" s="229"/>
      <c r="V517" s="241" t="str">
        <f>B517</f>
        <v>초</v>
      </c>
      <c r="W517" s="241" t="str">
        <f>C517</f>
        <v>공립</v>
      </c>
      <c r="X517" s="241" t="str">
        <f>D517</f>
        <v>원당초</v>
      </c>
      <c r="Y517" s="241" t="str">
        <f>E517</f>
        <v xml:space="preserve"> 교사동 창호교체</v>
      </c>
      <c r="Z517" s="241" t="str">
        <f>F517</f>
        <v>10.5실</v>
      </c>
      <c r="AA517" s="244">
        <f>Q517</f>
        <v>213916</v>
      </c>
      <c r="AB517" s="271" t="str">
        <f>R517</f>
        <v>1회추경</v>
      </c>
      <c r="AC517" s="241">
        <v>420</v>
      </c>
    </row>
    <row r="518" spans="1:29" ht="26.1" hidden="1" customHeight="1">
      <c r="A518" s="208"/>
      <c r="B518" s="211"/>
      <c r="C518" s="211"/>
      <c r="D518" s="212"/>
      <c r="E518" s="210" t="str">
        <f>IFERROR(VLOOKUP($T518,공사현장대장!$A$5:$T$330,4),"")</f>
        <v/>
      </c>
      <c r="F518" s="212"/>
      <c r="G518" s="265"/>
      <c r="H518" s="265"/>
      <c r="I518" s="265"/>
      <c r="J518" s="265" t="str">
        <f>IFERROR(ROUND(VLOOKUP($T518,공사현장대장!$A$5:$T$330,9)/1000,0),"")</f>
        <v/>
      </c>
      <c r="K518" s="225"/>
      <c r="L518" s="209"/>
      <c r="M518" s="209"/>
      <c r="N518" s="209"/>
      <c r="O518" s="209"/>
      <c r="P518" s="209"/>
      <c r="Q518" s="209"/>
      <c r="R518" s="263" t="s">
        <v>41</v>
      </c>
      <c r="S518" s="266" t="s">
        <v>84</v>
      </c>
      <c r="T518" s="229"/>
      <c r="AA518" s="244"/>
      <c r="AB518" s="271"/>
    </row>
    <row r="519" spans="1:29" ht="26.1" hidden="1" customHeight="1">
      <c r="A519" s="208"/>
      <c r="B519" s="211"/>
      <c r="C519" s="211"/>
      <c r="D519" s="212"/>
      <c r="E519" s="210" t="str">
        <f>IFERROR(VLOOKUP($T519,공사현장대장!$A$5:$T$330,4),"")</f>
        <v/>
      </c>
      <c r="F519" s="212"/>
      <c r="G519" s="265"/>
      <c r="H519" s="265"/>
      <c r="I519" s="265"/>
      <c r="J519" s="265" t="str">
        <f>IFERROR(ROUND(VLOOKUP($T519,공사현장대장!$A$5:$T$330,9)/1000,0),"")</f>
        <v/>
      </c>
      <c r="K519" s="225"/>
      <c r="L519" s="209"/>
      <c r="M519" s="209"/>
      <c r="N519" s="209"/>
      <c r="O519" s="209"/>
      <c r="P519" s="209"/>
      <c r="Q519" s="209"/>
      <c r="R519" s="263" t="s">
        <v>41</v>
      </c>
      <c r="S519" s="266" t="s">
        <v>84</v>
      </c>
      <c r="T519" s="229"/>
      <c r="AA519" s="244"/>
      <c r="AB519" s="271"/>
    </row>
    <row r="520" spans="1:29" ht="26.1" hidden="1" customHeight="1">
      <c r="A520" s="208"/>
      <c r="B520" s="211"/>
      <c r="C520" s="211"/>
      <c r="D520" s="212"/>
      <c r="E520" s="210" t="str">
        <f>IFERROR(VLOOKUP($T520,공사현장대장!$A$5:$T$330,4),"")</f>
        <v/>
      </c>
      <c r="F520" s="212"/>
      <c r="G520" s="265"/>
      <c r="H520" s="265"/>
      <c r="I520" s="265"/>
      <c r="J520" s="265" t="str">
        <f>IFERROR(ROUND(VLOOKUP($T520,공사현장대장!$A$5:$T$330,9)/1000,0),"")</f>
        <v/>
      </c>
      <c r="K520" s="225"/>
      <c r="L520" s="209"/>
      <c r="M520" s="209"/>
      <c r="N520" s="209"/>
      <c r="O520" s="209"/>
      <c r="P520" s="209"/>
      <c r="Q520" s="209"/>
      <c r="R520" s="263" t="s">
        <v>41</v>
      </c>
      <c r="S520" s="266" t="s">
        <v>84</v>
      </c>
      <c r="T520" s="229"/>
      <c r="AA520" s="244"/>
      <c r="AB520" s="271"/>
    </row>
    <row r="521" spans="1:29" ht="26.1" hidden="1" customHeight="1">
      <c r="A521" s="324" t="s">
        <v>40</v>
      </c>
      <c r="B521" s="325"/>
      <c r="C521" s="325"/>
      <c r="D521" s="325"/>
      <c r="E521" s="326"/>
      <c r="F521" s="226"/>
      <c r="G521" s="267"/>
      <c r="H521" s="267"/>
      <c r="I521" s="267"/>
      <c r="J521" s="267"/>
      <c r="K521" s="227">
        <f t="shared" ref="K521:Q521" si="102">SUM(K517-SUM(K518:K520))</f>
        <v>0</v>
      </c>
      <c r="L521" s="227">
        <f t="shared" si="102"/>
        <v>213916</v>
      </c>
      <c r="M521" s="227">
        <f t="shared" si="102"/>
        <v>0</v>
      </c>
      <c r="N521" s="227">
        <f t="shared" si="102"/>
        <v>0</v>
      </c>
      <c r="O521" s="227">
        <f t="shared" si="102"/>
        <v>0</v>
      </c>
      <c r="P521" s="227">
        <f t="shared" si="102"/>
        <v>0</v>
      </c>
      <c r="Q521" s="227">
        <f t="shared" si="102"/>
        <v>213916</v>
      </c>
      <c r="R521" s="268" t="s">
        <v>41</v>
      </c>
      <c r="S521" s="269" t="s">
        <v>84</v>
      </c>
      <c r="T521" s="230"/>
      <c r="AA521" s="244"/>
      <c r="AB521" s="271"/>
    </row>
    <row r="522" spans="1:29" ht="26.1" hidden="1" customHeight="1">
      <c r="A522" s="213" t="s">
        <v>29</v>
      </c>
      <c r="B522" s="214" t="s">
        <v>50</v>
      </c>
      <c r="C522" s="214" t="s">
        <v>31</v>
      </c>
      <c r="D522" s="215" t="s">
        <v>246</v>
      </c>
      <c r="E522" s="216" t="s">
        <v>169</v>
      </c>
      <c r="F522" s="215" t="s">
        <v>258</v>
      </c>
      <c r="G522" s="262" t="s">
        <v>46</v>
      </c>
      <c r="H522" s="262" t="s">
        <v>107</v>
      </c>
      <c r="I522" s="262" t="s">
        <v>171</v>
      </c>
      <c r="J522" s="262">
        <f>SUM(J523:J525)</f>
        <v>0</v>
      </c>
      <c r="K522" s="217">
        <v>0</v>
      </c>
      <c r="L522" s="218">
        <v>280400</v>
      </c>
      <c r="M522" s="218">
        <v>16823</v>
      </c>
      <c r="N522" s="218"/>
      <c r="O522" s="218"/>
      <c r="P522" s="218"/>
      <c r="Q522" s="218">
        <f>SUM(K522:P522)</f>
        <v>297223</v>
      </c>
      <c r="R522" s="263" t="s">
        <v>76</v>
      </c>
      <c r="S522" s="266" t="s">
        <v>84</v>
      </c>
      <c r="T522" s="229"/>
    </row>
    <row r="523" spans="1:29" ht="26.1" hidden="1" customHeight="1">
      <c r="A523" s="208"/>
      <c r="B523" s="211"/>
      <c r="C523" s="211"/>
      <c r="D523" s="212"/>
      <c r="E523" s="210" t="str">
        <f>IFERROR(VLOOKUP($T523,공사현장대장!$A$5:$T$330,4),"")</f>
        <v/>
      </c>
      <c r="F523" s="212"/>
      <c r="G523" s="265"/>
      <c r="H523" s="265"/>
      <c r="I523" s="265"/>
      <c r="J523" s="265" t="str">
        <f>IFERROR(ROUND(VLOOKUP($T523,공사현장대장!$A$5:$T$330,9)/1000,0),"")</f>
        <v/>
      </c>
      <c r="K523" s="225"/>
      <c r="L523" s="209"/>
      <c r="M523" s="209"/>
      <c r="N523" s="209"/>
      <c r="O523" s="209"/>
      <c r="P523" s="209"/>
      <c r="Q523" s="209"/>
      <c r="R523" s="263" t="s">
        <v>76</v>
      </c>
      <c r="S523" s="266" t="s">
        <v>84</v>
      </c>
      <c r="T523" s="229"/>
    </row>
    <row r="524" spans="1:29" ht="26.1" hidden="1" customHeight="1">
      <c r="A524" s="208"/>
      <c r="B524" s="211"/>
      <c r="C524" s="211"/>
      <c r="D524" s="212"/>
      <c r="E524" s="210" t="str">
        <f>IFERROR(VLOOKUP($T524,공사현장대장!$A$5:$T$330,4),"")</f>
        <v/>
      </c>
      <c r="F524" s="212"/>
      <c r="G524" s="265"/>
      <c r="H524" s="265"/>
      <c r="I524" s="265"/>
      <c r="J524" s="265" t="str">
        <f>IFERROR(ROUND(VLOOKUP($T524,공사현장대장!$A$5:$T$330,9)/1000,0),"")</f>
        <v/>
      </c>
      <c r="K524" s="225"/>
      <c r="L524" s="209"/>
      <c r="M524" s="209"/>
      <c r="N524" s="209"/>
      <c r="O524" s="209"/>
      <c r="P524" s="209"/>
      <c r="Q524" s="209"/>
      <c r="R524" s="263" t="s">
        <v>76</v>
      </c>
      <c r="S524" s="266" t="s">
        <v>84</v>
      </c>
      <c r="T524" s="229"/>
    </row>
    <row r="525" spans="1:29" ht="26.1" hidden="1" customHeight="1">
      <c r="A525" s="208"/>
      <c r="B525" s="211"/>
      <c r="C525" s="211"/>
      <c r="D525" s="212"/>
      <c r="E525" s="210" t="str">
        <f>IFERROR(VLOOKUP($T525,공사현장대장!$A$5:$T$330,4),"")</f>
        <v/>
      </c>
      <c r="F525" s="212"/>
      <c r="G525" s="265"/>
      <c r="H525" s="265"/>
      <c r="I525" s="265"/>
      <c r="J525" s="265" t="str">
        <f>IFERROR(ROUND(VLOOKUP($T525,공사현장대장!$A$5:$T$330,9)/1000,0),"")</f>
        <v/>
      </c>
      <c r="K525" s="225"/>
      <c r="L525" s="209"/>
      <c r="M525" s="209"/>
      <c r="N525" s="209"/>
      <c r="O525" s="209"/>
      <c r="P525" s="209"/>
      <c r="Q525" s="209"/>
      <c r="R525" s="263" t="s">
        <v>76</v>
      </c>
      <c r="S525" s="266" t="s">
        <v>84</v>
      </c>
      <c r="T525" s="229"/>
    </row>
    <row r="526" spans="1:29" ht="26.1" hidden="1" customHeight="1">
      <c r="A526" s="324" t="s">
        <v>40</v>
      </c>
      <c r="B526" s="325"/>
      <c r="C526" s="325"/>
      <c r="D526" s="325"/>
      <c r="E526" s="326"/>
      <c r="F526" s="226"/>
      <c r="G526" s="267"/>
      <c r="H526" s="267"/>
      <c r="I526" s="267"/>
      <c r="J526" s="267"/>
      <c r="K526" s="227">
        <f t="shared" ref="K526:Q526" si="103">SUM(K522-SUM(K523:K525))</f>
        <v>0</v>
      </c>
      <c r="L526" s="227">
        <f t="shared" si="103"/>
        <v>280400</v>
      </c>
      <c r="M526" s="227">
        <f t="shared" si="103"/>
        <v>16823</v>
      </c>
      <c r="N526" s="227">
        <f t="shared" si="103"/>
        <v>0</v>
      </c>
      <c r="O526" s="227">
        <f t="shared" si="103"/>
        <v>0</v>
      </c>
      <c r="P526" s="227">
        <f t="shared" si="103"/>
        <v>0</v>
      </c>
      <c r="Q526" s="227">
        <f t="shared" si="103"/>
        <v>297223</v>
      </c>
      <c r="R526" s="268" t="s">
        <v>76</v>
      </c>
      <c r="S526" s="269" t="s">
        <v>84</v>
      </c>
      <c r="T526" s="230"/>
    </row>
    <row r="527" spans="1:29" ht="26.1" hidden="1" customHeight="1">
      <c r="A527" s="213" t="s">
        <v>29</v>
      </c>
      <c r="B527" s="214" t="s">
        <v>50</v>
      </c>
      <c r="C527" s="214" t="s">
        <v>31</v>
      </c>
      <c r="D527" s="215" t="s">
        <v>246</v>
      </c>
      <c r="E527" s="216" t="s">
        <v>259</v>
      </c>
      <c r="F527" s="215" t="s">
        <v>260</v>
      </c>
      <c r="G527" s="262" t="s">
        <v>46</v>
      </c>
      <c r="H527" s="262" t="s">
        <v>107</v>
      </c>
      <c r="I527" s="262" t="s">
        <v>108</v>
      </c>
      <c r="J527" s="262">
        <f>SUM(J528:J530)</f>
        <v>0</v>
      </c>
      <c r="K527" s="217">
        <v>3006</v>
      </c>
      <c r="L527" s="218">
        <v>0</v>
      </c>
      <c r="M527" s="218">
        <v>0</v>
      </c>
      <c r="N527" s="218"/>
      <c r="O527" s="218"/>
      <c r="P527" s="218"/>
      <c r="Q527" s="218">
        <f>SUM(K527:P527)</f>
        <v>3006</v>
      </c>
      <c r="R527" s="263" t="s">
        <v>76</v>
      </c>
      <c r="S527" s="266" t="s">
        <v>84</v>
      </c>
      <c r="T527" s="229"/>
    </row>
    <row r="528" spans="1:29" ht="26.1" hidden="1" customHeight="1">
      <c r="A528" s="208"/>
      <c r="B528" s="211"/>
      <c r="C528" s="211"/>
      <c r="D528" s="212"/>
      <c r="E528" s="210" t="str">
        <f>IFERROR(VLOOKUP($T528,공사현장대장!$A$5:$T$330,4),"")</f>
        <v/>
      </c>
      <c r="F528" s="212"/>
      <c r="G528" s="265"/>
      <c r="H528" s="265"/>
      <c r="I528" s="265"/>
      <c r="J528" s="265" t="str">
        <f>IFERROR(ROUND(VLOOKUP($T528,공사현장대장!$A$5:$T$330,9)/1000,0),"")</f>
        <v/>
      </c>
      <c r="K528" s="225"/>
      <c r="L528" s="209"/>
      <c r="M528" s="209"/>
      <c r="N528" s="209"/>
      <c r="O528" s="209"/>
      <c r="P528" s="209"/>
      <c r="Q528" s="209"/>
      <c r="R528" s="263" t="s">
        <v>76</v>
      </c>
      <c r="S528" s="266" t="s">
        <v>84</v>
      </c>
      <c r="T528" s="229"/>
    </row>
    <row r="529" spans="1:20" ht="26.1" hidden="1" customHeight="1">
      <c r="A529" s="208"/>
      <c r="B529" s="211"/>
      <c r="C529" s="211"/>
      <c r="D529" s="212"/>
      <c r="E529" s="210" t="str">
        <f>IFERROR(VLOOKUP($T529,공사현장대장!$A$5:$T$330,4),"")</f>
        <v/>
      </c>
      <c r="F529" s="212"/>
      <c r="G529" s="265"/>
      <c r="H529" s="265"/>
      <c r="I529" s="265"/>
      <c r="J529" s="265" t="str">
        <f>IFERROR(ROUND(VLOOKUP($T529,공사현장대장!$A$5:$T$330,9)/1000,0),"")</f>
        <v/>
      </c>
      <c r="K529" s="225"/>
      <c r="L529" s="209"/>
      <c r="M529" s="209"/>
      <c r="N529" s="209"/>
      <c r="O529" s="209"/>
      <c r="P529" s="209"/>
      <c r="Q529" s="209"/>
      <c r="R529" s="263" t="s">
        <v>76</v>
      </c>
      <c r="S529" s="266" t="s">
        <v>84</v>
      </c>
      <c r="T529" s="229"/>
    </row>
    <row r="530" spans="1:20" ht="26.1" hidden="1" customHeight="1">
      <c r="A530" s="208"/>
      <c r="B530" s="211"/>
      <c r="C530" s="211"/>
      <c r="D530" s="212"/>
      <c r="E530" s="210" t="str">
        <f>IFERROR(VLOOKUP($T530,공사현장대장!$A$5:$T$330,4),"")</f>
        <v/>
      </c>
      <c r="F530" s="212"/>
      <c r="G530" s="265"/>
      <c r="H530" s="265"/>
      <c r="I530" s="265"/>
      <c r="J530" s="265" t="str">
        <f>IFERROR(ROUND(VLOOKUP($T530,공사현장대장!$A$5:$T$330,9)/1000,0),"")</f>
        <v/>
      </c>
      <c r="K530" s="225"/>
      <c r="L530" s="209"/>
      <c r="M530" s="209"/>
      <c r="N530" s="209"/>
      <c r="O530" s="209"/>
      <c r="P530" s="209"/>
      <c r="Q530" s="209"/>
      <c r="R530" s="263" t="s">
        <v>76</v>
      </c>
      <c r="S530" s="266" t="s">
        <v>84</v>
      </c>
      <c r="T530" s="229"/>
    </row>
    <row r="531" spans="1:20" ht="26.1" hidden="1" customHeight="1">
      <c r="A531" s="324" t="s">
        <v>40</v>
      </c>
      <c r="B531" s="325"/>
      <c r="C531" s="325"/>
      <c r="D531" s="325"/>
      <c r="E531" s="326"/>
      <c r="F531" s="226"/>
      <c r="G531" s="267"/>
      <c r="H531" s="267"/>
      <c r="I531" s="267"/>
      <c r="J531" s="267"/>
      <c r="K531" s="227">
        <f t="shared" ref="K531:Q531" si="104">SUM(K527-SUM(K528:K530))</f>
        <v>3006</v>
      </c>
      <c r="L531" s="227">
        <f t="shared" si="104"/>
        <v>0</v>
      </c>
      <c r="M531" s="227">
        <f t="shared" si="104"/>
        <v>0</v>
      </c>
      <c r="N531" s="227">
        <f t="shared" si="104"/>
        <v>0</v>
      </c>
      <c r="O531" s="227">
        <f t="shared" si="104"/>
        <v>0</v>
      </c>
      <c r="P531" s="227">
        <f t="shared" si="104"/>
        <v>0</v>
      </c>
      <c r="Q531" s="227">
        <f t="shared" si="104"/>
        <v>3006</v>
      </c>
      <c r="R531" s="268" t="s">
        <v>76</v>
      </c>
      <c r="S531" s="269" t="s">
        <v>84</v>
      </c>
      <c r="T531" s="230"/>
    </row>
    <row r="532" spans="1:20" ht="26.1" hidden="1" customHeight="1">
      <c r="A532" s="213" t="s">
        <v>29</v>
      </c>
      <c r="B532" s="214" t="s">
        <v>50</v>
      </c>
      <c r="C532" s="214" t="s">
        <v>31</v>
      </c>
      <c r="D532" s="215" t="s">
        <v>246</v>
      </c>
      <c r="E532" s="216" t="s">
        <v>261</v>
      </c>
      <c r="F532" s="215" t="s">
        <v>262</v>
      </c>
      <c r="G532" s="262" t="s">
        <v>46</v>
      </c>
      <c r="H532" s="262" t="s">
        <v>107</v>
      </c>
      <c r="I532" s="262" t="s">
        <v>108</v>
      </c>
      <c r="J532" s="262">
        <f>SUM(J533:J535)</f>
        <v>0</v>
      </c>
      <c r="K532" s="217">
        <v>12004</v>
      </c>
      <c r="L532" s="218">
        <v>0</v>
      </c>
      <c r="M532" s="218">
        <v>0</v>
      </c>
      <c r="N532" s="218"/>
      <c r="O532" s="218"/>
      <c r="P532" s="218"/>
      <c r="Q532" s="218">
        <f>SUM(K532:P532)</f>
        <v>12004</v>
      </c>
      <c r="R532" s="263" t="s">
        <v>76</v>
      </c>
      <c r="S532" s="266" t="s">
        <v>84</v>
      </c>
      <c r="T532" s="229"/>
    </row>
    <row r="533" spans="1:20" ht="26.1" hidden="1" customHeight="1">
      <c r="A533" s="208"/>
      <c r="B533" s="211"/>
      <c r="C533" s="211"/>
      <c r="D533" s="212"/>
      <c r="E533" s="210" t="str">
        <f>IFERROR(VLOOKUP($T533,공사현장대장!$A$5:$T$330,4),"")</f>
        <v/>
      </c>
      <c r="F533" s="212"/>
      <c r="G533" s="265"/>
      <c r="H533" s="265"/>
      <c r="I533" s="265"/>
      <c r="J533" s="265" t="str">
        <f>IFERROR(ROUND(VLOOKUP($T533,공사현장대장!$A$5:$T$330,9)/1000,0),"")</f>
        <v/>
      </c>
      <c r="K533" s="225"/>
      <c r="L533" s="209"/>
      <c r="M533" s="209"/>
      <c r="N533" s="209"/>
      <c r="O533" s="209"/>
      <c r="P533" s="209"/>
      <c r="Q533" s="209"/>
      <c r="R533" s="263" t="s">
        <v>76</v>
      </c>
      <c r="S533" s="266" t="s">
        <v>84</v>
      </c>
      <c r="T533" s="229"/>
    </row>
    <row r="534" spans="1:20" ht="26.1" hidden="1" customHeight="1">
      <c r="A534" s="208"/>
      <c r="B534" s="211"/>
      <c r="C534" s="211"/>
      <c r="D534" s="212"/>
      <c r="E534" s="210" t="str">
        <f>IFERROR(VLOOKUP($T534,공사현장대장!$A$5:$T$330,4),"")</f>
        <v/>
      </c>
      <c r="F534" s="212"/>
      <c r="G534" s="265"/>
      <c r="H534" s="265"/>
      <c r="I534" s="265"/>
      <c r="J534" s="265" t="str">
        <f>IFERROR(ROUND(VLOOKUP($T534,공사현장대장!$A$5:$T$330,9)/1000,0),"")</f>
        <v/>
      </c>
      <c r="K534" s="225"/>
      <c r="L534" s="209"/>
      <c r="M534" s="209"/>
      <c r="N534" s="209"/>
      <c r="O534" s="209"/>
      <c r="P534" s="209"/>
      <c r="Q534" s="209"/>
      <c r="R534" s="263" t="s">
        <v>76</v>
      </c>
      <c r="S534" s="266" t="s">
        <v>84</v>
      </c>
      <c r="T534" s="229"/>
    </row>
    <row r="535" spans="1:20" ht="26.1" hidden="1" customHeight="1">
      <c r="A535" s="208"/>
      <c r="B535" s="211"/>
      <c r="C535" s="211"/>
      <c r="D535" s="212"/>
      <c r="E535" s="210" t="str">
        <f>IFERROR(VLOOKUP($T535,공사현장대장!$A$5:$T$330,4),"")</f>
        <v/>
      </c>
      <c r="F535" s="212"/>
      <c r="G535" s="265"/>
      <c r="H535" s="265"/>
      <c r="I535" s="265"/>
      <c r="J535" s="265" t="str">
        <f>IFERROR(ROUND(VLOOKUP($T535,공사현장대장!$A$5:$T$330,9)/1000,0),"")</f>
        <v/>
      </c>
      <c r="K535" s="225"/>
      <c r="L535" s="209"/>
      <c r="M535" s="209"/>
      <c r="N535" s="209"/>
      <c r="O535" s="209"/>
      <c r="P535" s="209"/>
      <c r="Q535" s="209"/>
      <c r="R535" s="263" t="s">
        <v>76</v>
      </c>
      <c r="S535" s="266" t="s">
        <v>84</v>
      </c>
      <c r="T535" s="229"/>
    </row>
    <row r="536" spans="1:20" ht="26.1" hidden="1" customHeight="1">
      <c r="A536" s="324" t="s">
        <v>40</v>
      </c>
      <c r="B536" s="325"/>
      <c r="C536" s="325"/>
      <c r="D536" s="325"/>
      <c r="E536" s="326"/>
      <c r="F536" s="226"/>
      <c r="G536" s="267"/>
      <c r="H536" s="267"/>
      <c r="I536" s="267"/>
      <c r="J536" s="267"/>
      <c r="K536" s="227">
        <f t="shared" ref="K536:Q536" si="105">SUM(K532-SUM(K533:K535))</f>
        <v>12004</v>
      </c>
      <c r="L536" s="227">
        <f t="shared" si="105"/>
        <v>0</v>
      </c>
      <c r="M536" s="227">
        <f t="shared" si="105"/>
        <v>0</v>
      </c>
      <c r="N536" s="227">
        <f t="shared" si="105"/>
        <v>0</v>
      </c>
      <c r="O536" s="227">
        <f t="shared" si="105"/>
        <v>0</v>
      </c>
      <c r="P536" s="227">
        <f t="shared" si="105"/>
        <v>0</v>
      </c>
      <c r="Q536" s="227">
        <f t="shared" si="105"/>
        <v>12004</v>
      </c>
      <c r="R536" s="268" t="s">
        <v>76</v>
      </c>
      <c r="S536" s="269" t="s">
        <v>84</v>
      </c>
      <c r="T536" s="230"/>
    </row>
    <row r="537" spans="1:20" ht="26.1" hidden="1" customHeight="1">
      <c r="A537" s="213" t="s">
        <v>29</v>
      </c>
      <c r="B537" s="214" t="s">
        <v>50</v>
      </c>
      <c r="C537" s="214" t="s">
        <v>31</v>
      </c>
      <c r="D537" s="215" t="s">
        <v>263</v>
      </c>
      <c r="E537" s="216" t="s">
        <v>264</v>
      </c>
      <c r="F537" s="215" t="s">
        <v>265</v>
      </c>
      <c r="G537" s="262" t="s">
        <v>46</v>
      </c>
      <c r="H537" s="262" t="s">
        <v>54</v>
      </c>
      <c r="I537" s="262" t="s">
        <v>55</v>
      </c>
      <c r="J537" s="262">
        <f>SUM(J538:J540)</f>
        <v>0</v>
      </c>
      <c r="K537" s="217"/>
      <c r="L537" s="218">
        <v>160300</v>
      </c>
      <c r="M537" s="218"/>
      <c r="N537" s="218"/>
      <c r="O537" s="218"/>
      <c r="P537" s="218"/>
      <c r="Q537" s="218">
        <f>SUM(K537:P537)</f>
        <v>160300</v>
      </c>
      <c r="R537" s="263" t="s">
        <v>38</v>
      </c>
      <c r="S537" s="266" t="s">
        <v>84</v>
      </c>
      <c r="T537" s="229"/>
    </row>
    <row r="538" spans="1:20" ht="26.1" hidden="1" customHeight="1">
      <c r="A538" s="208"/>
      <c r="B538" s="211"/>
      <c r="C538" s="211"/>
      <c r="D538" s="212"/>
      <c r="E538" s="210" t="str">
        <f>IFERROR(VLOOKUP($T538,공사현장대장!$A$5:$T$330,4),"")</f>
        <v/>
      </c>
      <c r="F538" s="212"/>
      <c r="G538" s="265"/>
      <c r="H538" s="265"/>
      <c r="I538" s="265"/>
      <c r="J538" s="265" t="str">
        <f>IFERROR(ROUND(VLOOKUP($T538,공사현장대장!$A$5:$T$330,9)/1000,0),"")</f>
        <v/>
      </c>
      <c r="K538" s="225"/>
      <c r="L538" s="209"/>
      <c r="M538" s="209"/>
      <c r="N538" s="209"/>
      <c r="O538" s="209"/>
      <c r="P538" s="209"/>
      <c r="Q538" s="209"/>
      <c r="R538" s="263" t="s">
        <v>38</v>
      </c>
      <c r="S538" s="266" t="s">
        <v>84</v>
      </c>
      <c r="T538" s="229"/>
    </row>
    <row r="539" spans="1:20" ht="26.1" hidden="1" customHeight="1">
      <c r="A539" s="208"/>
      <c r="B539" s="211"/>
      <c r="C539" s="211"/>
      <c r="D539" s="212"/>
      <c r="E539" s="210" t="str">
        <f>IFERROR(VLOOKUP($T539,공사현장대장!$A$5:$T$330,4),"")</f>
        <v/>
      </c>
      <c r="F539" s="212"/>
      <c r="G539" s="265"/>
      <c r="H539" s="265"/>
      <c r="I539" s="265"/>
      <c r="J539" s="265" t="str">
        <f>IFERROR(ROUND(VLOOKUP($T539,공사현장대장!$A$5:$T$330,9)/1000,0),"")</f>
        <v/>
      </c>
      <c r="K539" s="225"/>
      <c r="L539" s="209"/>
      <c r="M539" s="209"/>
      <c r="N539" s="209"/>
      <c r="O539" s="209"/>
      <c r="P539" s="209"/>
      <c r="Q539" s="209"/>
      <c r="R539" s="263" t="s">
        <v>38</v>
      </c>
      <c r="S539" s="266" t="s">
        <v>84</v>
      </c>
      <c r="T539" s="229"/>
    </row>
    <row r="540" spans="1:20" ht="26.1" hidden="1" customHeight="1">
      <c r="A540" s="208"/>
      <c r="B540" s="211"/>
      <c r="C540" s="211"/>
      <c r="D540" s="212"/>
      <c r="E540" s="210" t="str">
        <f>IFERROR(VLOOKUP($T540,공사현장대장!$A$5:$T$330,4),"")</f>
        <v/>
      </c>
      <c r="F540" s="212"/>
      <c r="G540" s="265"/>
      <c r="H540" s="265"/>
      <c r="I540" s="265"/>
      <c r="J540" s="265" t="str">
        <f>IFERROR(ROUND(VLOOKUP($T540,공사현장대장!$A$5:$T$330,9)/1000,0),"")</f>
        <v/>
      </c>
      <c r="K540" s="225"/>
      <c r="L540" s="209"/>
      <c r="M540" s="209"/>
      <c r="N540" s="209"/>
      <c r="O540" s="209"/>
      <c r="P540" s="209"/>
      <c r="Q540" s="209"/>
      <c r="R540" s="263" t="s">
        <v>38</v>
      </c>
      <c r="S540" s="266" t="s">
        <v>84</v>
      </c>
      <c r="T540" s="229"/>
    </row>
    <row r="541" spans="1:20" ht="26.1" hidden="1" customHeight="1">
      <c r="A541" s="324" t="s">
        <v>40</v>
      </c>
      <c r="B541" s="325"/>
      <c r="C541" s="325"/>
      <c r="D541" s="325"/>
      <c r="E541" s="326"/>
      <c r="F541" s="226"/>
      <c r="G541" s="267"/>
      <c r="H541" s="267"/>
      <c r="I541" s="267"/>
      <c r="J541" s="267"/>
      <c r="K541" s="227">
        <f t="shared" ref="K541:Q541" si="106">SUM(K537-SUM(K538:K540))</f>
        <v>0</v>
      </c>
      <c r="L541" s="227">
        <f t="shared" si="106"/>
        <v>160300</v>
      </c>
      <c r="M541" s="227">
        <f t="shared" si="106"/>
        <v>0</v>
      </c>
      <c r="N541" s="227">
        <f t="shared" si="106"/>
        <v>0</v>
      </c>
      <c r="O541" s="227">
        <f t="shared" si="106"/>
        <v>0</v>
      </c>
      <c r="P541" s="227">
        <f t="shared" si="106"/>
        <v>0</v>
      </c>
      <c r="Q541" s="227">
        <f t="shared" si="106"/>
        <v>160300</v>
      </c>
      <c r="R541" s="268" t="s">
        <v>38</v>
      </c>
      <c r="S541" s="269" t="s">
        <v>84</v>
      </c>
      <c r="T541" s="230"/>
    </row>
    <row r="542" spans="1:20" ht="26.1" hidden="1" customHeight="1">
      <c r="A542" s="213" t="s">
        <v>29</v>
      </c>
      <c r="B542" s="214" t="s">
        <v>50</v>
      </c>
      <c r="C542" s="214" t="s">
        <v>31</v>
      </c>
      <c r="D542" s="215" t="s">
        <v>263</v>
      </c>
      <c r="E542" s="216" t="s">
        <v>266</v>
      </c>
      <c r="F542" s="215" t="s">
        <v>267</v>
      </c>
      <c r="G542" s="262" t="s">
        <v>46</v>
      </c>
      <c r="H542" s="262" t="s">
        <v>54</v>
      </c>
      <c r="I542" s="262" t="s">
        <v>55</v>
      </c>
      <c r="J542" s="262">
        <f>SUM(J543:J545)</f>
        <v>0</v>
      </c>
      <c r="K542" s="217"/>
      <c r="L542" s="218">
        <v>12250</v>
      </c>
      <c r="M542" s="218"/>
      <c r="N542" s="218"/>
      <c r="O542" s="218"/>
      <c r="P542" s="218"/>
      <c r="Q542" s="218">
        <f>SUM(K542:P542)</f>
        <v>12250</v>
      </c>
      <c r="R542" s="274" t="s">
        <v>87</v>
      </c>
      <c r="S542" s="266" t="s">
        <v>84</v>
      </c>
      <c r="T542" s="229"/>
    </row>
    <row r="543" spans="1:20" ht="26.1" hidden="1" customHeight="1">
      <c r="A543" s="208"/>
      <c r="B543" s="211"/>
      <c r="C543" s="211"/>
      <c r="D543" s="212"/>
      <c r="E543" s="210" t="str">
        <f>IFERROR(VLOOKUP($T543,공사현장대장!$A$5:$T$330,4),"")</f>
        <v/>
      </c>
      <c r="F543" s="212"/>
      <c r="G543" s="265"/>
      <c r="H543" s="265"/>
      <c r="I543" s="265"/>
      <c r="J543" s="265" t="str">
        <f>IFERROR(ROUND(VLOOKUP($T543,공사현장대장!$A$5:$T$330,9)/1000,0),"")</f>
        <v/>
      </c>
      <c r="K543" s="225"/>
      <c r="L543" s="209"/>
      <c r="M543" s="209"/>
      <c r="N543" s="209"/>
      <c r="O543" s="209"/>
      <c r="P543" s="209"/>
      <c r="Q543" s="209"/>
      <c r="R543" s="263" t="s">
        <v>87</v>
      </c>
      <c r="S543" s="266" t="s">
        <v>84</v>
      </c>
      <c r="T543" s="229"/>
    </row>
    <row r="544" spans="1:20" ht="26.1" hidden="1" customHeight="1">
      <c r="A544" s="208"/>
      <c r="B544" s="211"/>
      <c r="C544" s="211"/>
      <c r="D544" s="212"/>
      <c r="E544" s="210" t="str">
        <f>IFERROR(VLOOKUP($T544,공사현장대장!$A$5:$T$330,4),"")</f>
        <v/>
      </c>
      <c r="F544" s="212"/>
      <c r="G544" s="265"/>
      <c r="H544" s="265"/>
      <c r="I544" s="265"/>
      <c r="J544" s="265" t="str">
        <f>IFERROR(ROUND(VLOOKUP($T544,공사현장대장!$A$5:$T$330,9)/1000,0),"")</f>
        <v/>
      </c>
      <c r="K544" s="225"/>
      <c r="L544" s="209"/>
      <c r="M544" s="209"/>
      <c r="N544" s="209"/>
      <c r="O544" s="209"/>
      <c r="P544" s="209"/>
      <c r="Q544" s="209"/>
      <c r="R544" s="263" t="s">
        <v>87</v>
      </c>
      <c r="S544" s="266" t="s">
        <v>84</v>
      </c>
      <c r="T544" s="229"/>
    </row>
    <row r="545" spans="1:20" ht="26.1" hidden="1" customHeight="1">
      <c r="A545" s="208"/>
      <c r="B545" s="211"/>
      <c r="C545" s="211"/>
      <c r="D545" s="212"/>
      <c r="E545" s="210" t="str">
        <f>IFERROR(VLOOKUP($T545,공사현장대장!$A$5:$T$330,4),"")</f>
        <v/>
      </c>
      <c r="F545" s="212"/>
      <c r="G545" s="265"/>
      <c r="H545" s="265"/>
      <c r="I545" s="265"/>
      <c r="J545" s="265" t="str">
        <f>IFERROR(ROUND(VLOOKUP($T545,공사현장대장!$A$5:$T$330,9)/1000,0),"")</f>
        <v/>
      </c>
      <c r="K545" s="225"/>
      <c r="L545" s="209"/>
      <c r="M545" s="209"/>
      <c r="N545" s="209"/>
      <c r="O545" s="209"/>
      <c r="P545" s="209"/>
      <c r="Q545" s="209"/>
      <c r="R545" s="263" t="s">
        <v>87</v>
      </c>
      <c r="S545" s="266" t="s">
        <v>84</v>
      </c>
      <c r="T545" s="229"/>
    </row>
    <row r="546" spans="1:20" ht="26.1" hidden="1" customHeight="1">
      <c r="A546" s="324" t="s">
        <v>40</v>
      </c>
      <c r="B546" s="325"/>
      <c r="C546" s="325"/>
      <c r="D546" s="325"/>
      <c r="E546" s="326"/>
      <c r="F546" s="226"/>
      <c r="G546" s="267"/>
      <c r="H546" s="267"/>
      <c r="I546" s="267"/>
      <c r="J546" s="267"/>
      <c r="K546" s="227">
        <f t="shared" ref="K546:Q546" si="107">SUM(K542-SUM(K543:K545))</f>
        <v>0</v>
      </c>
      <c r="L546" s="227">
        <f t="shared" si="107"/>
        <v>12250</v>
      </c>
      <c r="M546" s="227">
        <f t="shared" si="107"/>
        <v>0</v>
      </c>
      <c r="N546" s="227">
        <f t="shared" si="107"/>
        <v>0</v>
      </c>
      <c r="O546" s="227">
        <f t="shared" si="107"/>
        <v>0</v>
      </c>
      <c r="P546" s="227">
        <f t="shared" si="107"/>
        <v>0</v>
      </c>
      <c r="Q546" s="227">
        <f t="shared" si="107"/>
        <v>12250</v>
      </c>
      <c r="R546" s="268" t="s">
        <v>87</v>
      </c>
      <c r="S546" s="269" t="s">
        <v>84</v>
      </c>
      <c r="T546" s="230"/>
    </row>
    <row r="547" spans="1:20" ht="26.1" hidden="1" customHeight="1">
      <c r="A547" s="213" t="s">
        <v>29</v>
      </c>
      <c r="B547" s="214" t="s">
        <v>50</v>
      </c>
      <c r="C547" s="214" t="s">
        <v>31</v>
      </c>
      <c r="D547" s="215" t="s">
        <v>263</v>
      </c>
      <c r="E547" s="216" t="s">
        <v>194</v>
      </c>
      <c r="F547" s="215" t="s">
        <v>59</v>
      </c>
      <c r="G547" s="262" t="s">
        <v>46</v>
      </c>
      <c r="H547" s="262" t="s">
        <v>54</v>
      </c>
      <c r="I547" s="262" t="s">
        <v>55</v>
      </c>
      <c r="J547" s="262">
        <f>SUM(J548:J550)</f>
        <v>0</v>
      </c>
      <c r="K547" s="217"/>
      <c r="L547" s="218"/>
      <c r="M547" s="218"/>
      <c r="N547" s="218"/>
      <c r="O547" s="218"/>
      <c r="P547" s="218">
        <v>19250</v>
      </c>
      <c r="Q547" s="218">
        <f>SUM(K547:P547)</f>
        <v>19250</v>
      </c>
      <c r="R547" s="263" t="s">
        <v>38</v>
      </c>
      <c r="S547" s="266" t="s">
        <v>84</v>
      </c>
      <c r="T547" s="229"/>
    </row>
    <row r="548" spans="1:20" ht="26.1" hidden="1" customHeight="1">
      <c r="A548" s="208"/>
      <c r="B548" s="211"/>
      <c r="C548" s="211"/>
      <c r="D548" s="212"/>
      <c r="E548" s="210" t="str">
        <f>IFERROR(VLOOKUP($T548,공사현장대장!$A$5:$T$330,4),"")</f>
        <v/>
      </c>
      <c r="F548" s="212"/>
      <c r="G548" s="265"/>
      <c r="H548" s="265"/>
      <c r="I548" s="265"/>
      <c r="J548" s="265" t="str">
        <f>IFERROR(ROUND(VLOOKUP($T548,공사현장대장!$A$5:$T$330,9)/1000,0),"")</f>
        <v/>
      </c>
      <c r="K548" s="225"/>
      <c r="L548" s="209"/>
      <c r="M548" s="209"/>
      <c r="N548" s="209"/>
      <c r="O548" s="209"/>
      <c r="P548" s="209"/>
      <c r="Q548" s="209"/>
      <c r="R548" s="263" t="s">
        <v>38</v>
      </c>
      <c r="S548" s="266" t="s">
        <v>84</v>
      </c>
      <c r="T548" s="229"/>
    </row>
    <row r="549" spans="1:20" ht="26.1" hidden="1" customHeight="1">
      <c r="A549" s="208"/>
      <c r="B549" s="211"/>
      <c r="C549" s="211"/>
      <c r="D549" s="212"/>
      <c r="E549" s="210" t="str">
        <f>IFERROR(VLOOKUP($T549,공사현장대장!$A$5:$T$330,4),"")</f>
        <v/>
      </c>
      <c r="F549" s="212"/>
      <c r="G549" s="265"/>
      <c r="H549" s="265"/>
      <c r="I549" s="265"/>
      <c r="J549" s="265" t="str">
        <f>IFERROR(ROUND(VLOOKUP($T549,공사현장대장!$A$5:$T$330,9)/1000,0),"")</f>
        <v/>
      </c>
      <c r="K549" s="225"/>
      <c r="L549" s="209"/>
      <c r="M549" s="209"/>
      <c r="N549" s="209"/>
      <c r="O549" s="209"/>
      <c r="P549" s="209"/>
      <c r="Q549" s="209"/>
      <c r="R549" s="263" t="s">
        <v>38</v>
      </c>
      <c r="S549" s="266" t="s">
        <v>84</v>
      </c>
      <c r="T549" s="229"/>
    </row>
    <row r="550" spans="1:20" ht="26.1" hidden="1" customHeight="1">
      <c r="A550" s="208"/>
      <c r="B550" s="211"/>
      <c r="C550" s="211"/>
      <c r="D550" s="212"/>
      <c r="E550" s="210" t="str">
        <f>IFERROR(VLOOKUP($T550,공사현장대장!$A$5:$T$330,4),"")</f>
        <v/>
      </c>
      <c r="F550" s="212"/>
      <c r="G550" s="265"/>
      <c r="H550" s="265"/>
      <c r="I550" s="265"/>
      <c r="J550" s="265" t="str">
        <f>IFERROR(ROUND(VLOOKUP($T550,공사현장대장!$A$5:$T$330,9)/1000,0),"")</f>
        <v/>
      </c>
      <c r="K550" s="225"/>
      <c r="L550" s="209"/>
      <c r="M550" s="209"/>
      <c r="N550" s="209"/>
      <c r="O550" s="209"/>
      <c r="P550" s="209"/>
      <c r="Q550" s="209"/>
      <c r="R550" s="263" t="s">
        <v>38</v>
      </c>
      <c r="S550" s="266" t="s">
        <v>84</v>
      </c>
      <c r="T550" s="229"/>
    </row>
    <row r="551" spans="1:20" ht="26.1" hidden="1" customHeight="1">
      <c r="A551" s="324" t="s">
        <v>40</v>
      </c>
      <c r="B551" s="325"/>
      <c r="C551" s="325"/>
      <c r="D551" s="325"/>
      <c r="E551" s="326"/>
      <c r="F551" s="226"/>
      <c r="G551" s="267"/>
      <c r="H551" s="267"/>
      <c r="I551" s="267"/>
      <c r="J551" s="267"/>
      <c r="K551" s="227">
        <f t="shared" ref="K551:Q551" si="108">SUM(K547-SUM(K548:K550))</f>
        <v>0</v>
      </c>
      <c r="L551" s="227">
        <f t="shared" si="108"/>
        <v>0</v>
      </c>
      <c r="M551" s="227">
        <f t="shared" si="108"/>
        <v>0</v>
      </c>
      <c r="N551" s="227">
        <f t="shared" si="108"/>
        <v>0</v>
      </c>
      <c r="O551" s="227">
        <f t="shared" si="108"/>
        <v>0</v>
      </c>
      <c r="P551" s="227">
        <f t="shared" si="108"/>
        <v>19250</v>
      </c>
      <c r="Q551" s="227">
        <f t="shared" si="108"/>
        <v>19250</v>
      </c>
      <c r="R551" s="268" t="s">
        <v>38</v>
      </c>
      <c r="S551" s="269" t="s">
        <v>84</v>
      </c>
      <c r="T551" s="230"/>
    </row>
    <row r="552" spans="1:20" ht="26.1" hidden="1" customHeight="1">
      <c r="A552" s="213" t="s">
        <v>29</v>
      </c>
      <c r="B552" s="214" t="s">
        <v>50</v>
      </c>
      <c r="C552" s="214" t="s">
        <v>31</v>
      </c>
      <c r="D552" s="215" t="s">
        <v>263</v>
      </c>
      <c r="E552" s="216" t="s">
        <v>268</v>
      </c>
      <c r="F552" s="215" t="s">
        <v>269</v>
      </c>
      <c r="G552" s="262" t="s">
        <v>46</v>
      </c>
      <c r="H552" s="262" t="s">
        <v>54</v>
      </c>
      <c r="I552" s="262" t="s">
        <v>55</v>
      </c>
      <c r="J552" s="262">
        <f>SUM(J553:J555)</f>
        <v>0</v>
      </c>
      <c r="K552" s="217"/>
      <c r="L552" s="218">
        <v>99050</v>
      </c>
      <c r="M552" s="218"/>
      <c r="N552" s="218"/>
      <c r="O552" s="218"/>
      <c r="P552" s="218"/>
      <c r="Q552" s="218">
        <f>SUM(K552:P552)</f>
        <v>99050</v>
      </c>
      <c r="R552" s="263" t="s">
        <v>38</v>
      </c>
      <c r="S552" s="266" t="s">
        <v>84</v>
      </c>
      <c r="T552" s="229"/>
    </row>
    <row r="553" spans="1:20" ht="26.1" hidden="1" customHeight="1">
      <c r="A553" s="208"/>
      <c r="B553" s="211"/>
      <c r="C553" s="211"/>
      <c r="D553" s="212"/>
      <c r="E553" s="210" t="str">
        <f>IFERROR(VLOOKUP($T553,공사현장대장!$A$5:$T$330,4),"")</f>
        <v/>
      </c>
      <c r="F553" s="212"/>
      <c r="G553" s="265"/>
      <c r="H553" s="265"/>
      <c r="I553" s="265"/>
      <c r="J553" s="265" t="str">
        <f>IFERROR(ROUND(VLOOKUP($T553,공사현장대장!$A$5:$T$330,9)/1000,0),"")</f>
        <v/>
      </c>
      <c r="K553" s="225"/>
      <c r="L553" s="209"/>
      <c r="M553" s="209"/>
      <c r="N553" s="209"/>
      <c r="O553" s="209"/>
      <c r="P553" s="209"/>
      <c r="Q553" s="209"/>
      <c r="R553" s="263" t="s">
        <v>38</v>
      </c>
      <c r="S553" s="266" t="s">
        <v>84</v>
      </c>
      <c r="T553" s="229"/>
    </row>
    <row r="554" spans="1:20" ht="26.1" hidden="1" customHeight="1">
      <c r="A554" s="208"/>
      <c r="B554" s="211"/>
      <c r="C554" s="211"/>
      <c r="D554" s="212"/>
      <c r="E554" s="210" t="str">
        <f>IFERROR(VLOOKUP($T554,공사현장대장!$A$5:$T$330,4),"")</f>
        <v/>
      </c>
      <c r="F554" s="212"/>
      <c r="G554" s="265"/>
      <c r="H554" s="265"/>
      <c r="I554" s="265"/>
      <c r="J554" s="265" t="str">
        <f>IFERROR(ROUND(VLOOKUP($T554,공사현장대장!$A$5:$T$330,9)/1000,0),"")</f>
        <v/>
      </c>
      <c r="K554" s="225"/>
      <c r="L554" s="209"/>
      <c r="M554" s="209"/>
      <c r="N554" s="209"/>
      <c r="O554" s="209"/>
      <c r="P554" s="209"/>
      <c r="Q554" s="209"/>
      <c r="R554" s="263" t="s">
        <v>38</v>
      </c>
      <c r="S554" s="266" t="s">
        <v>84</v>
      </c>
      <c r="T554" s="229"/>
    </row>
    <row r="555" spans="1:20" ht="26.1" hidden="1" customHeight="1">
      <c r="A555" s="208"/>
      <c r="B555" s="211"/>
      <c r="C555" s="211"/>
      <c r="D555" s="212"/>
      <c r="E555" s="210" t="str">
        <f>IFERROR(VLOOKUP($T555,공사현장대장!$A$5:$T$330,4),"")</f>
        <v/>
      </c>
      <c r="F555" s="212"/>
      <c r="G555" s="265"/>
      <c r="H555" s="265"/>
      <c r="I555" s="265"/>
      <c r="J555" s="265" t="str">
        <f>IFERROR(ROUND(VLOOKUP($T555,공사현장대장!$A$5:$T$330,9)/1000,0),"")</f>
        <v/>
      </c>
      <c r="K555" s="225"/>
      <c r="L555" s="209"/>
      <c r="M555" s="209"/>
      <c r="N555" s="209"/>
      <c r="O555" s="209"/>
      <c r="P555" s="209"/>
      <c r="Q555" s="209"/>
      <c r="R555" s="263" t="s">
        <v>38</v>
      </c>
      <c r="S555" s="266" t="s">
        <v>84</v>
      </c>
      <c r="T555" s="229"/>
    </row>
    <row r="556" spans="1:20" ht="26.1" hidden="1" customHeight="1">
      <c r="A556" s="324" t="s">
        <v>40</v>
      </c>
      <c r="B556" s="325"/>
      <c r="C556" s="325"/>
      <c r="D556" s="325"/>
      <c r="E556" s="326"/>
      <c r="F556" s="226"/>
      <c r="G556" s="267"/>
      <c r="H556" s="267"/>
      <c r="I556" s="267"/>
      <c r="J556" s="267"/>
      <c r="K556" s="227">
        <f t="shared" ref="K556:Q556" si="109">SUM(K552-SUM(K553:K555))</f>
        <v>0</v>
      </c>
      <c r="L556" s="227">
        <f t="shared" si="109"/>
        <v>99050</v>
      </c>
      <c r="M556" s="227">
        <f t="shared" si="109"/>
        <v>0</v>
      </c>
      <c r="N556" s="227">
        <f t="shared" si="109"/>
        <v>0</v>
      </c>
      <c r="O556" s="227">
        <f t="shared" si="109"/>
        <v>0</v>
      </c>
      <c r="P556" s="227">
        <f t="shared" si="109"/>
        <v>0</v>
      </c>
      <c r="Q556" s="227">
        <f t="shared" si="109"/>
        <v>99050</v>
      </c>
      <c r="R556" s="268" t="s">
        <v>38</v>
      </c>
      <c r="S556" s="269" t="s">
        <v>84</v>
      </c>
      <c r="T556" s="230"/>
    </row>
    <row r="557" spans="1:20" ht="26.1" hidden="1" customHeight="1">
      <c r="A557" s="213" t="s">
        <v>29</v>
      </c>
      <c r="B557" s="214" t="s">
        <v>50</v>
      </c>
      <c r="C557" s="214" t="s">
        <v>31</v>
      </c>
      <c r="D557" s="215" t="s">
        <v>263</v>
      </c>
      <c r="E557" s="216" t="s">
        <v>270</v>
      </c>
      <c r="F557" s="215" t="s">
        <v>177</v>
      </c>
      <c r="G557" s="262" t="s">
        <v>46</v>
      </c>
      <c r="H557" s="262" t="s">
        <v>54</v>
      </c>
      <c r="I557" s="262" t="s">
        <v>55</v>
      </c>
      <c r="J557" s="262">
        <f>SUM(J558:J560)</f>
        <v>0</v>
      </c>
      <c r="K557" s="217"/>
      <c r="L557" s="218">
        <v>56700</v>
      </c>
      <c r="M557" s="218"/>
      <c r="N557" s="218"/>
      <c r="O557" s="218"/>
      <c r="P557" s="218"/>
      <c r="Q557" s="218">
        <f>SUM(K557:P557)</f>
        <v>56700</v>
      </c>
      <c r="R557" s="274" t="s">
        <v>87</v>
      </c>
      <c r="S557" s="266" t="s">
        <v>84</v>
      </c>
      <c r="T557" s="229"/>
    </row>
    <row r="558" spans="1:20" ht="26.1" hidden="1" customHeight="1">
      <c r="A558" s="208"/>
      <c r="B558" s="211"/>
      <c r="C558" s="211"/>
      <c r="D558" s="212"/>
      <c r="E558" s="210" t="str">
        <f>IFERROR(VLOOKUP($T558,공사현장대장!$A$5:$T$330,4),"")</f>
        <v/>
      </c>
      <c r="F558" s="212"/>
      <c r="G558" s="265"/>
      <c r="H558" s="265"/>
      <c r="I558" s="265"/>
      <c r="J558" s="265" t="str">
        <f>IFERROR(ROUND(VLOOKUP($T558,공사현장대장!$A$5:$T$330,9)/1000,0),"")</f>
        <v/>
      </c>
      <c r="K558" s="225"/>
      <c r="L558" s="209"/>
      <c r="M558" s="209"/>
      <c r="N558" s="209"/>
      <c r="O558" s="209"/>
      <c r="P558" s="209"/>
      <c r="Q558" s="209"/>
      <c r="R558" s="263" t="s">
        <v>87</v>
      </c>
      <c r="S558" s="266" t="s">
        <v>84</v>
      </c>
      <c r="T558" s="229"/>
    </row>
    <row r="559" spans="1:20" ht="26.1" hidden="1" customHeight="1">
      <c r="A559" s="208"/>
      <c r="B559" s="211"/>
      <c r="C559" s="211"/>
      <c r="D559" s="212"/>
      <c r="E559" s="210" t="str">
        <f>IFERROR(VLOOKUP($T559,공사현장대장!$A$5:$T$330,4),"")</f>
        <v/>
      </c>
      <c r="F559" s="212"/>
      <c r="G559" s="265"/>
      <c r="H559" s="265"/>
      <c r="I559" s="265"/>
      <c r="J559" s="265" t="str">
        <f>IFERROR(ROUND(VLOOKUP($T559,공사현장대장!$A$5:$T$330,9)/1000,0),"")</f>
        <v/>
      </c>
      <c r="K559" s="225"/>
      <c r="L559" s="209"/>
      <c r="M559" s="209"/>
      <c r="N559" s="209"/>
      <c r="O559" s="209"/>
      <c r="P559" s="209"/>
      <c r="Q559" s="209"/>
      <c r="R559" s="263" t="s">
        <v>87</v>
      </c>
      <c r="S559" s="266" t="s">
        <v>84</v>
      </c>
      <c r="T559" s="229"/>
    </row>
    <row r="560" spans="1:20" ht="26.1" hidden="1" customHeight="1">
      <c r="A560" s="208"/>
      <c r="B560" s="211"/>
      <c r="C560" s="211"/>
      <c r="D560" s="212"/>
      <c r="E560" s="210" t="str">
        <f>IFERROR(VLOOKUP($T560,공사현장대장!$A$5:$T$330,4),"")</f>
        <v/>
      </c>
      <c r="F560" s="212"/>
      <c r="G560" s="265"/>
      <c r="H560" s="265"/>
      <c r="I560" s="265"/>
      <c r="J560" s="265" t="str">
        <f>IFERROR(ROUND(VLOOKUP($T560,공사현장대장!$A$5:$T$330,9)/1000,0),"")</f>
        <v/>
      </c>
      <c r="K560" s="225"/>
      <c r="L560" s="209"/>
      <c r="M560" s="209"/>
      <c r="N560" s="209"/>
      <c r="O560" s="209"/>
      <c r="P560" s="209"/>
      <c r="Q560" s="209"/>
      <c r="R560" s="263" t="s">
        <v>87</v>
      </c>
      <c r="S560" s="266" t="s">
        <v>84</v>
      </c>
      <c r="T560" s="229"/>
    </row>
    <row r="561" spans="1:20" ht="26.1" hidden="1" customHeight="1">
      <c r="A561" s="324" t="s">
        <v>40</v>
      </c>
      <c r="B561" s="325"/>
      <c r="C561" s="325"/>
      <c r="D561" s="325"/>
      <c r="E561" s="326"/>
      <c r="F561" s="226"/>
      <c r="G561" s="267"/>
      <c r="H561" s="267"/>
      <c r="I561" s="267"/>
      <c r="J561" s="267"/>
      <c r="K561" s="227">
        <f t="shared" ref="K561:Q561" si="110">SUM(K557-SUM(K558:K560))</f>
        <v>0</v>
      </c>
      <c r="L561" s="227">
        <f t="shared" si="110"/>
        <v>56700</v>
      </c>
      <c r="M561" s="227">
        <f t="shared" si="110"/>
        <v>0</v>
      </c>
      <c r="N561" s="227">
        <f t="shared" si="110"/>
        <v>0</v>
      </c>
      <c r="O561" s="227">
        <f t="shared" si="110"/>
        <v>0</v>
      </c>
      <c r="P561" s="227">
        <f t="shared" si="110"/>
        <v>0</v>
      </c>
      <c r="Q561" s="227">
        <f t="shared" si="110"/>
        <v>56700</v>
      </c>
      <c r="R561" s="268" t="s">
        <v>87</v>
      </c>
      <c r="S561" s="269" t="s">
        <v>84</v>
      </c>
      <c r="T561" s="230"/>
    </row>
    <row r="562" spans="1:20" ht="26.1" hidden="1" customHeight="1">
      <c r="A562" s="213" t="s">
        <v>29</v>
      </c>
      <c r="B562" s="214" t="s">
        <v>50</v>
      </c>
      <c r="C562" s="214" t="s">
        <v>31</v>
      </c>
      <c r="D562" s="215" t="s">
        <v>263</v>
      </c>
      <c r="E562" s="216" t="s">
        <v>271</v>
      </c>
      <c r="F562" s="215" t="s">
        <v>272</v>
      </c>
      <c r="G562" s="262" t="s">
        <v>46</v>
      </c>
      <c r="H562" s="262" t="s">
        <v>54</v>
      </c>
      <c r="I562" s="262" t="s">
        <v>55</v>
      </c>
      <c r="J562" s="262">
        <f>SUM(J563:J565)</f>
        <v>0</v>
      </c>
      <c r="K562" s="217"/>
      <c r="L562" s="218">
        <v>110250</v>
      </c>
      <c r="M562" s="218"/>
      <c r="N562" s="218"/>
      <c r="O562" s="218"/>
      <c r="P562" s="218"/>
      <c r="Q562" s="218">
        <f>SUM(K562:P562)</f>
        <v>110250</v>
      </c>
      <c r="R562" s="263" t="s">
        <v>38</v>
      </c>
      <c r="S562" s="266" t="s">
        <v>84</v>
      </c>
      <c r="T562" s="229"/>
    </row>
    <row r="563" spans="1:20" ht="26.1" hidden="1" customHeight="1">
      <c r="A563" s="208"/>
      <c r="B563" s="211"/>
      <c r="C563" s="211"/>
      <c r="D563" s="212"/>
      <c r="E563" s="210" t="str">
        <f>IFERROR(VLOOKUP($T563,공사현장대장!$A$5:$T$330,4),"")</f>
        <v/>
      </c>
      <c r="F563" s="212"/>
      <c r="G563" s="265"/>
      <c r="H563" s="265"/>
      <c r="I563" s="265"/>
      <c r="J563" s="265" t="str">
        <f>IFERROR(ROUND(VLOOKUP($T563,공사현장대장!$A$5:$T$330,9)/1000,0),"")</f>
        <v/>
      </c>
      <c r="K563" s="225"/>
      <c r="L563" s="209"/>
      <c r="M563" s="209"/>
      <c r="N563" s="209"/>
      <c r="O563" s="209"/>
      <c r="P563" s="209"/>
      <c r="Q563" s="209"/>
      <c r="R563" s="263" t="s">
        <v>38</v>
      </c>
      <c r="S563" s="266" t="s">
        <v>84</v>
      </c>
      <c r="T563" s="229"/>
    </row>
    <row r="564" spans="1:20" ht="26.1" hidden="1" customHeight="1">
      <c r="A564" s="208"/>
      <c r="B564" s="211"/>
      <c r="C564" s="211"/>
      <c r="D564" s="212"/>
      <c r="E564" s="210" t="str">
        <f>IFERROR(VLOOKUP($T564,공사현장대장!$A$5:$T$330,4),"")</f>
        <v/>
      </c>
      <c r="F564" s="212"/>
      <c r="G564" s="265"/>
      <c r="H564" s="265"/>
      <c r="I564" s="265"/>
      <c r="J564" s="265" t="str">
        <f>IFERROR(ROUND(VLOOKUP($T564,공사현장대장!$A$5:$T$330,9)/1000,0),"")</f>
        <v/>
      </c>
      <c r="K564" s="225"/>
      <c r="L564" s="209"/>
      <c r="M564" s="209"/>
      <c r="N564" s="209"/>
      <c r="O564" s="209"/>
      <c r="P564" s="209"/>
      <c r="Q564" s="209"/>
      <c r="R564" s="263" t="s">
        <v>38</v>
      </c>
      <c r="S564" s="266" t="s">
        <v>84</v>
      </c>
      <c r="T564" s="229"/>
    </row>
    <row r="565" spans="1:20" ht="26.1" hidden="1" customHeight="1">
      <c r="A565" s="208"/>
      <c r="B565" s="211"/>
      <c r="C565" s="211"/>
      <c r="D565" s="212"/>
      <c r="E565" s="210" t="str">
        <f>IFERROR(VLOOKUP($T565,공사현장대장!$A$5:$T$330,4),"")</f>
        <v/>
      </c>
      <c r="F565" s="212"/>
      <c r="G565" s="265"/>
      <c r="H565" s="265"/>
      <c r="I565" s="265"/>
      <c r="J565" s="265" t="str">
        <f>IFERROR(ROUND(VLOOKUP($T565,공사현장대장!$A$5:$T$330,9)/1000,0),"")</f>
        <v/>
      </c>
      <c r="K565" s="225"/>
      <c r="L565" s="209"/>
      <c r="M565" s="209"/>
      <c r="N565" s="209"/>
      <c r="O565" s="209"/>
      <c r="P565" s="209"/>
      <c r="Q565" s="209"/>
      <c r="R565" s="263" t="s">
        <v>38</v>
      </c>
      <c r="S565" s="266" t="s">
        <v>84</v>
      </c>
      <c r="T565" s="229"/>
    </row>
    <row r="566" spans="1:20" ht="26.1" hidden="1" customHeight="1">
      <c r="A566" s="324" t="s">
        <v>40</v>
      </c>
      <c r="B566" s="325"/>
      <c r="C566" s="325"/>
      <c r="D566" s="325"/>
      <c r="E566" s="326"/>
      <c r="F566" s="226"/>
      <c r="G566" s="267"/>
      <c r="H566" s="267"/>
      <c r="I566" s="267"/>
      <c r="J566" s="267"/>
      <c r="K566" s="227">
        <f t="shared" ref="K566:Q566" si="111">SUM(K562-SUM(K563:K565))</f>
        <v>0</v>
      </c>
      <c r="L566" s="227">
        <f t="shared" si="111"/>
        <v>110250</v>
      </c>
      <c r="M566" s="227">
        <f t="shared" si="111"/>
        <v>0</v>
      </c>
      <c r="N566" s="227">
        <f t="shared" si="111"/>
        <v>0</v>
      </c>
      <c r="O566" s="227">
        <f t="shared" si="111"/>
        <v>0</v>
      </c>
      <c r="P566" s="227">
        <f t="shared" si="111"/>
        <v>0</v>
      </c>
      <c r="Q566" s="227">
        <f t="shared" si="111"/>
        <v>110250</v>
      </c>
      <c r="R566" s="268" t="s">
        <v>38</v>
      </c>
      <c r="S566" s="269" t="s">
        <v>84</v>
      </c>
      <c r="T566" s="230"/>
    </row>
    <row r="567" spans="1:20" ht="26.1" hidden="1" customHeight="1">
      <c r="A567" s="213" t="s">
        <v>29</v>
      </c>
      <c r="B567" s="214" t="s">
        <v>50</v>
      </c>
      <c r="C567" s="214" t="s">
        <v>31</v>
      </c>
      <c r="D567" s="215" t="s">
        <v>263</v>
      </c>
      <c r="E567" s="216" t="s">
        <v>273</v>
      </c>
      <c r="F567" s="215" t="s">
        <v>34</v>
      </c>
      <c r="G567" s="262" t="s">
        <v>46</v>
      </c>
      <c r="H567" s="262" t="s">
        <v>54</v>
      </c>
      <c r="I567" s="262" t="s">
        <v>55</v>
      </c>
      <c r="J567" s="262">
        <f>SUM(J568:J570)</f>
        <v>0</v>
      </c>
      <c r="K567" s="217"/>
      <c r="L567" s="218">
        <v>23100</v>
      </c>
      <c r="M567" s="218"/>
      <c r="N567" s="218"/>
      <c r="O567" s="218"/>
      <c r="P567" s="218"/>
      <c r="Q567" s="218">
        <f>SUM(K567:P567)</f>
        <v>23100</v>
      </c>
      <c r="R567" s="274" t="s">
        <v>87</v>
      </c>
      <c r="S567" s="266" t="s">
        <v>84</v>
      </c>
      <c r="T567" s="229"/>
    </row>
    <row r="568" spans="1:20" ht="26.1" hidden="1" customHeight="1">
      <c r="A568" s="208"/>
      <c r="B568" s="211"/>
      <c r="C568" s="211"/>
      <c r="D568" s="212"/>
      <c r="E568" s="210" t="str">
        <f>IFERROR(VLOOKUP($T568,공사현장대장!$A$5:$T$330,4),"")</f>
        <v/>
      </c>
      <c r="F568" s="212"/>
      <c r="G568" s="265"/>
      <c r="H568" s="265"/>
      <c r="I568" s="265"/>
      <c r="J568" s="265" t="str">
        <f>IFERROR(ROUND(VLOOKUP($T568,공사현장대장!$A$5:$T$330,9)/1000,0),"")</f>
        <v/>
      </c>
      <c r="K568" s="225"/>
      <c r="L568" s="209"/>
      <c r="M568" s="209"/>
      <c r="N568" s="209"/>
      <c r="O568" s="209"/>
      <c r="P568" s="209"/>
      <c r="Q568" s="209"/>
      <c r="R568" s="263" t="s">
        <v>87</v>
      </c>
      <c r="S568" s="266" t="s">
        <v>84</v>
      </c>
      <c r="T568" s="229"/>
    </row>
    <row r="569" spans="1:20" ht="26.1" hidden="1" customHeight="1">
      <c r="A569" s="208"/>
      <c r="B569" s="211"/>
      <c r="C569" s="211"/>
      <c r="D569" s="212"/>
      <c r="E569" s="210" t="str">
        <f>IFERROR(VLOOKUP($T569,공사현장대장!$A$5:$T$330,4),"")</f>
        <v/>
      </c>
      <c r="F569" s="212"/>
      <c r="G569" s="265"/>
      <c r="H569" s="265"/>
      <c r="I569" s="265"/>
      <c r="J569" s="265" t="str">
        <f>IFERROR(ROUND(VLOOKUP($T569,공사현장대장!$A$5:$T$330,9)/1000,0),"")</f>
        <v/>
      </c>
      <c r="K569" s="225"/>
      <c r="L569" s="209"/>
      <c r="M569" s="209"/>
      <c r="N569" s="209"/>
      <c r="O569" s="209"/>
      <c r="P569" s="209"/>
      <c r="Q569" s="209"/>
      <c r="R569" s="263" t="s">
        <v>87</v>
      </c>
      <c r="S569" s="266" t="s">
        <v>84</v>
      </c>
      <c r="T569" s="229"/>
    </row>
    <row r="570" spans="1:20" ht="26.1" hidden="1" customHeight="1">
      <c r="A570" s="208"/>
      <c r="B570" s="211"/>
      <c r="C570" s="211"/>
      <c r="D570" s="212"/>
      <c r="E570" s="210" t="str">
        <f>IFERROR(VLOOKUP($T570,공사현장대장!$A$5:$T$330,4),"")</f>
        <v/>
      </c>
      <c r="F570" s="212"/>
      <c r="G570" s="265"/>
      <c r="H570" s="265"/>
      <c r="I570" s="265"/>
      <c r="J570" s="265" t="str">
        <f>IFERROR(ROUND(VLOOKUP($T570,공사현장대장!$A$5:$T$330,9)/1000,0),"")</f>
        <v/>
      </c>
      <c r="K570" s="225"/>
      <c r="L570" s="209"/>
      <c r="M570" s="209"/>
      <c r="N570" s="209"/>
      <c r="O570" s="209"/>
      <c r="P570" s="209"/>
      <c r="Q570" s="209"/>
      <c r="R570" s="263" t="s">
        <v>87</v>
      </c>
      <c r="S570" s="266" t="s">
        <v>84</v>
      </c>
      <c r="T570" s="229"/>
    </row>
    <row r="571" spans="1:20" ht="26.1" hidden="1" customHeight="1">
      <c r="A571" s="324" t="s">
        <v>40</v>
      </c>
      <c r="B571" s="325"/>
      <c r="C571" s="325"/>
      <c r="D571" s="325"/>
      <c r="E571" s="326"/>
      <c r="F571" s="226"/>
      <c r="G571" s="267"/>
      <c r="H571" s="267"/>
      <c r="I571" s="267"/>
      <c r="J571" s="267"/>
      <c r="K571" s="227">
        <f t="shared" ref="K571:Q571" si="112">SUM(K567-SUM(K568:K570))</f>
        <v>0</v>
      </c>
      <c r="L571" s="227">
        <f t="shared" si="112"/>
        <v>23100</v>
      </c>
      <c r="M571" s="227">
        <f t="shared" si="112"/>
        <v>0</v>
      </c>
      <c r="N571" s="227">
        <f t="shared" si="112"/>
        <v>0</v>
      </c>
      <c r="O571" s="227">
        <f t="shared" si="112"/>
        <v>0</v>
      </c>
      <c r="P571" s="227">
        <f t="shared" si="112"/>
        <v>0</v>
      </c>
      <c r="Q571" s="227">
        <f t="shared" si="112"/>
        <v>23100</v>
      </c>
      <c r="R571" s="268" t="s">
        <v>87</v>
      </c>
      <c r="S571" s="269" t="s">
        <v>84</v>
      </c>
      <c r="T571" s="230"/>
    </row>
    <row r="572" spans="1:20" ht="26.1" hidden="1" customHeight="1">
      <c r="A572" s="213" t="s">
        <v>29</v>
      </c>
      <c r="B572" s="214" t="s">
        <v>50</v>
      </c>
      <c r="C572" s="214" t="s">
        <v>31</v>
      </c>
      <c r="D572" s="215" t="s">
        <v>263</v>
      </c>
      <c r="E572" s="216" t="s">
        <v>209</v>
      </c>
      <c r="F572" s="215" t="s">
        <v>274</v>
      </c>
      <c r="G572" s="262" t="s">
        <v>46</v>
      </c>
      <c r="H572" s="262" t="s">
        <v>54</v>
      </c>
      <c r="I572" s="262" t="s">
        <v>99</v>
      </c>
      <c r="J572" s="262">
        <f>SUM(J573:J575)</f>
        <v>0</v>
      </c>
      <c r="K572" s="217"/>
      <c r="L572" s="218">
        <v>11049</v>
      </c>
      <c r="M572" s="218"/>
      <c r="N572" s="218"/>
      <c r="O572" s="218"/>
      <c r="P572" s="218"/>
      <c r="Q572" s="218">
        <f>SUM(K572:P572)</f>
        <v>11049</v>
      </c>
      <c r="R572" s="274" t="s">
        <v>87</v>
      </c>
      <c r="S572" s="266" t="s">
        <v>100</v>
      </c>
      <c r="T572" s="229"/>
    </row>
    <row r="573" spans="1:20" ht="26.1" hidden="1" customHeight="1">
      <c r="A573" s="208"/>
      <c r="B573" s="211"/>
      <c r="C573" s="211"/>
      <c r="D573" s="212"/>
      <c r="E573" s="210" t="str">
        <f>IFERROR(VLOOKUP($T573,공사현장대장!$A$5:$T$330,4),"")</f>
        <v/>
      </c>
      <c r="F573" s="212"/>
      <c r="G573" s="265"/>
      <c r="H573" s="265"/>
      <c r="I573" s="265"/>
      <c r="J573" s="265" t="str">
        <f>IFERROR(ROUND(VLOOKUP($T573,공사현장대장!$A$5:$T$330,9)/1000,0),"")</f>
        <v/>
      </c>
      <c r="K573" s="225"/>
      <c r="L573" s="209"/>
      <c r="M573" s="209"/>
      <c r="N573" s="209"/>
      <c r="O573" s="209"/>
      <c r="P573" s="209"/>
      <c r="Q573" s="209"/>
      <c r="R573" s="263" t="s">
        <v>87</v>
      </c>
      <c r="S573" s="266" t="s">
        <v>100</v>
      </c>
      <c r="T573" s="229"/>
    </row>
    <row r="574" spans="1:20" ht="26.1" hidden="1" customHeight="1">
      <c r="A574" s="208"/>
      <c r="B574" s="211"/>
      <c r="C574" s="211"/>
      <c r="D574" s="212"/>
      <c r="E574" s="210" t="str">
        <f>IFERROR(VLOOKUP($T574,공사현장대장!$A$5:$T$330,4),"")</f>
        <v/>
      </c>
      <c r="F574" s="212"/>
      <c r="G574" s="265"/>
      <c r="H574" s="265"/>
      <c r="I574" s="265"/>
      <c r="J574" s="265" t="str">
        <f>IFERROR(ROUND(VLOOKUP($T574,공사현장대장!$A$5:$T$330,9)/1000,0),"")</f>
        <v/>
      </c>
      <c r="K574" s="225"/>
      <c r="L574" s="209"/>
      <c r="M574" s="209"/>
      <c r="N574" s="209"/>
      <c r="O574" s="209"/>
      <c r="P574" s="209"/>
      <c r="Q574" s="209"/>
      <c r="R574" s="263" t="s">
        <v>87</v>
      </c>
      <c r="S574" s="266" t="s">
        <v>100</v>
      </c>
      <c r="T574" s="229"/>
    </row>
    <row r="575" spans="1:20" ht="26.1" hidden="1" customHeight="1">
      <c r="A575" s="208"/>
      <c r="B575" s="211"/>
      <c r="C575" s="211"/>
      <c r="D575" s="212"/>
      <c r="E575" s="210" t="str">
        <f>IFERROR(VLOOKUP($T575,공사현장대장!$A$5:$T$330,4),"")</f>
        <v/>
      </c>
      <c r="F575" s="212"/>
      <c r="G575" s="265"/>
      <c r="H575" s="265"/>
      <c r="I575" s="265"/>
      <c r="J575" s="265" t="str">
        <f>IFERROR(ROUND(VLOOKUP($T575,공사현장대장!$A$5:$T$330,9)/1000,0),"")</f>
        <v/>
      </c>
      <c r="K575" s="225"/>
      <c r="L575" s="209"/>
      <c r="M575" s="209"/>
      <c r="N575" s="209"/>
      <c r="O575" s="209"/>
      <c r="P575" s="209"/>
      <c r="Q575" s="209"/>
      <c r="R575" s="263" t="s">
        <v>87</v>
      </c>
      <c r="S575" s="266" t="s">
        <v>100</v>
      </c>
      <c r="T575" s="229"/>
    </row>
    <row r="576" spans="1:20" ht="26.1" hidden="1" customHeight="1">
      <c r="A576" s="324" t="s">
        <v>40</v>
      </c>
      <c r="B576" s="325"/>
      <c r="C576" s="325"/>
      <c r="D576" s="325"/>
      <c r="E576" s="326"/>
      <c r="F576" s="226"/>
      <c r="G576" s="267"/>
      <c r="H576" s="267"/>
      <c r="I576" s="267"/>
      <c r="J576" s="267"/>
      <c r="K576" s="227">
        <f t="shared" ref="K576:Q576" si="113">SUM(K572-SUM(K573:K575))</f>
        <v>0</v>
      </c>
      <c r="L576" s="227">
        <f t="shared" si="113"/>
        <v>11049</v>
      </c>
      <c r="M576" s="227">
        <f t="shared" si="113"/>
        <v>0</v>
      </c>
      <c r="N576" s="227">
        <f t="shared" si="113"/>
        <v>0</v>
      </c>
      <c r="O576" s="227">
        <f t="shared" si="113"/>
        <v>0</v>
      </c>
      <c r="P576" s="227">
        <f t="shared" si="113"/>
        <v>0</v>
      </c>
      <c r="Q576" s="227">
        <f t="shared" si="113"/>
        <v>11049</v>
      </c>
      <c r="R576" s="268" t="s">
        <v>87</v>
      </c>
      <c r="S576" s="269" t="s">
        <v>100</v>
      </c>
      <c r="T576" s="230"/>
    </row>
    <row r="577" spans="1:20" ht="26.1" hidden="1" customHeight="1">
      <c r="A577" s="213" t="s">
        <v>29</v>
      </c>
      <c r="B577" s="214" t="s">
        <v>50</v>
      </c>
      <c r="C577" s="214" t="s">
        <v>31</v>
      </c>
      <c r="D577" s="215" t="s">
        <v>263</v>
      </c>
      <c r="E577" s="216" t="s">
        <v>162</v>
      </c>
      <c r="F577" s="215" t="s">
        <v>175</v>
      </c>
      <c r="G577" s="262" t="s">
        <v>46</v>
      </c>
      <c r="H577" s="262" t="s">
        <v>47</v>
      </c>
      <c r="I577" s="262" t="s">
        <v>48</v>
      </c>
      <c r="J577" s="262">
        <f>SUM(J578:J580)</f>
        <v>0</v>
      </c>
      <c r="K577" s="217"/>
      <c r="L577" s="218"/>
      <c r="M577" s="218"/>
      <c r="N577" s="218"/>
      <c r="O577" s="218"/>
      <c r="P577" s="218">
        <v>5860</v>
      </c>
      <c r="Q577" s="218">
        <f>SUM(K577:P577)</f>
        <v>5860</v>
      </c>
      <c r="R577" s="263" t="s">
        <v>38</v>
      </c>
      <c r="S577" s="266" t="s">
        <v>84</v>
      </c>
      <c r="T577" s="229"/>
    </row>
    <row r="578" spans="1:20" ht="26.1" hidden="1" customHeight="1">
      <c r="A578" s="208"/>
      <c r="B578" s="211"/>
      <c r="C578" s="211"/>
      <c r="D578" s="212"/>
      <c r="E578" s="210" t="str">
        <f>IFERROR(VLOOKUP($T578,공사현장대장!$A$5:$T$330,4),"")</f>
        <v/>
      </c>
      <c r="F578" s="212"/>
      <c r="G578" s="265"/>
      <c r="H578" s="265"/>
      <c r="I578" s="265"/>
      <c r="J578" s="265" t="str">
        <f>IFERROR(ROUND(VLOOKUP($T578,공사현장대장!$A$5:$T$330,9)/1000,0),"")</f>
        <v/>
      </c>
      <c r="K578" s="225"/>
      <c r="L578" s="209"/>
      <c r="M578" s="209"/>
      <c r="N578" s="209"/>
      <c r="O578" s="209"/>
      <c r="P578" s="209"/>
      <c r="Q578" s="209"/>
      <c r="R578" s="263" t="s">
        <v>38</v>
      </c>
      <c r="S578" s="266" t="s">
        <v>84</v>
      </c>
      <c r="T578" s="229"/>
    </row>
    <row r="579" spans="1:20" ht="26.1" hidden="1" customHeight="1">
      <c r="A579" s="208"/>
      <c r="B579" s="211"/>
      <c r="C579" s="211"/>
      <c r="D579" s="212"/>
      <c r="E579" s="210" t="str">
        <f>IFERROR(VLOOKUP($T579,공사현장대장!$A$5:$T$330,4),"")</f>
        <v/>
      </c>
      <c r="F579" s="212"/>
      <c r="G579" s="265"/>
      <c r="H579" s="265"/>
      <c r="I579" s="265"/>
      <c r="J579" s="265" t="str">
        <f>IFERROR(ROUND(VLOOKUP($T579,공사현장대장!$A$5:$T$330,9)/1000,0),"")</f>
        <v/>
      </c>
      <c r="K579" s="225"/>
      <c r="L579" s="209"/>
      <c r="M579" s="209"/>
      <c r="N579" s="209"/>
      <c r="O579" s="209"/>
      <c r="P579" s="209"/>
      <c r="Q579" s="209"/>
      <c r="R579" s="263" t="s">
        <v>38</v>
      </c>
      <c r="S579" s="266" t="s">
        <v>84</v>
      </c>
      <c r="T579" s="229"/>
    </row>
    <row r="580" spans="1:20" ht="26.1" hidden="1" customHeight="1">
      <c r="A580" s="208"/>
      <c r="B580" s="211"/>
      <c r="C580" s="211"/>
      <c r="D580" s="212"/>
      <c r="E580" s="210" t="str">
        <f>IFERROR(VLOOKUP($T580,공사현장대장!$A$5:$T$330,4),"")</f>
        <v/>
      </c>
      <c r="F580" s="212"/>
      <c r="G580" s="265"/>
      <c r="H580" s="265"/>
      <c r="I580" s="265"/>
      <c r="J580" s="265" t="str">
        <f>IFERROR(ROUND(VLOOKUP($T580,공사현장대장!$A$5:$T$330,9)/1000,0),"")</f>
        <v/>
      </c>
      <c r="K580" s="225"/>
      <c r="L580" s="209"/>
      <c r="M580" s="209"/>
      <c r="N580" s="209"/>
      <c r="O580" s="209"/>
      <c r="P580" s="209"/>
      <c r="Q580" s="209"/>
      <c r="R580" s="263" t="s">
        <v>38</v>
      </c>
      <c r="S580" s="266" t="s">
        <v>84</v>
      </c>
      <c r="T580" s="229"/>
    </row>
    <row r="581" spans="1:20" ht="26.1" hidden="1" customHeight="1">
      <c r="A581" s="324" t="s">
        <v>40</v>
      </c>
      <c r="B581" s="325"/>
      <c r="C581" s="325"/>
      <c r="D581" s="325"/>
      <c r="E581" s="326"/>
      <c r="F581" s="226"/>
      <c r="G581" s="267"/>
      <c r="H581" s="267"/>
      <c r="I581" s="267"/>
      <c r="J581" s="267"/>
      <c r="K581" s="227">
        <f t="shared" ref="K581:Q581" si="114">SUM(K577-SUM(K578:K580))</f>
        <v>0</v>
      </c>
      <c r="L581" s="227">
        <f t="shared" si="114"/>
        <v>0</v>
      </c>
      <c r="M581" s="227">
        <f t="shared" si="114"/>
        <v>0</v>
      </c>
      <c r="N581" s="227">
        <f t="shared" si="114"/>
        <v>0</v>
      </c>
      <c r="O581" s="227">
        <f t="shared" si="114"/>
        <v>0</v>
      </c>
      <c r="P581" s="227">
        <f t="shared" si="114"/>
        <v>5860</v>
      </c>
      <c r="Q581" s="227">
        <f t="shared" si="114"/>
        <v>5860</v>
      </c>
      <c r="R581" s="268" t="s">
        <v>38</v>
      </c>
      <c r="S581" s="269" t="s">
        <v>84</v>
      </c>
      <c r="T581" s="230"/>
    </row>
    <row r="582" spans="1:20" ht="26.1" hidden="1" customHeight="1">
      <c r="A582" s="213" t="s">
        <v>29</v>
      </c>
      <c r="B582" s="214" t="s">
        <v>50</v>
      </c>
      <c r="C582" s="214" t="s">
        <v>31</v>
      </c>
      <c r="D582" s="215" t="s">
        <v>263</v>
      </c>
      <c r="E582" s="216" t="s">
        <v>162</v>
      </c>
      <c r="F582" s="215" t="s">
        <v>275</v>
      </c>
      <c r="G582" s="262" t="s">
        <v>46</v>
      </c>
      <c r="H582" s="262" t="s">
        <v>47</v>
      </c>
      <c r="I582" s="262" t="s">
        <v>48</v>
      </c>
      <c r="J582" s="262">
        <f>SUM(J583:J585)</f>
        <v>0</v>
      </c>
      <c r="K582" s="217"/>
      <c r="L582" s="218"/>
      <c r="M582" s="218"/>
      <c r="N582" s="218"/>
      <c r="O582" s="218"/>
      <c r="P582" s="218">
        <v>17531</v>
      </c>
      <c r="Q582" s="218">
        <f>SUM(K582:P582)</f>
        <v>17531</v>
      </c>
      <c r="R582" s="263" t="s">
        <v>38</v>
      </c>
      <c r="S582" s="266" t="s">
        <v>84</v>
      </c>
      <c r="T582" s="229"/>
    </row>
    <row r="583" spans="1:20" ht="26.1" hidden="1" customHeight="1">
      <c r="A583" s="208"/>
      <c r="B583" s="211"/>
      <c r="C583" s="211"/>
      <c r="D583" s="212"/>
      <c r="E583" s="210" t="str">
        <f>IFERROR(VLOOKUP($T583,공사현장대장!$A$5:$T$330,4),"")</f>
        <v/>
      </c>
      <c r="F583" s="212"/>
      <c r="G583" s="265"/>
      <c r="H583" s="265"/>
      <c r="I583" s="265"/>
      <c r="J583" s="265" t="str">
        <f>IFERROR(ROUND(VLOOKUP($T583,공사현장대장!$A$5:$T$330,9)/1000,0),"")</f>
        <v/>
      </c>
      <c r="K583" s="225"/>
      <c r="L583" s="209"/>
      <c r="M583" s="209"/>
      <c r="N583" s="209"/>
      <c r="O583" s="209"/>
      <c r="P583" s="209"/>
      <c r="Q583" s="209"/>
      <c r="R583" s="263" t="s">
        <v>38</v>
      </c>
      <c r="S583" s="266" t="s">
        <v>84</v>
      </c>
      <c r="T583" s="229"/>
    </row>
    <row r="584" spans="1:20" ht="26.1" hidden="1" customHeight="1">
      <c r="A584" s="208"/>
      <c r="B584" s="211"/>
      <c r="C584" s="211"/>
      <c r="D584" s="212"/>
      <c r="E584" s="210" t="str">
        <f>IFERROR(VLOOKUP($T584,공사현장대장!$A$5:$T$330,4),"")</f>
        <v/>
      </c>
      <c r="F584" s="212"/>
      <c r="G584" s="265"/>
      <c r="H584" s="265"/>
      <c r="I584" s="265"/>
      <c r="J584" s="265" t="str">
        <f>IFERROR(ROUND(VLOOKUP($T584,공사현장대장!$A$5:$T$330,9)/1000,0),"")</f>
        <v/>
      </c>
      <c r="K584" s="225"/>
      <c r="L584" s="209"/>
      <c r="M584" s="209"/>
      <c r="N584" s="209"/>
      <c r="O584" s="209"/>
      <c r="P584" s="209"/>
      <c r="Q584" s="209"/>
      <c r="R584" s="263" t="s">
        <v>38</v>
      </c>
      <c r="S584" s="266" t="s">
        <v>84</v>
      </c>
      <c r="T584" s="229"/>
    </row>
    <row r="585" spans="1:20" ht="26.1" hidden="1" customHeight="1">
      <c r="A585" s="208"/>
      <c r="B585" s="211"/>
      <c r="C585" s="211"/>
      <c r="D585" s="212"/>
      <c r="E585" s="210" t="str">
        <f>IFERROR(VLOOKUP($T585,공사현장대장!$A$5:$T$330,4),"")</f>
        <v/>
      </c>
      <c r="F585" s="212"/>
      <c r="G585" s="265"/>
      <c r="H585" s="265"/>
      <c r="I585" s="265"/>
      <c r="J585" s="265" t="str">
        <f>IFERROR(ROUND(VLOOKUP($T585,공사현장대장!$A$5:$T$330,9)/1000,0),"")</f>
        <v/>
      </c>
      <c r="K585" s="225"/>
      <c r="L585" s="209"/>
      <c r="M585" s="209"/>
      <c r="N585" s="209"/>
      <c r="O585" s="209"/>
      <c r="P585" s="209"/>
      <c r="Q585" s="209"/>
      <c r="R585" s="263" t="s">
        <v>38</v>
      </c>
      <c r="S585" s="266" t="s">
        <v>84</v>
      </c>
      <c r="T585" s="229"/>
    </row>
    <row r="586" spans="1:20" ht="26.1" hidden="1" customHeight="1">
      <c r="A586" s="324" t="s">
        <v>40</v>
      </c>
      <c r="B586" s="325"/>
      <c r="C586" s="325"/>
      <c r="D586" s="325"/>
      <c r="E586" s="326"/>
      <c r="F586" s="226"/>
      <c r="G586" s="267"/>
      <c r="H586" s="267"/>
      <c r="I586" s="267"/>
      <c r="J586" s="267"/>
      <c r="K586" s="227">
        <f t="shared" ref="K586:Q586" si="115">SUM(K582-SUM(K583:K585))</f>
        <v>0</v>
      </c>
      <c r="L586" s="227">
        <f t="shared" si="115"/>
        <v>0</v>
      </c>
      <c r="M586" s="227">
        <f t="shared" si="115"/>
        <v>0</v>
      </c>
      <c r="N586" s="227">
        <f t="shared" si="115"/>
        <v>0</v>
      </c>
      <c r="O586" s="227">
        <f t="shared" si="115"/>
        <v>0</v>
      </c>
      <c r="P586" s="227">
        <f t="shared" si="115"/>
        <v>17531</v>
      </c>
      <c r="Q586" s="227">
        <f t="shared" si="115"/>
        <v>17531</v>
      </c>
      <c r="R586" s="268" t="s">
        <v>38</v>
      </c>
      <c r="S586" s="269" t="s">
        <v>84</v>
      </c>
      <c r="T586" s="230"/>
    </row>
    <row r="587" spans="1:20" ht="26.1" hidden="1" customHeight="1">
      <c r="A587" s="213" t="s">
        <v>29</v>
      </c>
      <c r="B587" s="214" t="s">
        <v>50</v>
      </c>
      <c r="C587" s="214" t="s">
        <v>31</v>
      </c>
      <c r="D587" s="215" t="s">
        <v>263</v>
      </c>
      <c r="E587" s="216" t="s">
        <v>79</v>
      </c>
      <c r="F587" s="215" t="s">
        <v>276</v>
      </c>
      <c r="G587" s="262" t="s">
        <v>46</v>
      </c>
      <c r="H587" s="262" t="s">
        <v>47</v>
      </c>
      <c r="I587" s="262" t="s">
        <v>48</v>
      </c>
      <c r="J587" s="262">
        <f>SUM(J588:J590)</f>
        <v>0</v>
      </c>
      <c r="K587" s="217"/>
      <c r="L587" s="218"/>
      <c r="M587" s="218"/>
      <c r="N587" s="218"/>
      <c r="O587" s="218"/>
      <c r="P587" s="218">
        <v>3692</v>
      </c>
      <c r="Q587" s="218">
        <f>SUM(K587:P587)</f>
        <v>3692</v>
      </c>
      <c r="R587" s="263" t="s">
        <v>38</v>
      </c>
      <c r="S587" s="266" t="s">
        <v>84</v>
      </c>
      <c r="T587" s="229"/>
    </row>
    <row r="588" spans="1:20" ht="26.1" hidden="1" customHeight="1">
      <c r="A588" s="208"/>
      <c r="B588" s="211"/>
      <c r="C588" s="211"/>
      <c r="D588" s="212"/>
      <c r="E588" s="210" t="str">
        <f>IFERROR(VLOOKUP($T588,공사현장대장!$A$5:$T$330,4),"")</f>
        <v/>
      </c>
      <c r="F588" s="212"/>
      <c r="G588" s="265"/>
      <c r="H588" s="265"/>
      <c r="I588" s="265"/>
      <c r="J588" s="265" t="str">
        <f>IFERROR(ROUND(VLOOKUP($T588,공사현장대장!$A$5:$T$330,9)/1000,0),"")</f>
        <v/>
      </c>
      <c r="K588" s="225"/>
      <c r="L588" s="209"/>
      <c r="M588" s="209"/>
      <c r="N588" s="209"/>
      <c r="O588" s="209"/>
      <c r="P588" s="209"/>
      <c r="Q588" s="209"/>
      <c r="R588" s="263" t="s">
        <v>38</v>
      </c>
      <c r="S588" s="266" t="s">
        <v>84</v>
      </c>
      <c r="T588" s="229"/>
    </row>
    <row r="589" spans="1:20" ht="26.1" hidden="1" customHeight="1">
      <c r="A589" s="208"/>
      <c r="B589" s="211"/>
      <c r="C589" s="211"/>
      <c r="D589" s="212"/>
      <c r="E589" s="210" t="str">
        <f>IFERROR(VLOOKUP($T589,공사현장대장!$A$5:$T$330,4),"")</f>
        <v/>
      </c>
      <c r="F589" s="212"/>
      <c r="G589" s="265"/>
      <c r="H589" s="265"/>
      <c r="I589" s="265"/>
      <c r="J589" s="265" t="str">
        <f>IFERROR(ROUND(VLOOKUP($T589,공사현장대장!$A$5:$T$330,9)/1000,0),"")</f>
        <v/>
      </c>
      <c r="K589" s="225"/>
      <c r="L589" s="209"/>
      <c r="M589" s="209"/>
      <c r="N589" s="209"/>
      <c r="O589" s="209"/>
      <c r="P589" s="209"/>
      <c r="Q589" s="209"/>
      <c r="R589" s="263" t="s">
        <v>38</v>
      </c>
      <c r="S589" s="266" t="s">
        <v>84</v>
      </c>
      <c r="T589" s="229"/>
    </row>
    <row r="590" spans="1:20" ht="26.1" hidden="1" customHeight="1">
      <c r="A590" s="208"/>
      <c r="B590" s="211"/>
      <c r="C590" s="211"/>
      <c r="D590" s="212"/>
      <c r="E590" s="210" t="str">
        <f>IFERROR(VLOOKUP($T590,공사현장대장!$A$5:$T$330,4),"")</f>
        <v/>
      </c>
      <c r="F590" s="212"/>
      <c r="G590" s="265"/>
      <c r="H590" s="265"/>
      <c r="I590" s="265"/>
      <c r="J590" s="265" t="str">
        <f>IFERROR(ROUND(VLOOKUP($T590,공사현장대장!$A$5:$T$330,9)/1000,0),"")</f>
        <v/>
      </c>
      <c r="K590" s="225"/>
      <c r="L590" s="209"/>
      <c r="M590" s="209"/>
      <c r="N590" s="209"/>
      <c r="O590" s="209"/>
      <c r="P590" s="209"/>
      <c r="Q590" s="209"/>
      <c r="R590" s="263" t="s">
        <v>38</v>
      </c>
      <c r="S590" s="266" t="s">
        <v>84</v>
      </c>
      <c r="T590" s="229"/>
    </row>
    <row r="591" spans="1:20" ht="26.1" hidden="1" customHeight="1">
      <c r="A591" s="324" t="s">
        <v>40</v>
      </c>
      <c r="B591" s="325"/>
      <c r="C591" s="325"/>
      <c r="D591" s="325"/>
      <c r="E591" s="326"/>
      <c r="F591" s="226"/>
      <c r="G591" s="267"/>
      <c r="H591" s="267"/>
      <c r="I591" s="267"/>
      <c r="J591" s="267"/>
      <c r="K591" s="227">
        <f t="shared" ref="K591:Q591" si="116">SUM(K587-SUM(K588:K590))</f>
        <v>0</v>
      </c>
      <c r="L591" s="227">
        <f t="shared" si="116"/>
        <v>0</v>
      </c>
      <c r="M591" s="227">
        <f t="shared" si="116"/>
        <v>0</v>
      </c>
      <c r="N591" s="227">
        <f t="shared" si="116"/>
        <v>0</v>
      </c>
      <c r="O591" s="227">
        <f t="shared" si="116"/>
        <v>0</v>
      </c>
      <c r="P591" s="227">
        <f t="shared" si="116"/>
        <v>3692</v>
      </c>
      <c r="Q591" s="227">
        <f t="shared" si="116"/>
        <v>3692</v>
      </c>
      <c r="R591" s="268" t="s">
        <v>38</v>
      </c>
      <c r="S591" s="269" t="s">
        <v>84</v>
      </c>
      <c r="T591" s="230"/>
    </row>
    <row r="592" spans="1:20" ht="26.1" hidden="1" customHeight="1">
      <c r="A592" s="213" t="s">
        <v>29</v>
      </c>
      <c r="B592" s="214" t="s">
        <v>50</v>
      </c>
      <c r="C592" s="214" t="s">
        <v>31</v>
      </c>
      <c r="D592" s="215" t="s">
        <v>263</v>
      </c>
      <c r="E592" s="216" t="s">
        <v>277</v>
      </c>
      <c r="F592" s="215" t="s">
        <v>278</v>
      </c>
      <c r="G592" s="262" t="s">
        <v>46</v>
      </c>
      <c r="H592" s="262" t="s">
        <v>47</v>
      </c>
      <c r="I592" s="262" t="s">
        <v>48</v>
      </c>
      <c r="J592" s="262">
        <f>SUM(J593:J595)</f>
        <v>0</v>
      </c>
      <c r="K592" s="217"/>
      <c r="L592" s="218"/>
      <c r="M592" s="218"/>
      <c r="N592" s="218"/>
      <c r="O592" s="218"/>
      <c r="P592" s="218">
        <v>32420</v>
      </c>
      <c r="Q592" s="218">
        <f>SUM(K592:P592)</f>
        <v>32420</v>
      </c>
      <c r="R592" s="263" t="s">
        <v>38</v>
      </c>
      <c r="S592" s="266" t="s">
        <v>84</v>
      </c>
      <c r="T592" s="229"/>
    </row>
    <row r="593" spans="1:20" ht="26.1" hidden="1" customHeight="1">
      <c r="A593" s="208"/>
      <c r="B593" s="211"/>
      <c r="C593" s="211"/>
      <c r="D593" s="212"/>
      <c r="E593" s="210" t="str">
        <f>IFERROR(VLOOKUP($T593,공사현장대장!$A$5:$T$330,4),"")</f>
        <v/>
      </c>
      <c r="F593" s="212"/>
      <c r="G593" s="265"/>
      <c r="H593" s="265"/>
      <c r="I593" s="265"/>
      <c r="J593" s="265" t="str">
        <f>IFERROR(ROUND(VLOOKUP($T593,공사현장대장!$A$5:$T$330,9)/1000,0),"")</f>
        <v/>
      </c>
      <c r="K593" s="225"/>
      <c r="L593" s="209"/>
      <c r="M593" s="209"/>
      <c r="N593" s="209"/>
      <c r="O593" s="209"/>
      <c r="P593" s="209"/>
      <c r="Q593" s="209"/>
      <c r="R593" s="263" t="s">
        <v>38</v>
      </c>
      <c r="S593" s="266" t="s">
        <v>84</v>
      </c>
      <c r="T593" s="229"/>
    </row>
    <row r="594" spans="1:20" ht="26.1" hidden="1" customHeight="1">
      <c r="A594" s="208"/>
      <c r="B594" s="211"/>
      <c r="C594" s="211"/>
      <c r="D594" s="212"/>
      <c r="E594" s="210" t="str">
        <f>IFERROR(VLOOKUP($T594,공사현장대장!$A$5:$T$330,4),"")</f>
        <v/>
      </c>
      <c r="F594" s="212"/>
      <c r="G594" s="265"/>
      <c r="H594" s="265"/>
      <c r="I594" s="265"/>
      <c r="J594" s="265" t="str">
        <f>IFERROR(ROUND(VLOOKUP($T594,공사현장대장!$A$5:$T$330,9)/1000,0),"")</f>
        <v/>
      </c>
      <c r="K594" s="225"/>
      <c r="L594" s="209"/>
      <c r="M594" s="209"/>
      <c r="N594" s="209"/>
      <c r="O594" s="209"/>
      <c r="P594" s="209"/>
      <c r="Q594" s="209"/>
      <c r="R594" s="263" t="s">
        <v>38</v>
      </c>
      <c r="S594" s="266" t="s">
        <v>84</v>
      </c>
      <c r="T594" s="229"/>
    </row>
    <row r="595" spans="1:20" ht="26.1" hidden="1" customHeight="1">
      <c r="A595" s="208"/>
      <c r="B595" s="211"/>
      <c r="C595" s="211"/>
      <c r="D595" s="212"/>
      <c r="E595" s="210" t="str">
        <f>IFERROR(VLOOKUP($T595,공사현장대장!$A$5:$T$330,4),"")</f>
        <v/>
      </c>
      <c r="F595" s="212"/>
      <c r="G595" s="265"/>
      <c r="H595" s="265"/>
      <c r="I595" s="265"/>
      <c r="J595" s="265" t="str">
        <f>IFERROR(ROUND(VLOOKUP($T595,공사현장대장!$A$5:$T$330,9)/1000,0),"")</f>
        <v/>
      </c>
      <c r="K595" s="225"/>
      <c r="L595" s="209"/>
      <c r="M595" s="209"/>
      <c r="N595" s="209"/>
      <c r="O595" s="209"/>
      <c r="P595" s="209"/>
      <c r="Q595" s="209"/>
      <c r="R595" s="263" t="s">
        <v>38</v>
      </c>
      <c r="S595" s="266" t="s">
        <v>84</v>
      </c>
      <c r="T595" s="229"/>
    </row>
    <row r="596" spans="1:20" ht="26.1" hidden="1" customHeight="1">
      <c r="A596" s="324" t="s">
        <v>40</v>
      </c>
      <c r="B596" s="325"/>
      <c r="C596" s="325"/>
      <c r="D596" s="325"/>
      <c r="E596" s="326"/>
      <c r="F596" s="226"/>
      <c r="G596" s="267"/>
      <c r="H596" s="267"/>
      <c r="I596" s="267"/>
      <c r="J596" s="267"/>
      <c r="K596" s="227">
        <f t="shared" ref="K596:Q596" si="117">SUM(K592-SUM(K593:K595))</f>
        <v>0</v>
      </c>
      <c r="L596" s="227">
        <f t="shared" si="117"/>
        <v>0</v>
      </c>
      <c r="M596" s="227">
        <f t="shared" si="117"/>
        <v>0</v>
      </c>
      <c r="N596" s="227">
        <f t="shared" si="117"/>
        <v>0</v>
      </c>
      <c r="O596" s="227">
        <f t="shared" si="117"/>
        <v>0</v>
      </c>
      <c r="P596" s="227">
        <f t="shared" si="117"/>
        <v>32420</v>
      </c>
      <c r="Q596" s="227">
        <f t="shared" si="117"/>
        <v>32420</v>
      </c>
      <c r="R596" s="268" t="s">
        <v>38</v>
      </c>
      <c r="S596" s="269" t="s">
        <v>84</v>
      </c>
      <c r="T596" s="230"/>
    </row>
    <row r="597" spans="1:20" ht="26.1" hidden="1" customHeight="1">
      <c r="A597" s="213" t="s">
        <v>29</v>
      </c>
      <c r="B597" s="214" t="s">
        <v>50</v>
      </c>
      <c r="C597" s="214" t="s">
        <v>31</v>
      </c>
      <c r="D597" s="215" t="s">
        <v>263</v>
      </c>
      <c r="E597" s="216" t="s">
        <v>279</v>
      </c>
      <c r="F597" s="215" t="s">
        <v>280</v>
      </c>
      <c r="G597" s="262" t="s">
        <v>46</v>
      </c>
      <c r="H597" s="262" t="s">
        <v>107</v>
      </c>
      <c r="I597" s="262" t="s">
        <v>108</v>
      </c>
      <c r="J597" s="262">
        <f>SUM(J598:J600)</f>
        <v>0</v>
      </c>
      <c r="K597" s="217">
        <v>1998</v>
      </c>
      <c r="L597" s="218">
        <v>0</v>
      </c>
      <c r="M597" s="218">
        <v>0</v>
      </c>
      <c r="N597" s="218"/>
      <c r="O597" s="218"/>
      <c r="P597" s="218"/>
      <c r="Q597" s="218">
        <f>SUM(K597:P597)</f>
        <v>1998</v>
      </c>
      <c r="R597" s="263" t="s">
        <v>76</v>
      </c>
      <c r="S597" s="266" t="s">
        <v>84</v>
      </c>
      <c r="T597" s="229"/>
    </row>
    <row r="598" spans="1:20" ht="26.1" hidden="1" customHeight="1">
      <c r="A598" s="208"/>
      <c r="B598" s="211"/>
      <c r="C598" s="211"/>
      <c r="D598" s="212"/>
      <c r="E598" s="210" t="str">
        <f>IFERROR(VLOOKUP($T598,공사현장대장!$A$5:$T$330,4),"")</f>
        <v/>
      </c>
      <c r="F598" s="212"/>
      <c r="G598" s="265"/>
      <c r="H598" s="265"/>
      <c r="I598" s="265"/>
      <c r="J598" s="265" t="str">
        <f>IFERROR(ROUND(VLOOKUP($T598,공사현장대장!$A$5:$T$330,9)/1000,0),"")</f>
        <v/>
      </c>
      <c r="K598" s="225"/>
      <c r="L598" s="209"/>
      <c r="M598" s="209"/>
      <c r="N598" s="209"/>
      <c r="O598" s="209"/>
      <c r="P598" s="209"/>
      <c r="Q598" s="209"/>
      <c r="R598" s="263" t="s">
        <v>76</v>
      </c>
      <c r="S598" s="266" t="s">
        <v>84</v>
      </c>
      <c r="T598" s="229"/>
    </row>
    <row r="599" spans="1:20" ht="26.1" hidden="1" customHeight="1">
      <c r="A599" s="208"/>
      <c r="B599" s="211"/>
      <c r="C599" s="211"/>
      <c r="D599" s="212"/>
      <c r="E599" s="210" t="str">
        <f>IFERROR(VLOOKUP($T599,공사현장대장!$A$5:$T$330,4),"")</f>
        <v/>
      </c>
      <c r="F599" s="212"/>
      <c r="G599" s="265"/>
      <c r="H599" s="265"/>
      <c r="I599" s="265"/>
      <c r="J599" s="265" t="str">
        <f>IFERROR(ROUND(VLOOKUP($T599,공사현장대장!$A$5:$T$330,9)/1000,0),"")</f>
        <v/>
      </c>
      <c r="K599" s="225"/>
      <c r="L599" s="209"/>
      <c r="M599" s="209"/>
      <c r="N599" s="209"/>
      <c r="O599" s="209"/>
      <c r="P599" s="209"/>
      <c r="Q599" s="209"/>
      <c r="R599" s="263" t="s">
        <v>76</v>
      </c>
      <c r="S599" s="266" t="s">
        <v>84</v>
      </c>
      <c r="T599" s="229"/>
    </row>
    <row r="600" spans="1:20" ht="26.1" hidden="1" customHeight="1">
      <c r="A600" s="208"/>
      <c r="B600" s="211"/>
      <c r="C600" s="211"/>
      <c r="D600" s="212"/>
      <c r="E600" s="210" t="str">
        <f>IFERROR(VLOOKUP($T600,공사현장대장!$A$5:$T$330,4),"")</f>
        <v/>
      </c>
      <c r="F600" s="212"/>
      <c r="G600" s="265"/>
      <c r="H600" s="265"/>
      <c r="I600" s="265"/>
      <c r="J600" s="265" t="str">
        <f>IFERROR(ROUND(VLOOKUP($T600,공사현장대장!$A$5:$T$330,9)/1000,0),"")</f>
        <v/>
      </c>
      <c r="K600" s="225"/>
      <c r="L600" s="209"/>
      <c r="M600" s="209"/>
      <c r="N600" s="209"/>
      <c r="O600" s="209"/>
      <c r="P600" s="209"/>
      <c r="Q600" s="209"/>
      <c r="R600" s="263" t="s">
        <v>76</v>
      </c>
      <c r="S600" s="266" t="s">
        <v>84</v>
      </c>
      <c r="T600" s="229"/>
    </row>
    <row r="601" spans="1:20" ht="26.1" hidden="1" customHeight="1">
      <c r="A601" s="324" t="s">
        <v>40</v>
      </c>
      <c r="B601" s="325"/>
      <c r="C601" s="325"/>
      <c r="D601" s="325"/>
      <c r="E601" s="326"/>
      <c r="F601" s="226"/>
      <c r="G601" s="267"/>
      <c r="H601" s="267"/>
      <c r="I601" s="267"/>
      <c r="J601" s="267"/>
      <c r="K601" s="227">
        <f t="shared" ref="K601:Q601" si="118">SUM(K597-SUM(K598:K600))</f>
        <v>1998</v>
      </c>
      <c r="L601" s="227">
        <f t="shared" si="118"/>
        <v>0</v>
      </c>
      <c r="M601" s="227">
        <f t="shared" si="118"/>
        <v>0</v>
      </c>
      <c r="N601" s="227">
        <f t="shared" si="118"/>
        <v>0</v>
      </c>
      <c r="O601" s="227">
        <f t="shared" si="118"/>
        <v>0</v>
      </c>
      <c r="P601" s="227">
        <f t="shared" si="118"/>
        <v>0</v>
      </c>
      <c r="Q601" s="227">
        <f t="shared" si="118"/>
        <v>1998</v>
      </c>
      <c r="R601" s="268" t="s">
        <v>76</v>
      </c>
      <c r="S601" s="269" t="s">
        <v>84</v>
      </c>
      <c r="T601" s="230"/>
    </row>
    <row r="602" spans="1:20" ht="26.1" hidden="1" customHeight="1">
      <c r="A602" s="213" t="s">
        <v>29</v>
      </c>
      <c r="B602" s="214" t="s">
        <v>50</v>
      </c>
      <c r="C602" s="214" t="s">
        <v>31</v>
      </c>
      <c r="D602" s="215" t="s">
        <v>263</v>
      </c>
      <c r="E602" s="216" t="s">
        <v>281</v>
      </c>
      <c r="F602" s="215" t="s">
        <v>282</v>
      </c>
      <c r="G602" s="262" t="s">
        <v>46</v>
      </c>
      <c r="H602" s="262" t="s">
        <v>107</v>
      </c>
      <c r="I602" s="262" t="s">
        <v>108</v>
      </c>
      <c r="J602" s="262">
        <f>SUM(J603:J605)</f>
        <v>0</v>
      </c>
      <c r="K602" s="217">
        <v>11976</v>
      </c>
      <c r="L602" s="218">
        <v>0</v>
      </c>
      <c r="M602" s="218">
        <v>0</v>
      </c>
      <c r="N602" s="218"/>
      <c r="O602" s="218"/>
      <c r="P602" s="218"/>
      <c r="Q602" s="218">
        <f>SUM(K602:P602)</f>
        <v>11976</v>
      </c>
      <c r="R602" s="263" t="s">
        <v>76</v>
      </c>
      <c r="S602" s="266" t="s">
        <v>84</v>
      </c>
      <c r="T602" s="229"/>
    </row>
    <row r="603" spans="1:20" ht="26.1" hidden="1" customHeight="1">
      <c r="A603" s="208"/>
      <c r="B603" s="211"/>
      <c r="C603" s="211"/>
      <c r="D603" s="212"/>
      <c r="E603" s="210" t="str">
        <f>IFERROR(VLOOKUP($T603,공사현장대장!$A$5:$T$330,4),"")</f>
        <v/>
      </c>
      <c r="F603" s="212"/>
      <c r="G603" s="265"/>
      <c r="H603" s="265"/>
      <c r="I603" s="265"/>
      <c r="J603" s="265" t="str">
        <f>IFERROR(ROUND(VLOOKUP($T603,공사현장대장!$A$5:$T$330,9)/1000,0),"")</f>
        <v/>
      </c>
      <c r="K603" s="225"/>
      <c r="L603" s="209"/>
      <c r="M603" s="209"/>
      <c r="N603" s="209"/>
      <c r="O603" s="209"/>
      <c r="P603" s="209"/>
      <c r="Q603" s="209"/>
      <c r="R603" s="263" t="s">
        <v>76</v>
      </c>
      <c r="S603" s="266" t="s">
        <v>84</v>
      </c>
      <c r="T603" s="229"/>
    </row>
    <row r="604" spans="1:20" ht="26.1" hidden="1" customHeight="1">
      <c r="A604" s="208"/>
      <c r="B604" s="211"/>
      <c r="C604" s="211"/>
      <c r="D604" s="212"/>
      <c r="E604" s="210" t="str">
        <f>IFERROR(VLOOKUP($T604,공사현장대장!$A$5:$T$330,4),"")</f>
        <v/>
      </c>
      <c r="F604" s="212"/>
      <c r="G604" s="265"/>
      <c r="H604" s="265"/>
      <c r="I604" s="265"/>
      <c r="J604" s="265" t="str">
        <f>IFERROR(ROUND(VLOOKUP($T604,공사현장대장!$A$5:$T$330,9)/1000,0),"")</f>
        <v/>
      </c>
      <c r="K604" s="225"/>
      <c r="L604" s="209"/>
      <c r="M604" s="209"/>
      <c r="N604" s="209"/>
      <c r="O604" s="209"/>
      <c r="P604" s="209"/>
      <c r="Q604" s="209"/>
      <c r="R604" s="263" t="s">
        <v>76</v>
      </c>
      <c r="S604" s="266" t="s">
        <v>84</v>
      </c>
      <c r="T604" s="229"/>
    </row>
    <row r="605" spans="1:20" ht="26.1" hidden="1" customHeight="1">
      <c r="A605" s="208"/>
      <c r="B605" s="211"/>
      <c r="C605" s="211"/>
      <c r="D605" s="212"/>
      <c r="E605" s="210" t="str">
        <f>IFERROR(VLOOKUP($T605,공사현장대장!$A$5:$T$330,4),"")</f>
        <v/>
      </c>
      <c r="F605" s="212"/>
      <c r="G605" s="265"/>
      <c r="H605" s="265"/>
      <c r="I605" s="265"/>
      <c r="J605" s="265" t="str">
        <f>IFERROR(ROUND(VLOOKUP($T605,공사현장대장!$A$5:$T$330,9)/1000,0),"")</f>
        <v/>
      </c>
      <c r="K605" s="225"/>
      <c r="L605" s="209"/>
      <c r="M605" s="209"/>
      <c r="N605" s="209"/>
      <c r="O605" s="209"/>
      <c r="P605" s="209"/>
      <c r="Q605" s="209"/>
      <c r="R605" s="263" t="s">
        <v>76</v>
      </c>
      <c r="S605" s="266" t="s">
        <v>84</v>
      </c>
      <c r="T605" s="229"/>
    </row>
    <row r="606" spans="1:20" ht="26.1" hidden="1" customHeight="1">
      <c r="A606" s="324" t="s">
        <v>40</v>
      </c>
      <c r="B606" s="325"/>
      <c r="C606" s="325"/>
      <c r="D606" s="325"/>
      <c r="E606" s="326"/>
      <c r="F606" s="226"/>
      <c r="G606" s="267"/>
      <c r="H606" s="267"/>
      <c r="I606" s="267"/>
      <c r="J606" s="267"/>
      <c r="K606" s="227">
        <f t="shared" ref="K606:Q606" si="119">SUM(K602-SUM(K603:K605))</f>
        <v>11976</v>
      </c>
      <c r="L606" s="227">
        <f t="shared" si="119"/>
        <v>0</v>
      </c>
      <c r="M606" s="227">
        <f t="shared" si="119"/>
        <v>0</v>
      </c>
      <c r="N606" s="227">
        <f t="shared" si="119"/>
        <v>0</v>
      </c>
      <c r="O606" s="227">
        <f t="shared" si="119"/>
        <v>0</v>
      </c>
      <c r="P606" s="227">
        <f t="shared" si="119"/>
        <v>0</v>
      </c>
      <c r="Q606" s="227">
        <f t="shared" si="119"/>
        <v>11976</v>
      </c>
      <c r="R606" s="268" t="s">
        <v>76</v>
      </c>
      <c r="S606" s="269" t="s">
        <v>84</v>
      </c>
      <c r="T606" s="230"/>
    </row>
    <row r="607" spans="1:20" ht="26.1" hidden="1" customHeight="1">
      <c r="A607" s="213" t="s">
        <v>29</v>
      </c>
      <c r="B607" s="214" t="s">
        <v>50</v>
      </c>
      <c r="C607" s="214" t="s">
        <v>31</v>
      </c>
      <c r="D607" s="215" t="s">
        <v>283</v>
      </c>
      <c r="E607" s="216" t="s">
        <v>284</v>
      </c>
      <c r="F607" s="215" t="s">
        <v>285</v>
      </c>
      <c r="G607" s="262" t="s">
        <v>46</v>
      </c>
      <c r="H607" s="262" t="s">
        <v>54</v>
      </c>
      <c r="I607" s="262" t="s">
        <v>55</v>
      </c>
      <c r="J607" s="262">
        <f>SUM(J608:J610)</f>
        <v>0</v>
      </c>
      <c r="K607" s="217"/>
      <c r="L607" s="218">
        <v>154000</v>
      </c>
      <c r="M607" s="218"/>
      <c r="N607" s="218"/>
      <c r="O607" s="218"/>
      <c r="P607" s="218"/>
      <c r="Q607" s="218">
        <f>SUM(K607:P607)</f>
        <v>154000</v>
      </c>
      <c r="R607" s="263" t="s">
        <v>38</v>
      </c>
      <c r="S607" s="266" t="s">
        <v>84</v>
      </c>
      <c r="T607" s="229"/>
    </row>
    <row r="608" spans="1:20" ht="26.1" hidden="1" customHeight="1">
      <c r="A608" s="208"/>
      <c r="B608" s="211"/>
      <c r="C608" s="211"/>
      <c r="D608" s="212"/>
      <c r="E608" s="210" t="str">
        <f>IFERROR(VLOOKUP($T608,공사현장대장!$A$5:$T$330,4),"")</f>
        <v/>
      </c>
      <c r="F608" s="212"/>
      <c r="G608" s="265"/>
      <c r="H608" s="265"/>
      <c r="I608" s="265"/>
      <c r="J608" s="265" t="str">
        <f>IFERROR(ROUND(VLOOKUP($T608,공사현장대장!$A$5:$T$330,9)/1000,0),"")</f>
        <v/>
      </c>
      <c r="K608" s="225"/>
      <c r="L608" s="209"/>
      <c r="M608" s="209"/>
      <c r="N608" s="209"/>
      <c r="O608" s="209"/>
      <c r="P608" s="209"/>
      <c r="Q608" s="209"/>
      <c r="R608" s="263" t="s">
        <v>38</v>
      </c>
      <c r="S608" s="266" t="s">
        <v>84</v>
      </c>
      <c r="T608" s="229"/>
    </row>
    <row r="609" spans="1:20" ht="26.1" hidden="1" customHeight="1">
      <c r="A609" s="208"/>
      <c r="B609" s="211"/>
      <c r="C609" s="211"/>
      <c r="D609" s="212"/>
      <c r="E609" s="210" t="str">
        <f>IFERROR(VLOOKUP($T609,공사현장대장!$A$5:$T$330,4),"")</f>
        <v/>
      </c>
      <c r="F609" s="212"/>
      <c r="G609" s="265"/>
      <c r="H609" s="265"/>
      <c r="I609" s="265"/>
      <c r="J609" s="265" t="str">
        <f>IFERROR(ROUND(VLOOKUP($T609,공사현장대장!$A$5:$T$330,9)/1000,0),"")</f>
        <v/>
      </c>
      <c r="K609" s="225"/>
      <c r="L609" s="209"/>
      <c r="M609" s="209"/>
      <c r="N609" s="209"/>
      <c r="O609" s="209"/>
      <c r="P609" s="209"/>
      <c r="Q609" s="209"/>
      <c r="R609" s="263" t="s">
        <v>38</v>
      </c>
      <c r="S609" s="266" t="s">
        <v>84</v>
      </c>
      <c r="T609" s="229"/>
    </row>
    <row r="610" spans="1:20" ht="26.1" hidden="1" customHeight="1">
      <c r="A610" s="208"/>
      <c r="B610" s="211"/>
      <c r="C610" s="211"/>
      <c r="D610" s="212"/>
      <c r="E610" s="210" t="str">
        <f>IFERROR(VLOOKUP($T610,공사현장대장!$A$5:$T$330,4),"")</f>
        <v/>
      </c>
      <c r="F610" s="212"/>
      <c r="G610" s="265"/>
      <c r="H610" s="265"/>
      <c r="I610" s="265"/>
      <c r="J610" s="265" t="str">
        <f>IFERROR(ROUND(VLOOKUP($T610,공사현장대장!$A$5:$T$330,9)/1000,0),"")</f>
        <v/>
      </c>
      <c r="K610" s="225"/>
      <c r="L610" s="209"/>
      <c r="M610" s="209"/>
      <c r="N610" s="209"/>
      <c r="O610" s="209"/>
      <c r="P610" s="209"/>
      <c r="Q610" s="209"/>
      <c r="R610" s="263" t="s">
        <v>38</v>
      </c>
      <c r="S610" s="266" t="s">
        <v>84</v>
      </c>
      <c r="T610" s="229"/>
    </row>
    <row r="611" spans="1:20" ht="26.1" hidden="1" customHeight="1">
      <c r="A611" s="324" t="s">
        <v>40</v>
      </c>
      <c r="B611" s="325"/>
      <c r="C611" s="325"/>
      <c r="D611" s="325"/>
      <c r="E611" s="326"/>
      <c r="F611" s="226"/>
      <c r="G611" s="267"/>
      <c r="H611" s="267"/>
      <c r="I611" s="267"/>
      <c r="J611" s="267"/>
      <c r="K611" s="227">
        <f t="shared" ref="K611:Q611" si="120">SUM(K607-SUM(K608:K610))</f>
        <v>0</v>
      </c>
      <c r="L611" s="227">
        <f t="shared" si="120"/>
        <v>154000</v>
      </c>
      <c r="M611" s="227">
        <f t="shared" si="120"/>
        <v>0</v>
      </c>
      <c r="N611" s="227">
        <f t="shared" si="120"/>
        <v>0</v>
      </c>
      <c r="O611" s="227">
        <f t="shared" si="120"/>
        <v>0</v>
      </c>
      <c r="P611" s="227">
        <f t="shared" si="120"/>
        <v>0</v>
      </c>
      <c r="Q611" s="227">
        <f t="shared" si="120"/>
        <v>154000</v>
      </c>
      <c r="R611" s="268" t="s">
        <v>38</v>
      </c>
      <c r="S611" s="269" t="s">
        <v>84</v>
      </c>
      <c r="T611" s="230"/>
    </row>
    <row r="612" spans="1:20" ht="26.1" hidden="1" customHeight="1">
      <c r="A612" s="213" t="s">
        <v>29</v>
      </c>
      <c r="B612" s="214" t="s">
        <v>50</v>
      </c>
      <c r="C612" s="214" t="s">
        <v>31</v>
      </c>
      <c r="D612" s="215" t="s">
        <v>283</v>
      </c>
      <c r="E612" s="216" t="s">
        <v>286</v>
      </c>
      <c r="F612" s="215" t="s">
        <v>287</v>
      </c>
      <c r="G612" s="262" t="s">
        <v>46</v>
      </c>
      <c r="H612" s="262" t="s">
        <v>54</v>
      </c>
      <c r="I612" s="262" t="s">
        <v>55</v>
      </c>
      <c r="J612" s="262">
        <f>SUM(J613:J615)</f>
        <v>0</v>
      </c>
      <c r="K612" s="217"/>
      <c r="L612" s="218">
        <v>50750</v>
      </c>
      <c r="M612" s="218"/>
      <c r="N612" s="218"/>
      <c r="O612" s="218"/>
      <c r="P612" s="218"/>
      <c r="Q612" s="218">
        <f>SUM(K612:P612)</f>
        <v>50750</v>
      </c>
      <c r="R612" s="274" t="s">
        <v>87</v>
      </c>
      <c r="S612" s="266" t="s">
        <v>84</v>
      </c>
      <c r="T612" s="229"/>
    </row>
    <row r="613" spans="1:20" ht="26.1" hidden="1" customHeight="1">
      <c r="A613" s="208"/>
      <c r="B613" s="211"/>
      <c r="C613" s="211"/>
      <c r="D613" s="212"/>
      <c r="E613" s="210" t="str">
        <f>IFERROR(VLOOKUP($T613,공사현장대장!$A$5:$T$330,4),"")</f>
        <v/>
      </c>
      <c r="F613" s="212"/>
      <c r="G613" s="265"/>
      <c r="H613" s="265"/>
      <c r="I613" s="265"/>
      <c r="J613" s="265" t="str">
        <f>IFERROR(ROUND(VLOOKUP($T613,공사현장대장!$A$5:$T$330,9)/1000,0),"")</f>
        <v/>
      </c>
      <c r="K613" s="225"/>
      <c r="L613" s="209"/>
      <c r="M613" s="209"/>
      <c r="N613" s="209"/>
      <c r="O613" s="209"/>
      <c r="P613" s="209"/>
      <c r="Q613" s="209"/>
      <c r="R613" s="263" t="s">
        <v>87</v>
      </c>
      <c r="S613" s="266" t="s">
        <v>84</v>
      </c>
      <c r="T613" s="229"/>
    </row>
    <row r="614" spans="1:20" ht="26.1" hidden="1" customHeight="1">
      <c r="A614" s="208"/>
      <c r="B614" s="211"/>
      <c r="C614" s="211"/>
      <c r="D614" s="212"/>
      <c r="E614" s="210" t="str">
        <f>IFERROR(VLOOKUP($T614,공사현장대장!$A$5:$T$330,4),"")</f>
        <v/>
      </c>
      <c r="F614" s="212"/>
      <c r="G614" s="265"/>
      <c r="H614" s="265"/>
      <c r="I614" s="265"/>
      <c r="J614" s="265" t="str">
        <f>IFERROR(ROUND(VLOOKUP($T614,공사현장대장!$A$5:$T$330,9)/1000,0),"")</f>
        <v/>
      </c>
      <c r="K614" s="225"/>
      <c r="L614" s="209"/>
      <c r="M614" s="209"/>
      <c r="N614" s="209"/>
      <c r="O614" s="209"/>
      <c r="P614" s="209"/>
      <c r="Q614" s="209"/>
      <c r="R614" s="263" t="s">
        <v>87</v>
      </c>
      <c r="S614" s="266" t="s">
        <v>84</v>
      </c>
      <c r="T614" s="229"/>
    </row>
    <row r="615" spans="1:20" ht="26.1" hidden="1" customHeight="1">
      <c r="A615" s="208"/>
      <c r="B615" s="211"/>
      <c r="C615" s="211"/>
      <c r="D615" s="212"/>
      <c r="E615" s="210" t="str">
        <f>IFERROR(VLOOKUP($T615,공사현장대장!$A$5:$T$330,4),"")</f>
        <v/>
      </c>
      <c r="F615" s="212"/>
      <c r="G615" s="265"/>
      <c r="H615" s="265"/>
      <c r="I615" s="265"/>
      <c r="J615" s="265" t="str">
        <f>IFERROR(ROUND(VLOOKUP($T615,공사현장대장!$A$5:$T$330,9)/1000,0),"")</f>
        <v/>
      </c>
      <c r="K615" s="225"/>
      <c r="L615" s="209"/>
      <c r="M615" s="209"/>
      <c r="N615" s="209"/>
      <c r="O615" s="209"/>
      <c r="P615" s="209"/>
      <c r="Q615" s="209"/>
      <c r="R615" s="263" t="s">
        <v>87</v>
      </c>
      <c r="S615" s="266" t="s">
        <v>84</v>
      </c>
      <c r="T615" s="229"/>
    </row>
    <row r="616" spans="1:20" ht="26.1" hidden="1" customHeight="1">
      <c r="A616" s="324" t="s">
        <v>40</v>
      </c>
      <c r="B616" s="325"/>
      <c r="C616" s="325"/>
      <c r="D616" s="325"/>
      <c r="E616" s="326"/>
      <c r="F616" s="226"/>
      <c r="G616" s="267"/>
      <c r="H616" s="267"/>
      <c r="I616" s="267"/>
      <c r="J616" s="267"/>
      <c r="K616" s="227">
        <f t="shared" ref="K616:Q616" si="121">SUM(K612-SUM(K613:K615))</f>
        <v>0</v>
      </c>
      <c r="L616" s="227">
        <f t="shared" si="121"/>
        <v>50750</v>
      </c>
      <c r="M616" s="227">
        <f t="shared" si="121"/>
        <v>0</v>
      </c>
      <c r="N616" s="227">
        <f t="shared" si="121"/>
        <v>0</v>
      </c>
      <c r="O616" s="227">
        <f t="shared" si="121"/>
        <v>0</v>
      </c>
      <c r="P616" s="227">
        <f t="shared" si="121"/>
        <v>0</v>
      </c>
      <c r="Q616" s="227">
        <f t="shared" si="121"/>
        <v>50750</v>
      </c>
      <c r="R616" s="268" t="s">
        <v>87</v>
      </c>
      <c r="S616" s="269" t="s">
        <v>84</v>
      </c>
      <c r="T616" s="230"/>
    </row>
    <row r="617" spans="1:20" ht="26.1" hidden="1" customHeight="1">
      <c r="A617" s="213" t="s">
        <v>29</v>
      </c>
      <c r="B617" s="214" t="s">
        <v>50</v>
      </c>
      <c r="C617" s="214" t="s">
        <v>31</v>
      </c>
      <c r="D617" s="215" t="s">
        <v>283</v>
      </c>
      <c r="E617" s="216" t="s">
        <v>288</v>
      </c>
      <c r="F617" s="215" t="s">
        <v>289</v>
      </c>
      <c r="G617" s="262" t="s">
        <v>46</v>
      </c>
      <c r="H617" s="262" t="s">
        <v>54</v>
      </c>
      <c r="I617" s="262" t="s">
        <v>55</v>
      </c>
      <c r="J617" s="262">
        <f>SUM(J618:J620)</f>
        <v>0</v>
      </c>
      <c r="K617" s="217"/>
      <c r="L617" s="218"/>
      <c r="M617" s="218"/>
      <c r="N617" s="218"/>
      <c r="O617" s="218"/>
      <c r="P617" s="218">
        <v>16800</v>
      </c>
      <c r="Q617" s="218">
        <f>SUM(K617:P617)</f>
        <v>16800</v>
      </c>
      <c r="R617" s="263" t="s">
        <v>38</v>
      </c>
      <c r="S617" s="266" t="s">
        <v>84</v>
      </c>
      <c r="T617" s="229"/>
    </row>
    <row r="618" spans="1:20" ht="26.1" hidden="1" customHeight="1">
      <c r="A618" s="208"/>
      <c r="B618" s="211"/>
      <c r="C618" s="211"/>
      <c r="D618" s="212"/>
      <c r="E618" s="210" t="str">
        <f>IFERROR(VLOOKUP($T618,공사현장대장!$A$5:$T$330,4),"")</f>
        <v/>
      </c>
      <c r="F618" s="212"/>
      <c r="G618" s="265"/>
      <c r="H618" s="265"/>
      <c r="I618" s="265"/>
      <c r="J618" s="265" t="str">
        <f>IFERROR(ROUND(VLOOKUP($T618,공사현장대장!$A$5:$T$330,9)/1000,0),"")</f>
        <v/>
      </c>
      <c r="K618" s="225"/>
      <c r="L618" s="209"/>
      <c r="M618" s="209"/>
      <c r="N618" s="209"/>
      <c r="O618" s="209"/>
      <c r="P618" s="209"/>
      <c r="Q618" s="209"/>
      <c r="R618" s="263" t="s">
        <v>38</v>
      </c>
      <c r="S618" s="266" t="s">
        <v>84</v>
      </c>
      <c r="T618" s="229"/>
    </row>
    <row r="619" spans="1:20" ht="26.1" hidden="1" customHeight="1">
      <c r="A619" s="208"/>
      <c r="B619" s="211"/>
      <c r="C619" s="211"/>
      <c r="D619" s="212"/>
      <c r="E619" s="210" t="str">
        <f>IFERROR(VLOOKUP($T619,공사현장대장!$A$5:$T$330,4),"")</f>
        <v/>
      </c>
      <c r="F619" s="212"/>
      <c r="G619" s="265"/>
      <c r="H619" s="265"/>
      <c r="I619" s="265"/>
      <c r="J619" s="265" t="str">
        <f>IFERROR(ROUND(VLOOKUP($T619,공사현장대장!$A$5:$T$330,9)/1000,0),"")</f>
        <v/>
      </c>
      <c r="K619" s="225"/>
      <c r="L619" s="209"/>
      <c r="M619" s="209"/>
      <c r="N619" s="209"/>
      <c r="O619" s="209"/>
      <c r="P619" s="209"/>
      <c r="Q619" s="209"/>
      <c r="R619" s="263" t="s">
        <v>38</v>
      </c>
      <c r="S619" s="266" t="s">
        <v>84</v>
      </c>
      <c r="T619" s="229"/>
    </row>
    <row r="620" spans="1:20" ht="26.1" hidden="1" customHeight="1">
      <c r="A620" s="208"/>
      <c r="B620" s="211"/>
      <c r="C620" s="211"/>
      <c r="D620" s="212"/>
      <c r="E620" s="210" t="str">
        <f>IFERROR(VLOOKUP($T620,공사현장대장!$A$5:$T$330,4),"")</f>
        <v/>
      </c>
      <c r="F620" s="212"/>
      <c r="G620" s="265"/>
      <c r="H620" s="265"/>
      <c r="I620" s="265"/>
      <c r="J620" s="265" t="str">
        <f>IFERROR(ROUND(VLOOKUP($T620,공사현장대장!$A$5:$T$330,9)/1000,0),"")</f>
        <v/>
      </c>
      <c r="K620" s="225"/>
      <c r="L620" s="209"/>
      <c r="M620" s="209"/>
      <c r="N620" s="209"/>
      <c r="O620" s="209"/>
      <c r="P620" s="209"/>
      <c r="Q620" s="209"/>
      <c r="R620" s="263" t="s">
        <v>38</v>
      </c>
      <c r="S620" s="266" t="s">
        <v>84</v>
      </c>
      <c r="T620" s="229"/>
    </row>
    <row r="621" spans="1:20" ht="26.1" hidden="1" customHeight="1">
      <c r="A621" s="324" t="s">
        <v>40</v>
      </c>
      <c r="B621" s="325"/>
      <c r="C621" s="325"/>
      <c r="D621" s="325"/>
      <c r="E621" s="326"/>
      <c r="F621" s="226"/>
      <c r="G621" s="267"/>
      <c r="H621" s="267"/>
      <c r="I621" s="267"/>
      <c r="J621" s="267"/>
      <c r="K621" s="227">
        <f t="shared" ref="K621:Q621" si="122">SUM(K617-SUM(K618:K620))</f>
        <v>0</v>
      </c>
      <c r="L621" s="227">
        <f t="shared" si="122"/>
        <v>0</v>
      </c>
      <c r="M621" s="227">
        <f t="shared" si="122"/>
        <v>0</v>
      </c>
      <c r="N621" s="227">
        <f t="shared" si="122"/>
        <v>0</v>
      </c>
      <c r="O621" s="227">
        <f t="shared" si="122"/>
        <v>0</v>
      </c>
      <c r="P621" s="227">
        <f t="shared" si="122"/>
        <v>16800</v>
      </c>
      <c r="Q621" s="227">
        <f t="shared" si="122"/>
        <v>16800</v>
      </c>
      <c r="R621" s="268" t="s">
        <v>38</v>
      </c>
      <c r="S621" s="269" t="s">
        <v>84</v>
      </c>
      <c r="T621" s="230"/>
    </row>
    <row r="622" spans="1:20" ht="26.1" hidden="1" customHeight="1">
      <c r="A622" s="219" t="s">
        <v>29</v>
      </c>
      <c r="B622" s="214" t="s">
        <v>50</v>
      </c>
      <c r="C622" s="220" t="s">
        <v>31</v>
      </c>
      <c r="D622" s="215" t="s">
        <v>283</v>
      </c>
      <c r="E622" s="215" t="s">
        <v>290</v>
      </c>
      <c r="F622" s="276" t="s">
        <v>291</v>
      </c>
      <c r="G622" s="262" t="s">
        <v>46</v>
      </c>
      <c r="H622" s="262" t="s">
        <v>74</v>
      </c>
      <c r="I622" s="262" t="s">
        <v>75</v>
      </c>
      <c r="J622" s="262">
        <f>SUM(J623:J625)</f>
        <v>0</v>
      </c>
      <c r="K622" s="221">
        <f>190338+224957</f>
        <v>415295</v>
      </c>
      <c r="L622" s="222"/>
      <c r="M622" s="222"/>
      <c r="N622" s="222"/>
      <c r="O622" s="222"/>
      <c r="P622" s="222"/>
      <c r="Q622" s="223">
        <f>SUM(K622:P622)</f>
        <v>415295</v>
      </c>
      <c r="R622" s="273" t="s">
        <v>76</v>
      </c>
      <c r="S622" s="266" t="s">
        <v>84</v>
      </c>
      <c r="T622" s="229"/>
    </row>
    <row r="623" spans="1:20" ht="26.1" hidden="1" customHeight="1">
      <c r="A623" s="208"/>
      <c r="B623" s="211"/>
      <c r="C623" s="211"/>
      <c r="D623" s="212"/>
      <c r="E623" s="210" t="str">
        <f>IFERROR(VLOOKUP($T623,공사현장대장!$A$5:$T$330,4),"")</f>
        <v/>
      </c>
      <c r="F623" s="212"/>
      <c r="G623" s="265"/>
      <c r="H623" s="265"/>
      <c r="I623" s="265"/>
      <c r="J623" s="265" t="str">
        <f>IFERROR(ROUND(VLOOKUP($T623,공사현장대장!$A$5:$T$330,9)/1000,0),"")</f>
        <v/>
      </c>
      <c r="K623" s="225"/>
      <c r="L623" s="209"/>
      <c r="M623" s="209"/>
      <c r="N623" s="209"/>
      <c r="O623" s="209"/>
      <c r="P623" s="209"/>
      <c r="Q623" s="209"/>
      <c r="R623" s="263" t="s">
        <v>76</v>
      </c>
      <c r="S623" s="266" t="s">
        <v>84</v>
      </c>
      <c r="T623" s="229"/>
    </row>
    <row r="624" spans="1:20" ht="26.1" hidden="1" customHeight="1">
      <c r="A624" s="208"/>
      <c r="B624" s="211"/>
      <c r="C624" s="211"/>
      <c r="D624" s="212"/>
      <c r="E624" s="210" t="str">
        <f>IFERROR(VLOOKUP($T624,공사현장대장!$A$5:$T$330,4),"")</f>
        <v/>
      </c>
      <c r="F624" s="212"/>
      <c r="G624" s="265"/>
      <c r="H624" s="265"/>
      <c r="I624" s="265"/>
      <c r="J624" s="265" t="str">
        <f>IFERROR(ROUND(VLOOKUP($T624,공사현장대장!$A$5:$T$330,9)/1000,0),"")</f>
        <v/>
      </c>
      <c r="K624" s="225"/>
      <c r="L624" s="209"/>
      <c r="M624" s="209"/>
      <c r="N624" s="209"/>
      <c r="O624" s="209"/>
      <c r="P624" s="209"/>
      <c r="Q624" s="209"/>
      <c r="R624" s="263" t="s">
        <v>76</v>
      </c>
      <c r="S624" s="266" t="s">
        <v>84</v>
      </c>
      <c r="T624" s="229"/>
    </row>
    <row r="625" spans="1:20" ht="26.1" hidden="1" customHeight="1">
      <c r="A625" s="208"/>
      <c r="B625" s="211"/>
      <c r="C625" s="211"/>
      <c r="D625" s="212"/>
      <c r="E625" s="210" t="str">
        <f>IFERROR(VLOOKUP($T625,공사현장대장!$A$5:$T$330,4),"")</f>
        <v/>
      </c>
      <c r="F625" s="212"/>
      <c r="G625" s="265"/>
      <c r="H625" s="265"/>
      <c r="I625" s="265"/>
      <c r="J625" s="265" t="str">
        <f>IFERROR(ROUND(VLOOKUP($T625,공사현장대장!$A$5:$T$330,9)/1000,0),"")</f>
        <v/>
      </c>
      <c r="K625" s="225"/>
      <c r="L625" s="209"/>
      <c r="M625" s="209"/>
      <c r="N625" s="209"/>
      <c r="O625" s="209"/>
      <c r="P625" s="209"/>
      <c r="Q625" s="209"/>
      <c r="R625" s="263" t="s">
        <v>76</v>
      </c>
      <c r="S625" s="266" t="s">
        <v>84</v>
      </c>
      <c r="T625" s="229"/>
    </row>
    <row r="626" spans="1:20" ht="26.1" hidden="1" customHeight="1">
      <c r="A626" s="324" t="s">
        <v>40</v>
      </c>
      <c r="B626" s="325"/>
      <c r="C626" s="325"/>
      <c r="D626" s="325"/>
      <c r="E626" s="326"/>
      <c r="F626" s="226"/>
      <c r="G626" s="267"/>
      <c r="H626" s="267"/>
      <c r="I626" s="267"/>
      <c r="J626" s="267"/>
      <c r="K626" s="227">
        <f t="shared" ref="K626:Q626" si="123">SUM(K622-SUM(K623:K625))</f>
        <v>415295</v>
      </c>
      <c r="L626" s="227">
        <f t="shared" si="123"/>
        <v>0</v>
      </c>
      <c r="M626" s="227">
        <f t="shared" si="123"/>
        <v>0</v>
      </c>
      <c r="N626" s="227">
        <f t="shared" si="123"/>
        <v>0</v>
      </c>
      <c r="O626" s="227">
        <f t="shared" si="123"/>
        <v>0</v>
      </c>
      <c r="P626" s="227">
        <f t="shared" si="123"/>
        <v>0</v>
      </c>
      <c r="Q626" s="227">
        <f t="shared" si="123"/>
        <v>415295</v>
      </c>
      <c r="R626" s="268" t="s">
        <v>76</v>
      </c>
      <c r="S626" s="269" t="s">
        <v>84</v>
      </c>
      <c r="T626" s="230"/>
    </row>
    <row r="627" spans="1:20" ht="26.1" hidden="1" customHeight="1">
      <c r="A627" s="213" t="s">
        <v>29</v>
      </c>
      <c r="B627" s="214" t="s">
        <v>50</v>
      </c>
      <c r="C627" s="214" t="s">
        <v>31</v>
      </c>
      <c r="D627" s="215" t="s">
        <v>283</v>
      </c>
      <c r="E627" s="216" t="s">
        <v>292</v>
      </c>
      <c r="F627" s="215" t="s">
        <v>293</v>
      </c>
      <c r="G627" s="262" t="s">
        <v>46</v>
      </c>
      <c r="H627" s="262" t="s">
        <v>107</v>
      </c>
      <c r="I627" s="262" t="s">
        <v>108</v>
      </c>
      <c r="J627" s="262">
        <f>SUM(J628:J630)</f>
        <v>0</v>
      </c>
      <c r="K627" s="217">
        <v>15039</v>
      </c>
      <c r="L627" s="218">
        <v>0</v>
      </c>
      <c r="M627" s="218">
        <v>0</v>
      </c>
      <c r="N627" s="218"/>
      <c r="O627" s="218"/>
      <c r="P627" s="218"/>
      <c r="Q627" s="218">
        <f>SUM(K627:P627)</f>
        <v>15039</v>
      </c>
      <c r="R627" s="263" t="s">
        <v>76</v>
      </c>
      <c r="S627" s="266" t="s">
        <v>84</v>
      </c>
      <c r="T627" s="229"/>
    </row>
    <row r="628" spans="1:20" ht="26.1" hidden="1" customHeight="1">
      <c r="A628" s="208"/>
      <c r="B628" s="211"/>
      <c r="C628" s="211"/>
      <c r="D628" s="212"/>
      <c r="E628" s="210" t="str">
        <f>IFERROR(VLOOKUP($T628,공사현장대장!$A$5:$T$330,4),"")</f>
        <v/>
      </c>
      <c r="F628" s="212"/>
      <c r="G628" s="265"/>
      <c r="H628" s="265"/>
      <c r="I628" s="265"/>
      <c r="J628" s="265" t="str">
        <f>IFERROR(ROUND(VLOOKUP($T628,공사현장대장!$A$5:$T$330,9)/1000,0),"")</f>
        <v/>
      </c>
      <c r="K628" s="225"/>
      <c r="L628" s="209"/>
      <c r="M628" s="209"/>
      <c r="N628" s="209"/>
      <c r="O628" s="209"/>
      <c r="P628" s="209"/>
      <c r="Q628" s="209"/>
      <c r="R628" s="263" t="s">
        <v>76</v>
      </c>
      <c r="S628" s="266" t="s">
        <v>84</v>
      </c>
      <c r="T628" s="229"/>
    </row>
    <row r="629" spans="1:20" ht="26.1" hidden="1" customHeight="1">
      <c r="A629" s="208"/>
      <c r="B629" s="211"/>
      <c r="C629" s="211"/>
      <c r="D629" s="212"/>
      <c r="E629" s="210" t="str">
        <f>IFERROR(VLOOKUP($T629,공사현장대장!$A$5:$T$330,4),"")</f>
        <v/>
      </c>
      <c r="F629" s="212"/>
      <c r="G629" s="265"/>
      <c r="H629" s="265"/>
      <c r="I629" s="265"/>
      <c r="J629" s="265" t="str">
        <f>IFERROR(ROUND(VLOOKUP($T629,공사현장대장!$A$5:$T$330,9)/1000,0),"")</f>
        <v/>
      </c>
      <c r="K629" s="225"/>
      <c r="L629" s="209"/>
      <c r="M629" s="209"/>
      <c r="N629" s="209"/>
      <c r="O629" s="209"/>
      <c r="P629" s="209"/>
      <c r="Q629" s="209"/>
      <c r="R629" s="263" t="s">
        <v>76</v>
      </c>
      <c r="S629" s="266" t="s">
        <v>84</v>
      </c>
      <c r="T629" s="229"/>
    </row>
    <row r="630" spans="1:20" ht="26.1" hidden="1" customHeight="1">
      <c r="A630" s="208"/>
      <c r="B630" s="211"/>
      <c r="C630" s="211"/>
      <c r="D630" s="212"/>
      <c r="E630" s="210" t="str">
        <f>IFERROR(VLOOKUP($T630,공사현장대장!$A$5:$T$330,4),"")</f>
        <v/>
      </c>
      <c r="F630" s="212"/>
      <c r="G630" s="265"/>
      <c r="H630" s="265"/>
      <c r="I630" s="265"/>
      <c r="J630" s="265" t="str">
        <f>IFERROR(ROUND(VLOOKUP($T630,공사현장대장!$A$5:$T$330,9)/1000,0),"")</f>
        <v/>
      </c>
      <c r="K630" s="225"/>
      <c r="L630" s="209"/>
      <c r="M630" s="209"/>
      <c r="N630" s="209"/>
      <c r="O630" s="209"/>
      <c r="P630" s="209"/>
      <c r="Q630" s="209"/>
      <c r="R630" s="263" t="s">
        <v>76</v>
      </c>
      <c r="S630" s="266" t="s">
        <v>84</v>
      </c>
      <c r="T630" s="229"/>
    </row>
    <row r="631" spans="1:20" ht="26.1" hidden="1" customHeight="1">
      <c r="A631" s="324" t="s">
        <v>40</v>
      </c>
      <c r="B631" s="325"/>
      <c r="C631" s="325"/>
      <c r="D631" s="325"/>
      <c r="E631" s="326"/>
      <c r="F631" s="226"/>
      <c r="G631" s="267"/>
      <c r="H631" s="267"/>
      <c r="I631" s="267"/>
      <c r="J631" s="267"/>
      <c r="K631" s="227">
        <f t="shared" ref="K631:Q631" si="124">SUM(K627-SUM(K628:K630))</f>
        <v>15039</v>
      </c>
      <c r="L631" s="227">
        <f t="shared" si="124"/>
        <v>0</v>
      </c>
      <c r="M631" s="227">
        <f t="shared" si="124"/>
        <v>0</v>
      </c>
      <c r="N631" s="227">
        <f t="shared" si="124"/>
        <v>0</v>
      </c>
      <c r="O631" s="227">
        <f t="shared" si="124"/>
        <v>0</v>
      </c>
      <c r="P631" s="227">
        <f t="shared" si="124"/>
        <v>0</v>
      </c>
      <c r="Q631" s="227">
        <f t="shared" si="124"/>
        <v>15039</v>
      </c>
      <c r="R631" s="268" t="s">
        <v>76</v>
      </c>
      <c r="S631" s="269" t="s">
        <v>84</v>
      </c>
      <c r="T631" s="230"/>
    </row>
    <row r="632" spans="1:20" ht="26.1" hidden="1" customHeight="1">
      <c r="A632" s="213" t="s">
        <v>29</v>
      </c>
      <c r="B632" s="214" t="s">
        <v>50</v>
      </c>
      <c r="C632" s="214" t="s">
        <v>31</v>
      </c>
      <c r="D632" s="215" t="s">
        <v>283</v>
      </c>
      <c r="E632" s="216" t="s">
        <v>294</v>
      </c>
      <c r="F632" s="215" t="s">
        <v>295</v>
      </c>
      <c r="G632" s="262" t="s">
        <v>46</v>
      </c>
      <c r="H632" s="262" t="s">
        <v>107</v>
      </c>
      <c r="I632" s="262" t="s">
        <v>108</v>
      </c>
      <c r="J632" s="262">
        <f>SUM(J633:J635)</f>
        <v>0</v>
      </c>
      <c r="K632" s="217">
        <v>19926</v>
      </c>
      <c r="L632" s="218">
        <v>0</v>
      </c>
      <c r="M632" s="218">
        <v>0</v>
      </c>
      <c r="N632" s="218"/>
      <c r="O632" s="218"/>
      <c r="P632" s="218"/>
      <c r="Q632" s="218">
        <f>SUM(K632:P632)</f>
        <v>19926</v>
      </c>
      <c r="R632" s="263" t="s">
        <v>76</v>
      </c>
      <c r="S632" s="266" t="s">
        <v>84</v>
      </c>
      <c r="T632" s="229"/>
    </row>
    <row r="633" spans="1:20" ht="26.1" hidden="1" customHeight="1">
      <c r="A633" s="208"/>
      <c r="B633" s="211"/>
      <c r="C633" s="211"/>
      <c r="D633" s="212"/>
      <c r="E633" s="210" t="str">
        <f>IFERROR(VLOOKUP($T633,공사현장대장!$A$5:$T$330,4),"")</f>
        <v/>
      </c>
      <c r="F633" s="212"/>
      <c r="G633" s="265"/>
      <c r="H633" s="265"/>
      <c r="I633" s="265"/>
      <c r="J633" s="265" t="str">
        <f>IFERROR(ROUND(VLOOKUP($T633,공사현장대장!$A$5:$T$330,9)/1000,0),"")</f>
        <v/>
      </c>
      <c r="K633" s="225"/>
      <c r="L633" s="209"/>
      <c r="M633" s="209"/>
      <c r="N633" s="209"/>
      <c r="O633" s="209"/>
      <c r="P633" s="209"/>
      <c r="Q633" s="209"/>
      <c r="R633" s="263" t="s">
        <v>76</v>
      </c>
      <c r="S633" s="266" t="s">
        <v>84</v>
      </c>
      <c r="T633" s="229"/>
    </row>
    <row r="634" spans="1:20" ht="26.1" hidden="1" customHeight="1">
      <c r="A634" s="208"/>
      <c r="B634" s="211"/>
      <c r="C634" s="211"/>
      <c r="D634" s="212"/>
      <c r="E634" s="210" t="str">
        <f>IFERROR(VLOOKUP($T634,공사현장대장!$A$5:$T$330,4),"")</f>
        <v/>
      </c>
      <c r="F634" s="212"/>
      <c r="G634" s="265"/>
      <c r="H634" s="265"/>
      <c r="I634" s="265"/>
      <c r="J634" s="265" t="str">
        <f>IFERROR(ROUND(VLOOKUP($T634,공사현장대장!$A$5:$T$330,9)/1000,0),"")</f>
        <v/>
      </c>
      <c r="K634" s="225"/>
      <c r="L634" s="209"/>
      <c r="M634" s="209"/>
      <c r="N634" s="209"/>
      <c r="O634" s="209"/>
      <c r="P634" s="209"/>
      <c r="Q634" s="209"/>
      <c r="R634" s="263" t="s">
        <v>76</v>
      </c>
      <c r="S634" s="266" t="s">
        <v>84</v>
      </c>
      <c r="T634" s="229"/>
    </row>
    <row r="635" spans="1:20" ht="26.1" hidden="1" customHeight="1">
      <c r="A635" s="208"/>
      <c r="B635" s="211"/>
      <c r="C635" s="211"/>
      <c r="D635" s="212"/>
      <c r="E635" s="210" t="str">
        <f>IFERROR(VLOOKUP($T635,공사현장대장!$A$5:$T$330,4),"")</f>
        <v/>
      </c>
      <c r="F635" s="212"/>
      <c r="G635" s="265"/>
      <c r="H635" s="265"/>
      <c r="I635" s="265"/>
      <c r="J635" s="265" t="str">
        <f>IFERROR(ROUND(VLOOKUP($T635,공사현장대장!$A$5:$T$330,9)/1000,0),"")</f>
        <v/>
      </c>
      <c r="K635" s="225"/>
      <c r="L635" s="209"/>
      <c r="M635" s="209"/>
      <c r="N635" s="209"/>
      <c r="O635" s="209"/>
      <c r="P635" s="209"/>
      <c r="Q635" s="209"/>
      <c r="R635" s="263" t="s">
        <v>76</v>
      </c>
      <c r="S635" s="266" t="s">
        <v>84</v>
      </c>
      <c r="T635" s="229"/>
    </row>
    <row r="636" spans="1:20" ht="26.1" hidden="1" customHeight="1">
      <c r="A636" s="324" t="s">
        <v>40</v>
      </c>
      <c r="B636" s="325"/>
      <c r="C636" s="325"/>
      <c r="D636" s="325"/>
      <c r="E636" s="326"/>
      <c r="F636" s="226"/>
      <c r="G636" s="267"/>
      <c r="H636" s="267"/>
      <c r="I636" s="267"/>
      <c r="J636" s="267"/>
      <c r="K636" s="227">
        <f t="shared" ref="K636:Q636" si="125">SUM(K632-SUM(K633:K635))</f>
        <v>19926</v>
      </c>
      <c r="L636" s="227">
        <f t="shared" si="125"/>
        <v>0</v>
      </c>
      <c r="M636" s="227">
        <f t="shared" si="125"/>
        <v>0</v>
      </c>
      <c r="N636" s="227">
        <f t="shared" si="125"/>
        <v>0</v>
      </c>
      <c r="O636" s="227">
        <f t="shared" si="125"/>
        <v>0</v>
      </c>
      <c r="P636" s="227">
        <f t="shared" si="125"/>
        <v>0</v>
      </c>
      <c r="Q636" s="227">
        <f t="shared" si="125"/>
        <v>19926</v>
      </c>
      <c r="R636" s="268" t="s">
        <v>76</v>
      </c>
      <c r="S636" s="269" t="s">
        <v>84</v>
      </c>
      <c r="T636" s="230"/>
    </row>
    <row r="637" spans="1:20" ht="26.1" hidden="1" customHeight="1">
      <c r="A637" s="213" t="s">
        <v>29</v>
      </c>
      <c r="B637" s="214" t="s">
        <v>50</v>
      </c>
      <c r="C637" s="214" t="s">
        <v>31</v>
      </c>
      <c r="D637" s="215" t="s">
        <v>296</v>
      </c>
      <c r="E637" s="216" t="s">
        <v>198</v>
      </c>
      <c r="F637" s="215" t="s">
        <v>59</v>
      </c>
      <c r="G637" s="262" t="s">
        <v>46</v>
      </c>
      <c r="H637" s="262" t="s">
        <v>54</v>
      </c>
      <c r="I637" s="262" t="s">
        <v>55</v>
      </c>
      <c r="J637" s="262">
        <f>SUM(J638:J640)</f>
        <v>0</v>
      </c>
      <c r="K637" s="217"/>
      <c r="L637" s="218"/>
      <c r="M637" s="218"/>
      <c r="N637" s="218"/>
      <c r="O637" s="218"/>
      <c r="P637" s="218">
        <v>19250</v>
      </c>
      <c r="Q637" s="218">
        <f>SUM(K637:P637)</f>
        <v>19250</v>
      </c>
      <c r="R637" s="263" t="s">
        <v>38</v>
      </c>
      <c r="S637" s="266" t="s">
        <v>115</v>
      </c>
      <c r="T637" s="229"/>
    </row>
    <row r="638" spans="1:20" ht="26.1" hidden="1" customHeight="1">
      <c r="A638" s="208"/>
      <c r="B638" s="211"/>
      <c r="C638" s="211"/>
      <c r="D638" s="212"/>
      <c r="E638" s="210" t="str">
        <f>IFERROR(VLOOKUP($T638,공사현장대장!$A$5:$T$330,4),"")</f>
        <v/>
      </c>
      <c r="F638" s="212"/>
      <c r="G638" s="265"/>
      <c r="H638" s="265"/>
      <c r="I638" s="265"/>
      <c r="J638" s="265" t="str">
        <f>IFERROR(ROUND(VLOOKUP($T638,공사현장대장!$A$5:$T$330,9)/1000,0),"")</f>
        <v/>
      </c>
      <c r="K638" s="225"/>
      <c r="L638" s="209"/>
      <c r="M638" s="209"/>
      <c r="N638" s="209"/>
      <c r="O638" s="209"/>
      <c r="P638" s="209"/>
      <c r="Q638" s="209"/>
      <c r="R638" s="263" t="s">
        <v>38</v>
      </c>
      <c r="S638" s="266" t="s">
        <v>115</v>
      </c>
      <c r="T638" s="229"/>
    </row>
    <row r="639" spans="1:20" ht="26.1" hidden="1" customHeight="1">
      <c r="A639" s="208"/>
      <c r="B639" s="211"/>
      <c r="C639" s="211"/>
      <c r="D639" s="212"/>
      <c r="E639" s="210" t="str">
        <f>IFERROR(VLOOKUP($T639,공사현장대장!$A$5:$T$330,4),"")</f>
        <v/>
      </c>
      <c r="F639" s="212"/>
      <c r="G639" s="265"/>
      <c r="H639" s="265"/>
      <c r="I639" s="265"/>
      <c r="J639" s="265" t="str">
        <f>IFERROR(ROUND(VLOOKUP($T639,공사현장대장!$A$5:$T$330,9)/1000,0),"")</f>
        <v/>
      </c>
      <c r="K639" s="225"/>
      <c r="L639" s="209"/>
      <c r="M639" s="209"/>
      <c r="N639" s="209"/>
      <c r="O639" s="209"/>
      <c r="P639" s="209"/>
      <c r="Q639" s="209"/>
      <c r="R639" s="263" t="s">
        <v>38</v>
      </c>
      <c r="S639" s="266" t="s">
        <v>115</v>
      </c>
      <c r="T639" s="229"/>
    </row>
    <row r="640" spans="1:20" ht="26.1" hidden="1" customHeight="1">
      <c r="A640" s="208"/>
      <c r="B640" s="211"/>
      <c r="C640" s="211"/>
      <c r="D640" s="212"/>
      <c r="E640" s="210" t="str">
        <f>IFERROR(VLOOKUP($T640,공사현장대장!$A$5:$T$330,4),"")</f>
        <v/>
      </c>
      <c r="F640" s="212"/>
      <c r="G640" s="265"/>
      <c r="H640" s="265"/>
      <c r="I640" s="265"/>
      <c r="J640" s="265" t="str">
        <f>IFERROR(ROUND(VLOOKUP($T640,공사현장대장!$A$5:$T$330,9)/1000,0),"")</f>
        <v/>
      </c>
      <c r="K640" s="225"/>
      <c r="L640" s="209"/>
      <c r="M640" s="209"/>
      <c r="N640" s="209"/>
      <c r="O640" s="209"/>
      <c r="P640" s="209"/>
      <c r="Q640" s="209"/>
      <c r="R640" s="263" t="s">
        <v>38</v>
      </c>
      <c r="S640" s="266" t="s">
        <v>115</v>
      </c>
      <c r="T640" s="229"/>
    </row>
    <row r="641" spans="1:20" ht="26.1" hidden="1" customHeight="1">
      <c r="A641" s="324" t="s">
        <v>40</v>
      </c>
      <c r="B641" s="325"/>
      <c r="C641" s="325"/>
      <c r="D641" s="325"/>
      <c r="E641" s="326"/>
      <c r="F641" s="226"/>
      <c r="G641" s="267"/>
      <c r="H641" s="267"/>
      <c r="I641" s="267"/>
      <c r="J641" s="267"/>
      <c r="K641" s="227">
        <f t="shared" ref="K641:Q641" si="126">SUM(K637-SUM(K638:K640))</f>
        <v>0</v>
      </c>
      <c r="L641" s="227">
        <f t="shared" si="126"/>
        <v>0</v>
      </c>
      <c r="M641" s="227">
        <f t="shared" si="126"/>
        <v>0</v>
      </c>
      <c r="N641" s="227">
        <f t="shared" si="126"/>
        <v>0</v>
      </c>
      <c r="O641" s="227">
        <f t="shared" si="126"/>
        <v>0</v>
      </c>
      <c r="P641" s="227">
        <f t="shared" si="126"/>
        <v>19250</v>
      </c>
      <c r="Q641" s="227">
        <f t="shared" si="126"/>
        <v>19250</v>
      </c>
      <c r="R641" s="268" t="s">
        <v>38</v>
      </c>
      <c r="S641" s="269" t="s">
        <v>115</v>
      </c>
      <c r="T641" s="230"/>
    </row>
    <row r="642" spans="1:20" ht="26.1" hidden="1" customHeight="1">
      <c r="A642" s="213" t="s">
        <v>29</v>
      </c>
      <c r="B642" s="214" t="s">
        <v>50</v>
      </c>
      <c r="C642" s="214" t="s">
        <v>31</v>
      </c>
      <c r="D642" s="215" t="s">
        <v>296</v>
      </c>
      <c r="E642" s="216" t="s">
        <v>297</v>
      </c>
      <c r="F642" s="215" t="s">
        <v>45</v>
      </c>
      <c r="G642" s="262" t="s">
        <v>46</v>
      </c>
      <c r="H642" s="262" t="s">
        <v>47</v>
      </c>
      <c r="I642" s="262" t="s">
        <v>48</v>
      </c>
      <c r="J642" s="262">
        <f>SUM(J643:J645)</f>
        <v>0</v>
      </c>
      <c r="K642" s="217"/>
      <c r="L642" s="218"/>
      <c r="M642" s="218"/>
      <c r="N642" s="218"/>
      <c r="O642" s="218"/>
      <c r="P642" s="218">
        <v>7500</v>
      </c>
      <c r="Q642" s="218">
        <f>SUM(K642:P642)</f>
        <v>7500</v>
      </c>
      <c r="R642" s="263" t="s">
        <v>38</v>
      </c>
      <c r="S642" s="266" t="s">
        <v>115</v>
      </c>
      <c r="T642" s="229"/>
    </row>
    <row r="643" spans="1:20" ht="26.1" hidden="1" customHeight="1">
      <c r="A643" s="208"/>
      <c r="B643" s="211"/>
      <c r="C643" s="211"/>
      <c r="D643" s="212"/>
      <c r="E643" s="210" t="str">
        <f>IFERROR(VLOOKUP($T643,공사현장대장!$A$5:$T$330,4),"")</f>
        <v/>
      </c>
      <c r="F643" s="212"/>
      <c r="G643" s="265"/>
      <c r="H643" s="265"/>
      <c r="I643" s="265"/>
      <c r="J643" s="265" t="str">
        <f>IFERROR(ROUND(VLOOKUP($T643,공사현장대장!$A$5:$T$330,9)/1000,0),"")</f>
        <v/>
      </c>
      <c r="K643" s="225"/>
      <c r="L643" s="209"/>
      <c r="M643" s="209"/>
      <c r="N643" s="209"/>
      <c r="O643" s="209"/>
      <c r="P643" s="209"/>
      <c r="Q643" s="209"/>
      <c r="R643" s="263" t="s">
        <v>38</v>
      </c>
      <c r="S643" s="266" t="s">
        <v>115</v>
      </c>
      <c r="T643" s="229"/>
    </row>
    <row r="644" spans="1:20" ht="26.1" hidden="1" customHeight="1">
      <c r="A644" s="208"/>
      <c r="B644" s="211"/>
      <c r="C644" s="211"/>
      <c r="D644" s="212"/>
      <c r="E644" s="210" t="str">
        <f>IFERROR(VLOOKUP($T644,공사현장대장!$A$5:$T$330,4),"")</f>
        <v/>
      </c>
      <c r="F644" s="212"/>
      <c r="G644" s="265"/>
      <c r="H644" s="265"/>
      <c r="I644" s="265"/>
      <c r="J644" s="265" t="str">
        <f>IFERROR(ROUND(VLOOKUP($T644,공사현장대장!$A$5:$T$330,9)/1000,0),"")</f>
        <v/>
      </c>
      <c r="K644" s="225"/>
      <c r="L644" s="209"/>
      <c r="M644" s="209"/>
      <c r="N644" s="209"/>
      <c r="O644" s="209"/>
      <c r="P644" s="209"/>
      <c r="Q644" s="209"/>
      <c r="R644" s="263" t="s">
        <v>38</v>
      </c>
      <c r="S644" s="266" t="s">
        <v>115</v>
      </c>
      <c r="T644" s="229"/>
    </row>
    <row r="645" spans="1:20" ht="26.1" hidden="1" customHeight="1">
      <c r="A645" s="208"/>
      <c r="B645" s="211"/>
      <c r="C645" s="211"/>
      <c r="D645" s="212"/>
      <c r="E645" s="210" t="str">
        <f>IFERROR(VLOOKUP($T645,공사현장대장!$A$5:$T$330,4),"")</f>
        <v/>
      </c>
      <c r="F645" s="212"/>
      <c r="G645" s="265"/>
      <c r="H645" s="265"/>
      <c r="I645" s="265"/>
      <c r="J645" s="265" t="str">
        <f>IFERROR(ROUND(VLOOKUP($T645,공사현장대장!$A$5:$T$330,9)/1000,0),"")</f>
        <v/>
      </c>
      <c r="K645" s="225"/>
      <c r="L645" s="209"/>
      <c r="M645" s="209"/>
      <c r="N645" s="209"/>
      <c r="O645" s="209"/>
      <c r="P645" s="209"/>
      <c r="Q645" s="209"/>
      <c r="R645" s="263" t="s">
        <v>38</v>
      </c>
      <c r="S645" s="266" t="s">
        <v>115</v>
      </c>
      <c r="T645" s="229"/>
    </row>
    <row r="646" spans="1:20" ht="26.1" hidden="1" customHeight="1">
      <c r="A646" s="324" t="s">
        <v>40</v>
      </c>
      <c r="B646" s="325"/>
      <c r="C646" s="325"/>
      <c r="D646" s="325"/>
      <c r="E646" s="326"/>
      <c r="F646" s="226"/>
      <c r="G646" s="267"/>
      <c r="H646" s="267"/>
      <c r="I646" s="267"/>
      <c r="J646" s="267"/>
      <c r="K646" s="227">
        <f t="shared" ref="K646:Q646" si="127">SUM(K642-SUM(K643:K645))</f>
        <v>0</v>
      </c>
      <c r="L646" s="227">
        <f t="shared" si="127"/>
        <v>0</v>
      </c>
      <c r="M646" s="227">
        <f t="shared" si="127"/>
        <v>0</v>
      </c>
      <c r="N646" s="227">
        <f t="shared" si="127"/>
        <v>0</v>
      </c>
      <c r="O646" s="227">
        <f t="shared" si="127"/>
        <v>0</v>
      </c>
      <c r="P646" s="227">
        <f t="shared" si="127"/>
        <v>7500</v>
      </c>
      <c r="Q646" s="227">
        <f t="shared" si="127"/>
        <v>7500</v>
      </c>
      <c r="R646" s="268" t="s">
        <v>38</v>
      </c>
      <c r="S646" s="269" t="s">
        <v>115</v>
      </c>
      <c r="T646" s="230"/>
    </row>
    <row r="647" spans="1:20" ht="26.1" hidden="1" customHeight="1">
      <c r="A647" s="213" t="s">
        <v>29</v>
      </c>
      <c r="B647" s="214" t="s">
        <v>50</v>
      </c>
      <c r="C647" s="214" t="s">
        <v>31</v>
      </c>
      <c r="D647" s="215" t="s">
        <v>296</v>
      </c>
      <c r="E647" s="216" t="s">
        <v>298</v>
      </c>
      <c r="F647" s="215" t="s">
        <v>299</v>
      </c>
      <c r="G647" s="262" t="s">
        <v>46</v>
      </c>
      <c r="H647" s="262" t="s">
        <v>47</v>
      </c>
      <c r="I647" s="262" t="s">
        <v>48</v>
      </c>
      <c r="J647" s="262">
        <f>SUM(J648:J650)</f>
        <v>0</v>
      </c>
      <c r="K647" s="217"/>
      <c r="L647" s="218"/>
      <c r="M647" s="218"/>
      <c r="N647" s="218"/>
      <c r="O647" s="218"/>
      <c r="P647" s="218">
        <v>19722</v>
      </c>
      <c r="Q647" s="218">
        <f>SUM(K647:P647)</f>
        <v>19722</v>
      </c>
      <c r="R647" s="263" t="s">
        <v>38</v>
      </c>
      <c r="S647" s="266" t="s">
        <v>115</v>
      </c>
      <c r="T647" s="229"/>
    </row>
    <row r="648" spans="1:20" ht="26.1" hidden="1" customHeight="1">
      <c r="A648" s="208"/>
      <c r="B648" s="211"/>
      <c r="C648" s="211"/>
      <c r="D648" s="212"/>
      <c r="E648" s="210" t="str">
        <f>IFERROR(VLOOKUP($T648,공사현장대장!$A$5:$T$330,4),"")</f>
        <v/>
      </c>
      <c r="F648" s="212"/>
      <c r="G648" s="265"/>
      <c r="H648" s="265"/>
      <c r="I648" s="265"/>
      <c r="J648" s="265" t="str">
        <f>IFERROR(ROUND(VLOOKUP($T648,공사현장대장!$A$5:$T$330,9)/1000,0),"")</f>
        <v/>
      </c>
      <c r="K648" s="225"/>
      <c r="L648" s="209"/>
      <c r="M648" s="209"/>
      <c r="N648" s="209"/>
      <c r="O648" s="209"/>
      <c r="P648" s="209"/>
      <c r="Q648" s="209"/>
      <c r="R648" s="263" t="s">
        <v>38</v>
      </c>
      <c r="S648" s="266" t="s">
        <v>115</v>
      </c>
      <c r="T648" s="229"/>
    </row>
    <row r="649" spans="1:20" ht="26.1" hidden="1" customHeight="1">
      <c r="A649" s="208"/>
      <c r="B649" s="211"/>
      <c r="C649" s="211"/>
      <c r="D649" s="212"/>
      <c r="E649" s="210" t="str">
        <f>IFERROR(VLOOKUP($T649,공사현장대장!$A$5:$T$330,4),"")</f>
        <v/>
      </c>
      <c r="F649" s="212"/>
      <c r="G649" s="265"/>
      <c r="H649" s="265"/>
      <c r="I649" s="265"/>
      <c r="J649" s="265" t="str">
        <f>IFERROR(ROUND(VLOOKUP($T649,공사현장대장!$A$5:$T$330,9)/1000,0),"")</f>
        <v/>
      </c>
      <c r="K649" s="225"/>
      <c r="L649" s="209"/>
      <c r="M649" s="209"/>
      <c r="N649" s="209"/>
      <c r="O649" s="209"/>
      <c r="P649" s="209"/>
      <c r="Q649" s="209"/>
      <c r="R649" s="263" t="s">
        <v>38</v>
      </c>
      <c r="S649" s="266" t="s">
        <v>115</v>
      </c>
      <c r="T649" s="229"/>
    </row>
    <row r="650" spans="1:20" ht="26.1" hidden="1" customHeight="1">
      <c r="A650" s="208"/>
      <c r="B650" s="211"/>
      <c r="C650" s="211"/>
      <c r="D650" s="212"/>
      <c r="E650" s="210" t="str">
        <f>IFERROR(VLOOKUP($T650,공사현장대장!$A$5:$T$330,4),"")</f>
        <v/>
      </c>
      <c r="F650" s="212"/>
      <c r="G650" s="265"/>
      <c r="H650" s="265"/>
      <c r="I650" s="265"/>
      <c r="J650" s="265" t="str">
        <f>IFERROR(ROUND(VLOOKUP($T650,공사현장대장!$A$5:$T$330,9)/1000,0),"")</f>
        <v/>
      </c>
      <c r="K650" s="225"/>
      <c r="L650" s="209"/>
      <c r="M650" s="209"/>
      <c r="N650" s="209"/>
      <c r="O650" s="209"/>
      <c r="P650" s="209"/>
      <c r="Q650" s="209"/>
      <c r="R650" s="263" t="s">
        <v>38</v>
      </c>
      <c r="S650" s="266" t="s">
        <v>115</v>
      </c>
      <c r="T650" s="229"/>
    </row>
    <row r="651" spans="1:20" ht="26.1" hidden="1" customHeight="1">
      <c r="A651" s="324" t="s">
        <v>40</v>
      </c>
      <c r="B651" s="325"/>
      <c r="C651" s="325"/>
      <c r="D651" s="325"/>
      <c r="E651" s="326"/>
      <c r="F651" s="226"/>
      <c r="G651" s="267"/>
      <c r="H651" s="267"/>
      <c r="I651" s="267"/>
      <c r="J651" s="267"/>
      <c r="K651" s="227">
        <f t="shared" ref="K651:Q651" si="128">SUM(K647-SUM(K648:K650))</f>
        <v>0</v>
      </c>
      <c r="L651" s="227">
        <f t="shared" si="128"/>
        <v>0</v>
      </c>
      <c r="M651" s="227">
        <f t="shared" si="128"/>
        <v>0</v>
      </c>
      <c r="N651" s="227">
        <f t="shared" si="128"/>
        <v>0</v>
      </c>
      <c r="O651" s="227">
        <f t="shared" si="128"/>
        <v>0</v>
      </c>
      <c r="P651" s="227">
        <f t="shared" si="128"/>
        <v>19722</v>
      </c>
      <c r="Q651" s="227">
        <f t="shared" si="128"/>
        <v>19722</v>
      </c>
      <c r="R651" s="268" t="s">
        <v>38</v>
      </c>
      <c r="S651" s="269" t="s">
        <v>115</v>
      </c>
      <c r="T651" s="230"/>
    </row>
    <row r="652" spans="1:20" ht="26.1" hidden="1" customHeight="1">
      <c r="A652" s="213" t="s">
        <v>29</v>
      </c>
      <c r="B652" s="214" t="s">
        <v>50</v>
      </c>
      <c r="C652" s="214" t="s">
        <v>31</v>
      </c>
      <c r="D652" s="215" t="s">
        <v>296</v>
      </c>
      <c r="E652" s="216" t="s">
        <v>300</v>
      </c>
      <c r="F652" s="215" t="s">
        <v>301</v>
      </c>
      <c r="G652" s="262" t="s">
        <v>46</v>
      </c>
      <c r="H652" s="262" t="s">
        <v>47</v>
      </c>
      <c r="I652" s="262" t="s">
        <v>48</v>
      </c>
      <c r="J652" s="262">
        <f>SUM(J653:J655)</f>
        <v>0</v>
      </c>
      <c r="K652" s="217"/>
      <c r="L652" s="218"/>
      <c r="M652" s="218"/>
      <c r="N652" s="218"/>
      <c r="O652" s="218"/>
      <c r="P652" s="218">
        <v>13500</v>
      </c>
      <c r="Q652" s="218">
        <f>SUM(K652:P652)</f>
        <v>13500</v>
      </c>
      <c r="R652" s="263" t="s">
        <v>38</v>
      </c>
      <c r="S652" s="266" t="s">
        <v>115</v>
      </c>
      <c r="T652" s="229"/>
    </row>
    <row r="653" spans="1:20" ht="26.1" hidden="1" customHeight="1">
      <c r="A653" s="208"/>
      <c r="B653" s="211"/>
      <c r="C653" s="211"/>
      <c r="D653" s="212"/>
      <c r="E653" s="210" t="str">
        <f>IFERROR(VLOOKUP($T653,공사현장대장!$A$5:$T$330,4),"")</f>
        <v/>
      </c>
      <c r="F653" s="212"/>
      <c r="G653" s="265"/>
      <c r="H653" s="265"/>
      <c r="I653" s="265"/>
      <c r="J653" s="265" t="str">
        <f>IFERROR(ROUND(VLOOKUP($T653,공사현장대장!$A$5:$T$330,9)/1000,0),"")</f>
        <v/>
      </c>
      <c r="K653" s="225"/>
      <c r="L653" s="209"/>
      <c r="M653" s="209"/>
      <c r="N653" s="209"/>
      <c r="O653" s="209"/>
      <c r="P653" s="209"/>
      <c r="Q653" s="209"/>
      <c r="R653" s="263" t="s">
        <v>38</v>
      </c>
      <c r="S653" s="266" t="s">
        <v>115</v>
      </c>
      <c r="T653" s="229"/>
    </row>
    <row r="654" spans="1:20" ht="26.1" hidden="1" customHeight="1">
      <c r="A654" s="208"/>
      <c r="B654" s="211"/>
      <c r="C654" s="211"/>
      <c r="D654" s="212"/>
      <c r="E654" s="210" t="str">
        <f>IFERROR(VLOOKUP($T654,공사현장대장!$A$5:$T$330,4),"")</f>
        <v/>
      </c>
      <c r="F654" s="212"/>
      <c r="G654" s="265"/>
      <c r="H654" s="265"/>
      <c r="I654" s="265"/>
      <c r="J654" s="265" t="str">
        <f>IFERROR(ROUND(VLOOKUP($T654,공사현장대장!$A$5:$T$330,9)/1000,0),"")</f>
        <v/>
      </c>
      <c r="K654" s="225"/>
      <c r="L654" s="209"/>
      <c r="M654" s="209"/>
      <c r="N654" s="209"/>
      <c r="O654" s="209"/>
      <c r="P654" s="209"/>
      <c r="Q654" s="209"/>
      <c r="R654" s="263" t="s">
        <v>38</v>
      </c>
      <c r="S654" s="266" t="s">
        <v>115</v>
      </c>
      <c r="T654" s="229"/>
    </row>
    <row r="655" spans="1:20" ht="26.1" hidden="1" customHeight="1">
      <c r="A655" s="208"/>
      <c r="B655" s="211"/>
      <c r="C655" s="211"/>
      <c r="D655" s="212"/>
      <c r="E655" s="210" t="str">
        <f>IFERROR(VLOOKUP($T655,공사현장대장!$A$5:$T$330,4),"")</f>
        <v/>
      </c>
      <c r="F655" s="212"/>
      <c r="G655" s="265"/>
      <c r="H655" s="265"/>
      <c r="I655" s="265"/>
      <c r="J655" s="265" t="str">
        <f>IFERROR(ROUND(VLOOKUP($T655,공사현장대장!$A$5:$T$330,9)/1000,0),"")</f>
        <v/>
      </c>
      <c r="K655" s="225"/>
      <c r="L655" s="209"/>
      <c r="M655" s="209"/>
      <c r="N655" s="209"/>
      <c r="O655" s="209"/>
      <c r="P655" s="209"/>
      <c r="Q655" s="209"/>
      <c r="R655" s="263" t="s">
        <v>38</v>
      </c>
      <c r="S655" s="266" t="s">
        <v>115</v>
      </c>
      <c r="T655" s="229"/>
    </row>
    <row r="656" spans="1:20" ht="26.1" hidden="1" customHeight="1">
      <c r="A656" s="324" t="s">
        <v>40</v>
      </c>
      <c r="B656" s="325"/>
      <c r="C656" s="325"/>
      <c r="D656" s="325"/>
      <c r="E656" s="326"/>
      <c r="F656" s="226"/>
      <c r="G656" s="267"/>
      <c r="H656" s="267"/>
      <c r="I656" s="267"/>
      <c r="J656" s="267"/>
      <c r="K656" s="227">
        <f t="shared" ref="K656:Q656" si="129">SUM(K652-SUM(K653:K655))</f>
        <v>0</v>
      </c>
      <c r="L656" s="227">
        <f t="shared" si="129"/>
        <v>0</v>
      </c>
      <c r="M656" s="227">
        <f t="shared" si="129"/>
        <v>0</v>
      </c>
      <c r="N656" s="227">
        <f t="shared" si="129"/>
        <v>0</v>
      </c>
      <c r="O656" s="227">
        <f t="shared" si="129"/>
        <v>0</v>
      </c>
      <c r="P656" s="227">
        <f t="shared" si="129"/>
        <v>13500</v>
      </c>
      <c r="Q656" s="227">
        <f t="shared" si="129"/>
        <v>13500</v>
      </c>
      <c r="R656" s="268" t="s">
        <v>38</v>
      </c>
      <c r="S656" s="269" t="s">
        <v>115</v>
      </c>
      <c r="T656" s="230"/>
    </row>
    <row r="657" spans="1:29" ht="26.1" hidden="1" customHeight="1">
      <c r="A657" s="213" t="s">
        <v>29</v>
      </c>
      <c r="B657" s="214" t="s">
        <v>50</v>
      </c>
      <c r="C657" s="214" t="s">
        <v>31</v>
      </c>
      <c r="D657" s="215" t="s">
        <v>296</v>
      </c>
      <c r="E657" s="216" t="s">
        <v>302</v>
      </c>
      <c r="F657" s="215" t="s">
        <v>303</v>
      </c>
      <c r="G657" s="262" t="s">
        <v>46</v>
      </c>
      <c r="H657" s="262" t="s">
        <v>47</v>
      </c>
      <c r="I657" s="262" t="s">
        <v>48</v>
      </c>
      <c r="J657" s="262">
        <f>SUM(J658:J660)</f>
        <v>0</v>
      </c>
      <c r="K657" s="217"/>
      <c r="L657" s="218"/>
      <c r="M657" s="218"/>
      <c r="N657" s="218"/>
      <c r="O657" s="218"/>
      <c r="P657" s="218">
        <v>15000</v>
      </c>
      <c r="Q657" s="218">
        <f>SUM(K657:P657)</f>
        <v>15000</v>
      </c>
      <c r="R657" s="263" t="s">
        <v>38</v>
      </c>
      <c r="S657" s="266" t="s">
        <v>115</v>
      </c>
      <c r="T657" s="229"/>
    </row>
    <row r="658" spans="1:29" ht="26.1" hidden="1" customHeight="1">
      <c r="A658" s="208"/>
      <c r="B658" s="211"/>
      <c r="C658" s="211"/>
      <c r="D658" s="212"/>
      <c r="E658" s="210" t="str">
        <f>IFERROR(VLOOKUP($T658,공사현장대장!$A$5:$T$330,4),"")</f>
        <v/>
      </c>
      <c r="F658" s="212"/>
      <c r="G658" s="265"/>
      <c r="H658" s="265"/>
      <c r="I658" s="265"/>
      <c r="J658" s="265" t="str">
        <f>IFERROR(ROUND(VLOOKUP($T658,공사현장대장!$A$5:$T$330,9)/1000,0),"")</f>
        <v/>
      </c>
      <c r="K658" s="225"/>
      <c r="L658" s="209"/>
      <c r="M658" s="209"/>
      <c r="N658" s="209"/>
      <c r="O658" s="209"/>
      <c r="P658" s="209"/>
      <c r="Q658" s="209"/>
      <c r="R658" s="263" t="s">
        <v>38</v>
      </c>
      <c r="S658" s="266" t="s">
        <v>115</v>
      </c>
      <c r="T658" s="229"/>
    </row>
    <row r="659" spans="1:29" ht="26.1" hidden="1" customHeight="1">
      <c r="A659" s="208"/>
      <c r="B659" s="211"/>
      <c r="C659" s="211"/>
      <c r="D659" s="212"/>
      <c r="E659" s="210" t="str">
        <f>IFERROR(VLOOKUP($T659,공사현장대장!$A$5:$T$330,4),"")</f>
        <v/>
      </c>
      <c r="F659" s="212"/>
      <c r="G659" s="265"/>
      <c r="H659" s="265"/>
      <c r="I659" s="265"/>
      <c r="J659" s="265" t="str">
        <f>IFERROR(ROUND(VLOOKUP($T659,공사현장대장!$A$5:$T$330,9)/1000,0),"")</f>
        <v/>
      </c>
      <c r="K659" s="225"/>
      <c r="L659" s="209"/>
      <c r="M659" s="209"/>
      <c r="N659" s="209"/>
      <c r="O659" s="209"/>
      <c r="P659" s="209"/>
      <c r="Q659" s="209"/>
      <c r="R659" s="263" t="s">
        <v>38</v>
      </c>
      <c r="S659" s="266" t="s">
        <v>115</v>
      </c>
      <c r="T659" s="229"/>
    </row>
    <row r="660" spans="1:29" ht="26.1" hidden="1" customHeight="1">
      <c r="A660" s="208"/>
      <c r="B660" s="211"/>
      <c r="C660" s="211"/>
      <c r="D660" s="212"/>
      <c r="E660" s="210" t="str">
        <f>IFERROR(VLOOKUP($T660,공사현장대장!$A$5:$T$330,4),"")</f>
        <v/>
      </c>
      <c r="F660" s="212"/>
      <c r="G660" s="265"/>
      <c r="H660" s="265"/>
      <c r="I660" s="265"/>
      <c r="J660" s="265" t="str">
        <f>IFERROR(ROUND(VLOOKUP($T660,공사현장대장!$A$5:$T$330,9)/1000,0),"")</f>
        <v/>
      </c>
      <c r="K660" s="225"/>
      <c r="L660" s="209"/>
      <c r="M660" s="209"/>
      <c r="N660" s="209"/>
      <c r="O660" s="209"/>
      <c r="P660" s="209"/>
      <c r="Q660" s="209"/>
      <c r="R660" s="263" t="s">
        <v>38</v>
      </c>
      <c r="S660" s="266" t="s">
        <v>115</v>
      </c>
      <c r="T660" s="229"/>
    </row>
    <row r="661" spans="1:29" ht="26.1" hidden="1" customHeight="1">
      <c r="A661" s="324" t="s">
        <v>40</v>
      </c>
      <c r="B661" s="325"/>
      <c r="C661" s="325"/>
      <c r="D661" s="325"/>
      <c r="E661" s="326"/>
      <c r="F661" s="226"/>
      <c r="G661" s="267"/>
      <c r="H661" s="267"/>
      <c r="I661" s="267"/>
      <c r="J661" s="267"/>
      <c r="K661" s="227">
        <f t="shared" ref="K661:Q661" si="130">SUM(K657-SUM(K658:K660))</f>
        <v>0</v>
      </c>
      <c r="L661" s="227">
        <f t="shared" si="130"/>
        <v>0</v>
      </c>
      <c r="M661" s="227">
        <f t="shared" si="130"/>
        <v>0</v>
      </c>
      <c r="N661" s="227">
        <f t="shared" si="130"/>
        <v>0</v>
      </c>
      <c r="O661" s="227">
        <f t="shared" si="130"/>
        <v>0</v>
      </c>
      <c r="P661" s="227">
        <f t="shared" si="130"/>
        <v>15000</v>
      </c>
      <c r="Q661" s="227">
        <f t="shared" si="130"/>
        <v>15000</v>
      </c>
      <c r="R661" s="268" t="s">
        <v>38</v>
      </c>
      <c r="S661" s="269" t="s">
        <v>115</v>
      </c>
      <c r="T661" s="230"/>
    </row>
    <row r="662" spans="1:29" ht="26.1" hidden="1" customHeight="1">
      <c r="A662" s="213" t="s">
        <v>29</v>
      </c>
      <c r="B662" s="214" t="s">
        <v>50</v>
      </c>
      <c r="C662" s="214" t="s">
        <v>31</v>
      </c>
      <c r="D662" s="215" t="s">
        <v>296</v>
      </c>
      <c r="E662" s="216" t="s">
        <v>304</v>
      </c>
      <c r="F662" s="215" t="s">
        <v>57</v>
      </c>
      <c r="G662" s="262" t="s">
        <v>46</v>
      </c>
      <c r="H662" s="262" t="s">
        <v>47</v>
      </c>
      <c r="I662" s="262" t="s">
        <v>48</v>
      </c>
      <c r="J662" s="262">
        <f>SUM(J663:J665)</f>
        <v>0</v>
      </c>
      <c r="K662" s="217"/>
      <c r="L662" s="218"/>
      <c r="M662" s="218"/>
      <c r="N662" s="218"/>
      <c r="O662" s="218"/>
      <c r="P662" s="218">
        <v>9825</v>
      </c>
      <c r="Q662" s="218">
        <f>SUM(K662:P662)</f>
        <v>9825</v>
      </c>
      <c r="R662" s="263" t="s">
        <v>38</v>
      </c>
      <c r="S662" s="266" t="s">
        <v>115</v>
      </c>
      <c r="T662" s="229"/>
    </row>
    <row r="663" spans="1:29" ht="26.1" hidden="1" customHeight="1">
      <c r="A663" s="208"/>
      <c r="B663" s="211"/>
      <c r="C663" s="211"/>
      <c r="D663" s="212"/>
      <c r="E663" s="210" t="str">
        <f>IFERROR(VLOOKUP($T663,공사현장대장!$A$5:$T$330,4),"")</f>
        <v/>
      </c>
      <c r="F663" s="212"/>
      <c r="G663" s="265"/>
      <c r="H663" s="265"/>
      <c r="I663" s="265"/>
      <c r="J663" s="265" t="str">
        <f>IFERROR(ROUND(VLOOKUP($T663,공사현장대장!$A$5:$T$330,9)/1000,0),"")</f>
        <v/>
      </c>
      <c r="K663" s="225"/>
      <c r="L663" s="209"/>
      <c r="M663" s="209"/>
      <c r="N663" s="209"/>
      <c r="O663" s="209"/>
      <c r="P663" s="209"/>
      <c r="Q663" s="209"/>
      <c r="R663" s="263" t="s">
        <v>38</v>
      </c>
      <c r="S663" s="266" t="s">
        <v>115</v>
      </c>
      <c r="T663" s="229"/>
    </row>
    <row r="664" spans="1:29" ht="26.1" hidden="1" customHeight="1">
      <c r="A664" s="208"/>
      <c r="B664" s="211"/>
      <c r="C664" s="211"/>
      <c r="D664" s="212"/>
      <c r="E664" s="210" t="str">
        <f>IFERROR(VLOOKUP($T664,공사현장대장!$A$5:$T$330,4),"")</f>
        <v/>
      </c>
      <c r="F664" s="212"/>
      <c r="G664" s="265"/>
      <c r="H664" s="265"/>
      <c r="I664" s="265"/>
      <c r="J664" s="265" t="str">
        <f>IFERROR(ROUND(VLOOKUP($T664,공사현장대장!$A$5:$T$330,9)/1000,0),"")</f>
        <v/>
      </c>
      <c r="K664" s="225"/>
      <c r="L664" s="209"/>
      <c r="M664" s="209"/>
      <c r="N664" s="209"/>
      <c r="O664" s="209"/>
      <c r="P664" s="209"/>
      <c r="Q664" s="209"/>
      <c r="R664" s="263" t="s">
        <v>38</v>
      </c>
      <c r="S664" s="266" t="s">
        <v>115</v>
      </c>
      <c r="T664" s="229"/>
    </row>
    <row r="665" spans="1:29" ht="26.1" hidden="1" customHeight="1">
      <c r="A665" s="208"/>
      <c r="B665" s="211"/>
      <c r="C665" s="211"/>
      <c r="D665" s="212"/>
      <c r="E665" s="210" t="str">
        <f>IFERROR(VLOOKUP($T665,공사현장대장!$A$5:$T$330,4),"")</f>
        <v/>
      </c>
      <c r="F665" s="212"/>
      <c r="G665" s="265"/>
      <c r="H665" s="265"/>
      <c r="I665" s="265"/>
      <c r="J665" s="265" t="str">
        <f>IFERROR(ROUND(VLOOKUP($T665,공사현장대장!$A$5:$T$330,9)/1000,0),"")</f>
        <v/>
      </c>
      <c r="K665" s="225"/>
      <c r="L665" s="209"/>
      <c r="M665" s="209"/>
      <c r="N665" s="209"/>
      <c r="O665" s="209"/>
      <c r="P665" s="209"/>
      <c r="Q665" s="209"/>
      <c r="R665" s="263" t="s">
        <v>38</v>
      </c>
      <c r="S665" s="266" t="s">
        <v>115</v>
      </c>
      <c r="T665" s="229"/>
    </row>
    <row r="666" spans="1:29" ht="26.1" hidden="1" customHeight="1">
      <c r="A666" s="324" t="s">
        <v>40</v>
      </c>
      <c r="B666" s="325"/>
      <c r="C666" s="325"/>
      <c r="D666" s="325"/>
      <c r="E666" s="326"/>
      <c r="F666" s="226"/>
      <c r="G666" s="267"/>
      <c r="H666" s="267"/>
      <c r="I666" s="267"/>
      <c r="J666" s="267"/>
      <c r="K666" s="227">
        <f t="shared" ref="K666:Q666" si="131">SUM(K662-SUM(K663:K665))</f>
        <v>0</v>
      </c>
      <c r="L666" s="227">
        <f t="shared" si="131"/>
        <v>0</v>
      </c>
      <c r="M666" s="227">
        <f t="shared" si="131"/>
        <v>0</v>
      </c>
      <c r="N666" s="227">
        <f t="shared" si="131"/>
        <v>0</v>
      </c>
      <c r="O666" s="227">
        <f t="shared" si="131"/>
        <v>0</v>
      </c>
      <c r="P666" s="227">
        <f t="shared" si="131"/>
        <v>9825</v>
      </c>
      <c r="Q666" s="227">
        <f t="shared" si="131"/>
        <v>9825</v>
      </c>
      <c r="R666" s="268" t="s">
        <v>38</v>
      </c>
      <c r="S666" s="269" t="s">
        <v>115</v>
      </c>
      <c r="T666" s="230"/>
    </row>
    <row r="667" spans="1:29" ht="26.1" hidden="1" customHeight="1">
      <c r="A667" s="213" t="s">
        <v>29</v>
      </c>
      <c r="B667" s="214" t="s">
        <v>50</v>
      </c>
      <c r="C667" s="214" t="s">
        <v>31</v>
      </c>
      <c r="D667" s="215" t="s">
        <v>296</v>
      </c>
      <c r="E667" s="216" t="s">
        <v>305</v>
      </c>
      <c r="F667" s="215" t="s">
        <v>306</v>
      </c>
      <c r="G667" s="262" t="s">
        <v>46</v>
      </c>
      <c r="H667" s="262" t="s">
        <v>47</v>
      </c>
      <c r="I667" s="262" t="s">
        <v>48</v>
      </c>
      <c r="J667" s="262">
        <f>SUM(J668:J670)</f>
        <v>0</v>
      </c>
      <c r="K667" s="217"/>
      <c r="L667" s="218"/>
      <c r="M667" s="218"/>
      <c r="N667" s="218"/>
      <c r="O667" s="218"/>
      <c r="P667" s="218">
        <v>5593</v>
      </c>
      <c r="Q667" s="218">
        <f>SUM(K667:P667)</f>
        <v>5593</v>
      </c>
      <c r="R667" s="263" t="s">
        <v>38</v>
      </c>
      <c r="S667" s="266" t="s">
        <v>115</v>
      </c>
      <c r="T667" s="229"/>
    </row>
    <row r="668" spans="1:29" ht="26.1" hidden="1" customHeight="1">
      <c r="A668" s="208"/>
      <c r="B668" s="211"/>
      <c r="C668" s="211"/>
      <c r="D668" s="212"/>
      <c r="E668" s="210" t="str">
        <f>IFERROR(VLOOKUP($T668,공사현장대장!$A$5:$T$330,4),"")</f>
        <v/>
      </c>
      <c r="F668" s="212"/>
      <c r="G668" s="265"/>
      <c r="H668" s="265"/>
      <c r="I668" s="265"/>
      <c r="J668" s="265" t="str">
        <f>IFERROR(ROUND(VLOOKUP($T668,공사현장대장!$A$5:$T$330,9)/1000,0),"")</f>
        <v/>
      </c>
      <c r="K668" s="225"/>
      <c r="L668" s="209"/>
      <c r="M668" s="209"/>
      <c r="N668" s="209"/>
      <c r="O668" s="209"/>
      <c r="P668" s="209"/>
      <c r="Q668" s="209"/>
      <c r="R668" s="263" t="s">
        <v>38</v>
      </c>
      <c r="S668" s="266" t="s">
        <v>115</v>
      </c>
      <c r="T668" s="229"/>
    </row>
    <row r="669" spans="1:29" ht="26.1" hidden="1" customHeight="1">
      <c r="A669" s="208"/>
      <c r="B669" s="211"/>
      <c r="C669" s="211"/>
      <c r="D669" s="212"/>
      <c r="E669" s="210" t="str">
        <f>IFERROR(VLOOKUP($T669,공사현장대장!$A$5:$T$330,4),"")</f>
        <v/>
      </c>
      <c r="F669" s="212"/>
      <c r="G669" s="265"/>
      <c r="H669" s="265"/>
      <c r="I669" s="265"/>
      <c r="J669" s="265" t="str">
        <f>IFERROR(ROUND(VLOOKUP($T669,공사현장대장!$A$5:$T$330,9)/1000,0),"")</f>
        <v/>
      </c>
      <c r="K669" s="225"/>
      <c r="L669" s="209"/>
      <c r="M669" s="209"/>
      <c r="N669" s="209"/>
      <c r="O669" s="209"/>
      <c r="P669" s="209"/>
      <c r="Q669" s="209"/>
      <c r="R669" s="263" t="s">
        <v>38</v>
      </c>
      <c r="S669" s="266" t="s">
        <v>115</v>
      </c>
      <c r="T669" s="229"/>
    </row>
    <row r="670" spans="1:29" ht="26.1" hidden="1" customHeight="1">
      <c r="A670" s="208"/>
      <c r="B670" s="211"/>
      <c r="C670" s="211"/>
      <c r="D670" s="212"/>
      <c r="E670" s="210" t="str">
        <f>IFERROR(VLOOKUP($T670,공사현장대장!$A$5:$T$330,4),"")</f>
        <v/>
      </c>
      <c r="F670" s="212"/>
      <c r="G670" s="265"/>
      <c r="H670" s="265"/>
      <c r="I670" s="265"/>
      <c r="J670" s="265" t="str">
        <f>IFERROR(ROUND(VLOOKUP($T670,공사현장대장!$A$5:$T$330,9)/1000,0),"")</f>
        <v/>
      </c>
      <c r="K670" s="225"/>
      <c r="L670" s="209"/>
      <c r="M670" s="209"/>
      <c r="N670" s="209"/>
      <c r="O670" s="209"/>
      <c r="P670" s="209"/>
      <c r="Q670" s="209"/>
      <c r="R670" s="263" t="s">
        <v>38</v>
      </c>
      <c r="S670" s="266" t="s">
        <v>115</v>
      </c>
      <c r="T670" s="229"/>
    </row>
    <row r="671" spans="1:29" ht="26.1" hidden="1" customHeight="1">
      <c r="A671" s="324" t="s">
        <v>40</v>
      </c>
      <c r="B671" s="325"/>
      <c r="C671" s="325"/>
      <c r="D671" s="325"/>
      <c r="E671" s="326"/>
      <c r="F671" s="226"/>
      <c r="G671" s="267"/>
      <c r="H671" s="267"/>
      <c r="I671" s="267"/>
      <c r="J671" s="267"/>
      <c r="K671" s="227">
        <f t="shared" ref="K671:Q671" si="132">SUM(K667-SUM(K668:K670))</f>
        <v>0</v>
      </c>
      <c r="L671" s="227">
        <f t="shared" si="132"/>
        <v>0</v>
      </c>
      <c r="M671" s="227">
        <f t="shared" si="132"/>
        <v>0</v>
      </c>
      <c r="N671" s="227">
        <f t="shared" si="132"/>
        <v>0</v>
      </c>
      <c r="O671" s="227">
        <f t="shared" si="132"/>
        <v>0</v>
      </c>
      <c r="P671" s="227">
        <f t="shared" si="132"/>
        <v>5593</v>
      </c>
      <c r="Q671" s="227">
        <f t="shared" si="132"/>
        <v>5593</v>
      </c>
      <c r="R671" s="268" t="s">
        <v>38</v>
      </c>
      <c r="S671" s="269" t="s">
        <v>115</v>
      </c>
      <c r="T671" s="230"/>
    </row>
    <row r="672" spans="1:29" ht="26.1" hidden="1" customHeight="1">
      <c r="A672" s="213" t="s">
        <v>29</v>
      </c>
      <c r="B672" s="214" t="s">
        <v>50</v>
      </c>
      <c r="C672" s="214" t="s">
        <v>31</v>
      </c>
      <c r="D672" s="215" t="s">
        <v>296</v>
      </c>
      <c r="E672" s="216" t="s">
        <v>307</v>
      </c>
      <c r="F672" s="215" t="s">
        <v>308</v>
      </c>
      <c r="G672" s="262" t="s">
        <v>46</v>
      </c>
      <c r="H672" s="262" t="s">
        <v>47</v>
      </c>
      <c r="I672" s="262" t="s">
        <v>48</v>
      </c>
      <c r="J672" s="262">
        <f>SUM(J673:J675)</f>
        <v>0</v>
      </c>
      <c r="K672" s="217"/>
      <c r="L672" s="218"/>
      <c r="M672" s="218"/>
      <c r="N672" s="218"/>
      <c r="O672" s="218"/>
      <c r="P672" s="218">
        <v>48370</v>
      </c>
      <c r="Q672" s="218">
        <f>SUM(K672:P672)</f>
        <v>48370</v>
      </c>
      <c r="R672" s="270" t="s">
        <v>41</v>
      </c>
      <c r="S672" s="266" t="s">
        <v>115</v>
      </c>
      <c r="T672" s="229"/>
      <c r="V672" s="241" t="str">
        <f>B672</f>
        <v>초</v>
      </c>
      <c r="W672" s="241" t="str">
        <f>C672</f>
        <v>공립</v>
      </c>
      <c r="X672" s="241" t="str">
        <f>D672</f>
        <v>한서초</v>
      </c>
      <c r="Y672" s="241" t="str">
        <f>E672</f>
        <v xml:space="preserve"> 통학버스 차고 샌드위치패널해소</v>
      </c>
      <c r="Z672" s="241" t="str">
        <f>F672</f>
        <v>70㎡</v>
      </c>
      <c r="AA672" s="244">
        <f>Q672</f>
        <v>48370</v>
      </c>
      <c r="AB672" s="271" t="str">
        <f>R672</f>
        <v>1회추경</v>
      </c>
      <c r="AC672" s="241">
        <v>420</v>
      </c>
    </row>
    <row r="673" spans="1:28" ht="26.1" hidden="1" customHeight="1">
      <c r="A673" s="208"/>
      <c r="B673" s="211"/>
      <c r="C673" s="211"/>
      <c r="D673" s="212"/>
      <c r="E673" s="210" t="str">
        <f>IFERROR(VLOOKUP($T673,공사현장대장!$A$5:$T$330,4),"")</f>
        <v/>
      </c>
      <c r="F673" s="212"/>
      <c r="G673" s="265"/>
      <c r="H673" s="265"/>
      <c r="I673" s="265"/>
      <c r="J673" s="265" t="str">
        <f>IFERROR(ROUND(VLOOKUP($T673,공사현장대장!$A$5:$T$330,9)/1000,0),"")</f>
        <v/>
      </c>
      <c r="K673" s="225"/>
      <c r="L673" s="209"/>
      <c r="M673" s="209"/>
      <c r="N673" s="209"/>
      <c r="O673" s="209"/>
      <c r="P673" s="209"/>
      <c r="Q673" s="209"/>
      <c r="R673" s="263" t="s">
        <v>41</v>
      </c>
      <c r="S673" s="266" t="s">
        <v>115</v>
      </c>
      <c r="T673" s="229"/>
      <c r="AA673" s="244"/>
      <c r="AB673" s="271"/>
    </row>
    <row r="674" spans="1:28" ht="26.1" hidden="1" customHeight="1">
      <c r="A674" s="208"/>
      <c r="B674" s="211"/>
      <c r="C674" s="211"/>
      <c r="D674" s="212"/>
      <c r="E674" s="210" t="str">
        <f>IFERROR(VLOOKUP($T674,공사현장대장!$A$5:$T$330,4),"")</f>
        <v/>
      </c>
      <c r="F674" s="212"/>
      <c r="G674" s="265"/>
      <c r="H674" s="265"/>
      <c r="I674" s="265"/>
      <c r="J674" s="265" t="str">
        <f>IFERROR(ROUND(VLOOKUP($T674,공사현장대장!$A$5:$T$330,9)/1000,0),"")</f>
        <v/>
      </c>
      <c r="K674" s="225"/>
      <c r="L674" s="209"/>
      <c r="M674" s="209"/>
      <c r="N674" s="209"/>
      <c r="O674" s="209"/>
      <c r="P674" s="209"/>
      <c r="Q674" s="209"/>
      <c r="R674" s="263" t="s">
        <v>41</v>
      </c>
      <c r="S674" s="266" t="s">
        <v>115</v>
      </c>
      <c r="T674" s="229"/>
      <c r="AA674" s="244"/>
      <c r="AB674" s="271"/>
    </row>
    <row r="675" spans="1:28" ht="26.1" hidden="1" customHeight="1">
      <c r="A675" s="208"/>
      <c r="B675" s="211"/>
      <c r="C675" s="211"/>
      <c r="D675" s="212"/>
      <c r="E675" s="210" t="str">
        <f>IFERROR(VLOOKUP($T675,공사현장대장!$A$5:$T$330,4),"")</f>
        <v/>
      </c>
      <c r="F675" s="212"/>
      <c r="G675" s="265"/>
      <c r="H675" s="265"/>
      <c r="I675" s="265"/>
      <c r="J675" s="265" t="str">
        <f>IFERROR(ROUND(VLOOKUP($T675,공사현장대장!$A$5:$T$330,9)/1000,0),"")</f>
        <v/>
      </c>
      <c r="K675" s="225"/>
      <c r="L675" s="209"/>
      <c r="M675" s="209"/>
      <c r="N675" s="209"/>
      <c r="O675" s="209"/>
      <c r="P675" s="209"/>
      <c r="Q675" s="209"/>
      <c r="R675" s="263" t="s">
        <v>41</v>
      </c>
      <c r="S675" s="266" t="s">
        <v>115</v>
      </c>
      <c r="T675" s="229"/>
      <c r="AA675" s="244"/>
      <c r="AB675" s="271"/>
    </row>
    <row r="676" spans="1:28" ht="26.1" hidden="1" customHeight="1">
      <c r="A676" s="324" t="s">
        <v>40</v>
      </c>
      <c r="B676" s="325"/>
      <c r="C676" s="325"/>
      <c r="D676" s="325"/>
      <c r="E676" s="326"/>
      <c r="F676" s="226"/>
      <c r="G676" s="267"/>
      <c r="H676" s="267"/>
      <c r="I676" s="267"/>
      <c r="J676" s="267"/>
      <c r="K676" s="227">
        <f t="shared" ref="K676:Q676" si="133">SUM(K672-SUM(K673:K675))</f>
        <v>0</v>
      </c>
      <c r="L676" s="227">
        <f t="shared" si="133"/>
        <v>0</v>
      </c>
      <c r="M676" s="227">
        <f t="shared" si="133"/>
        <v>0</v>
      </c>
      <c r="N676" s="227">
        <f t="shared" si="133"/>
        <v>0</v>
      </c>
      <c r="O676" s="227">
        <f t="shared" si="133"/>
        <v>0</v>
      </c>
      <c r="P676" s="227">
        <f t="shared" si="133"/>
        <v>48370</v>
      </c>
      <c r="Q676" s="227">
        <f t="shared" si="133"/>
        <v>48370</v>
      </c>
      <c r="R676" s="268" t="s">
        <v>41</v>
      </c>
      <c r="S676" s="269" t="s">
        <v>115</v>
      </c>
      <c r="T676" s="230"/>
      <c r="AA676" s="244"/>
      <c r="AB676" s="271"/>
    </row>
    <row r="677" spans="1:28" ht="26.1" hidden="1" customHeight="1">
      <c r="A677" s="213" t="s">
        <v>29</v>
      </c>
      <c r="B677" s="214" t="s">
        <v>50</v>
      </c>
      <c r="C677" s="214" t="s">
        <v>31</v>
      </c>
      <c r="D677" s="215" t="s">
        <v>309</v>
      </c>
      <c r="E677" s="216" t="s">
        <v>194</v>
      </c>
      <c r="F677" s="215" t="s">
        <v>310</v>
      </c>
      <c r="G677" s="262" t="s">
        <v>46</v>
      </c>
      <c r="H677" s="262" t="s">
        <v>54</v>
      </c>
      <c r="I677" s="262" t="s">
        <v>55</v>
      </c>
      <c r="J677" s="262">
        <f>SUM(J678:J680)</f>
        <v>0</v>
      </c>
      <c r="K677" s="217"/>
      <c r="L677" s="218"/>
      <c r="M677" s="218"/>
      <c r="N677" s="218"/>
      <c r="O677" s="218"/>
      <c r="P677" s="218">
        <v>42700</v>
      </c>
      <c r="Q677" s="218">
        <f>SUM(K677:P677)</f>
        <v>42700</v>
      </c>
      <c r="R677" s="263" t="s">
        <v>38</v>
      </c>
      <c r="S677" s="266" t="s">
        <v>115</v>
      </c>
      <c r="T677" s="229"/>
    </row>
    <row r="678" spans="1:28" ht="26.1" hidden="1" customHeight="1">
      <c r="A678" s="208"/>
      <c r="B678" s="211"/>
      <c r="C678" s="211"/>
      <c r="D678" s="212"/>
      <c r="E678" s="210" t="str">
        <f>IFERROR(VLOOKUP($T678,공사현장대장!$A$5:$T$330,4),"")</f>
        <v/>
      </c>
      <c r="F678" s="212"/>
      <c r="G678" s="265"/>
      <c r="H678" s="265"/>
      <c r="I678" s="265"/>
      <c r="J678" s="265" t="str">
        <f>IFERROR(ROUND(VLOOKUP($T678,공사현장대장!$A$5:$T$330,9)/1000,0),"")</f>
        <v/>
      </c>
      <c r="K678" s="225"/>
      <c r="L678" s="209"/>
      <c r="M678" s="209"/>
      <c r="N678" s="209"/>
      <c r="O678" s="209"/>
      <c r="P678" s="209"/>
      <c r="Q678" s="209"/>
      <c r="R678" s="263" t="s">
        <v>38</v>
      </c>
      <c r="S678" s="266" t="s">
        <v>115</v>
      </c>
      <c r="T678" s="229"/>
    </row>
    <row r="679" spans="1:28" ht="26.1" hidden="1" customHeight="1">
      <c r="A679" s="208"/>
      <c r="B679" s="211"/>
      <c r="C679" s="211"/>
      <c r="D679" s="212"/>
      <c r="E679" s="210" t="str">
        <f>IFERROR(VLOOKUP($T679,공사현장대장!$A$5:$T$330,4),"")</f>
        <v/>
      </c>
      <c r="F679" s="212"/>
      <c r="G679" s="265"/>
      <c r="H679" s="265"/>
      <c r="I679" s="265"/>
      <c r="J679" s="265" t="str">
        <f>IFERROR(ROUND(VLOOKUP($T679,공사현장대장!$A$5:$T$330,9)/1000,0),"")</f>
        <v/>
      </c>
      <c r="K679" s="225"/>
      <c r="L679" s="209"/>
      <c r="M679" s="209"/>
      <c r="N679" s="209"/>
      <c r="O679" s="209"/>
      <c r="P679" s="209"/>
      <c r="Q679" s="209"/>
      <c r="R679" s="263" t="s">
        <v>38</v>
      </c>
      <c r="S679" s="266" t="s">
        <v>115</v>
      </c>
      <c r="T679" s="229"/>
    </row>
    <row r="680" spans="1:28" ht="26.1" hidden="1" customHeight="1">
      <c r="A680" s="208"/>
      <c r="B680" s="211"/>
      <c r="C680" s="211"/>
      <c r="D680" s="212"/>
      <c r="E680" s="210" t="str">
        <f>IFERROR(VLOOKUP($T680,공사현장대장!$A$5:$T$330,4),"")</f>
        <v/>
      </c>
      <c r="F680" s="212"/>
      <c r="G680" s="265"/>
      <c r="H680" s="265"/>
      <c r="I680" s="265"/>
      <c r="J680" s="265" t="str">
        <f>IFERROR(ROUND(VLOOKUP($T680,공사현장대장!$A$5:$T$330,9)/1000,0),"")</f>
        <v/>
      </c>
      <c r="K680" s="225"/>
      <c r="L680" s="209"/>
      <c r="M680" s="209"/>
      <c r="N680" s="209"/>
      <c r="O680" s="209"/>
      <c r="P680" s="209"/>
      <c r="Q680" s="209"/>
      <c r="R680" s="263" t="s">
        <v>38</v>
      </c>
      <c r="S680" s="266" t="s">
        <v>115</v>
      </c>
      <c r="T680" s="229"/>
    </row>
    <row r="681" spans="1:28" ht="26.1" hidden="1" customHeight="1">
      <c r="A681" s="324" t="s">
        <v>40</v>
      </c>
      <c r="B681" s="325"/>
      <c r="C681" s="325"/>
      <c r="D681" s="325"/>
      <c r="E681" s="326"/>
      <c r="F681" s="226"/>
      <c r="G681" s="267"/>
      <c r="H681" s="267"/>
      <c r="I681" s="267"/>
      <c r="J681" s="267"/>
      <c r="K681" s="227">
        <f t="shared" ref="K681:Q681" si="134">SUM(K677-SUM(K678:K680))</f>
        <v>0</v>
      </c>
      <c r="L681" s="227">
        <f t="shared" si="134"/>
        <v>0</v>
      </c>
      <c r="M681" s="227">
        <f t="shared" si="134"/>
        <v>0</v>
      </c>
      <c r="N681" s="227">
        <f t="shared" si="134"/>
        <v>0</v>
      </c>
      <c r="O681" s="227">
        <f t="shared" si="134"/>
        <v>0</v>
      </c>
      <c r="P681" s="227">
        <f t="shared" si="134"/>
        <v>42700</v>
      </c>
      <c r="Q681" s="227">
        <f t="shared" si="134"/>
        <v>42700</v>
      </c>
      <c r="R681" s="268" t="s">
        <v>38</v>
      </c>
      <c r="S681" s="269" t="s">
        <v>115</v>
      </c>
      <c r="T681" s="230"/>
    </row>
    <row r="682" spans="1:28" ht="26.1" hidden="1" customHeight="1">
      <c r="A682" s="213" t="s">
        <v>29</v>
      </c>
      <c r="B682" s="214" t="s">
        <v>50</v>
      </c>
      <c r="C682" s="214" t="s">
        <v>31</v>
      </c>
      <c r="D682" s="215" t="s">
        <v>309</v>
      </c>
      <c r="E682" s="216" t="s">
        <v>311</v>
      </c>
      <c r="F682" s="215" t="s">
        <v>136</v>
      </c>
      <c r="G682" s="262" t="s">
        <v>46</v>
      </c>
      <c r="H682" s="262" t="s">
        <v>312</v>
      </c>
      <c r="I682" s="262" t="s">
        <v>203</v>
      </c>
      <c r="J682" s="262">
        <f>SUM(J683:J685)</f>
        <v>0</v>
      </c>
      <c r="K682" s="217"/>
      <c r="L682" s="218"/>
      <c r="M682" s="218"/>
      <c r="N682" s="218"/>
      <c r="O682" s="218"/>
      <c r="P682" s="218">
        <v>90000</v>
      </c>
      <c r="Q682" s="218">
        <f>SUM(K682:P682)</f>
        <v>90000</v>
      </c>
      <c r="R682" s="263" t="s">
        <v>38</v>
      </c>
      <c r="S682" s="266" t="s">
        <v>115</v>
      </c>
      <c r="T682" s="229"/>
    </row>
    <row r="683" spans="1:28" ht="26.1" hidden="1" customHeight="1">
      <c r="A683" s="208"/>
      <c r="B683" s="211"/>
      <c r="C683" s="211"/>
      <c r="D683" s="212"/>
      <c r="E683" s="210" t="str">
        <f>IFERROR(VLOOKUP($T683,공사현장대장!$A$5:$T$330,4),"")</f>
        <v/>
      </c>
      <c r="F683" s="212"/>
      <c r="G683" s="265"/>
      <c r="H683" s="265"/>
      <c r="I683" s="265"/>
      <c r="J683" s="265" t="str">
        <f>IFERROR(ROUND(VLOOKUP($T683,공사현장대장!$A$5:$T$330,9)/1000,0),"")</f>
        <v/>
      </c>
      <c r="K683" s="225"/>
      <c r="L683" s="209"/>
      <c r="M683" s="209"/>
      <c r="N683" s="209"/>
      <c r="O683" s="209"/>
      <c r="P683" s="209"/>
      <c r="Q683" s="209"/>
      <c r="R683" s="263" t="s">
        <v>38</v>
      </c>
      <c r="S683" s="266" t="s">
        <v>115</v>
      </c>
      <c r="T683" s="229"/>
    </row>
    <row r="684" spans="1:28" ht="26.1" hidden="1" customHeight="1">
      <c r="A684" s="208"/>
      <c r="B684" s="211"/>
      <c r="C684" s="211"/>
      <c r="D684" s="212"/>
      <c r="E684" s="210" t="str">
        <f>IFERROR(VLOOKUP($T684,공사현장대장!$A$5:$T$330,4),"")</f>
        <v/>
      </c>
      <c r="F684" s="212"/>
      <c r="G684" s="265"/>
      <c r="H684" s="265"/>
      <c r="I684" s="265"/>
      <c r="J684" s="265" t="str">
        <f>IFERROR(ROUND(VLOOKUP($T684,공사현장대장!$A$5:$T$330,9)/1000,0),"")</f>
        <v/>
      </c>
      <c r="K684" s="225"/>
      <c r="L684" s="209"/>
      <c r="M684" s="209"/>
      <c r="N684" s="209"/>
      <c r="O684" s="209"/>
      <c r="P684" s="209"/>
      <c r="Q684" s="209"/>
      <c r="R684" s="263" t="s">
        <v>38</v>
      </c>
      <c r="S684" s="266" t="s">
        <v>115</v>
      </c>
      <c r="T684" s="229"/>
    </row>
    <row r="685" spans="1:28" ht="26.1" hidden="1" customHeight="1">
      <c r="A685" s="208"/>
      <c r="B685" s="211"/>
      <c r="C685" s="211"/>
      <c r="D685" s="212"/>
      <c r="E685" s="210" t="str">
        <f>IFERROR(VLOOKUP($T685,공사현장대장!$A$5:$T$330,4),"")</f>
        <v/>
      </c>
      <c r="F685" s="212"/>
      <c r="G685" s="265"/>
      <c r="H685" s="265"/>
      <c r="I685" s="265"/>
      <c r="J685" s="265" t="str">
        <f>IFERROR(ROUND(VLOOKUP($T685,공사현장대장!$A$5:$T$330,9)/1000,0),"")</f>
        <v/>
      </c>
      <c r="K685" s="225"/>
      <c r="L685" s="209"/>
      <c r="M685" s="209"/>
      <c r="N685" s="209"/>
      <c r="O685" s="209"/>
      <c r="P685" s="209"/>
      <c r="Q685" s="209"/>
      <c r="R685" s="263" t="s">
        <v>38</v>
      </c>
      <c r="S685" s="266" t="s">
        <v>115</v>
      </c>
      <c r="T685" s="229"/>
    </row>
    <row r="686" spans="1:28" ht="26.1" hidden="1" customHeight="1">
      <c r="A686" s="324" t="s">
        <v>40</v>
      </c>
      <c r="B686" s="325"/>
      <c r="C686" s="325"/>
      <c r="D686" s="325"/>
      <c r="E686" s="326"/>
      <c r="F686" s="226"/>
      <c r="G686" s="267"/>
      <c r="H686" s="267"/>
      <c r="I686" s="267"/>
      <c r="J686" s="267"/>
      <c r="K686" s="227">
        <f t="shared" ref="K686:Q686" si="135">SUM(K682-SUM(K683:K685))</f>
        <v>0</v>
      </c>
      <c r="L686" s="227">
        <f t="shared" si="135"/>
        <v>0</v>
      </c>
      <c r="M686" s="227">
        <f t="shared" si="135"/>
        <v>0</v>
      </c>
      <c r="N686" s="227">
        <f t="shared" si="135"/>
        <v>0</v>
      </c>
      <c r="O686" s="227">
        <f t="shared" si="135"/>
        <v>0</v>
      </c>
      <c r="P686" s="227">
        <f t="shared" si="135"/>
        <v>90000</v>
      </c>
      <c r="Q686" s="227">
        <f t="shared" si="135"/>
        <v>90000</v>
      </c>
      <c r="R686" s="268" t="s">
        <v>38</v>
      </c>
      <c r="S686" s="269" t="s">
        <v>115</v>
      </c>
      <c r="T686" s="230"/>
    </row>
    <row r="687" spans="1:28" ht="26.1" hidden="1" customHeight="1">
      <c r="A687" s="213" t="s">
        <v>29</v>
      </c>
      <c r="B687" s="214" t="s">
        <v>50</v>
      </c>
      <c r="C687" s="214" t="s">
        <v>31</v>
      </c>
      <c r="D687" s="215" t="s">
        <v>313</v>
      </c>
      <c r="E687" s="216" t="s">
        <v>314</v>
      </c>
      <c r="F687" s="215" t="s">
        <v>315</v>
      </c>
      <c r="G687" s="262" t="s">
        <v>154</v>
      </c>
      <c r="H687" s="262" t="s">
        <v>155</v>
      </c>
      <c r="I687" s="262" t="s">
        <v>316</v>
      </c>
      <c r="J687" s="262">
        <f>SUM(J688:J690)</f>
        <v>0</v>
      </c>
      <c r="K687" s="217"/>
      <c r="L687" s="218">
        <v>234956</v>
      </c>
      <c r="M687" s="218"/>
      <c r="N687" s="218"/>
      <c r="O687" s="218"/>
      <c r="P687" s="218"/>
      <c r="Q687" s="218">
        <f>SUM(K687:P687)</f>
        <v>234956</v>
      </c>
      <c r="R687" s="263" t="s">
        <v>38</v>
      </c>
      <c r="S687" s="266" t="s">
        <v>71</v>
      </c>
      <c r="T687" s="229"/>
    </row>
    <row r="688" spans="1:28" ht="26.1" hidden="1" customHeight="1">
      <c r="A688" s="208"/>
      <c r="B688" s="211"/>
      <c r="C688" s="211"/>
      <c r="D688" s="212"/>
      <c r="E688" s="210" t="str">
        <f>IFERROR(VLOOKUP($T688,공사현장대장!$A$5:$T$330,4),"")</f>
        <v/>
      </c>
      <c r="F688" s="212"/>
      <c r="G688" s="265"/>
      <c r="H688" s="265"/>
      <c r="I688" s="265"/>
      <c r="J688" s="265" t="str">
        <f>IFERROR(ROUND(VLOOKUP($T688,공사현장대장!$A$5:$T$330,9)/1000,0),"")</f>
        <v/>
      </c>
      <c r="K688" s="225"/>
      <c r="L688" s="209"/>
      <c r="M688" s="209"/>
      <c r="N688" s="209"/>
      <c r="O688" s="209"/>
      <c r="P688" s="209"/>
      <c r="Q688" s="209"/>
      <c r="R688" s="263" t="s">
        <v>38</v>
      </c>
      <c r="S688" s="266" t="s">
        <v>71</v>
      </c>
      <c r="T688" s="229"/>
    </row>
    <row r="689" spans="1:20" ht="26.1" hidden="1" customHeight="1">
      <c r="A689" s="208"/>
      <c r="B689" s="211"/>
      <c r="C689" s="211"/>
      <c r="D689" s="212"/>
      <c r="E689" s="210" t="str">
        <f>IFERROR(VLOOKUP($T689,공사현장대장!$A$5:$T$330,4),"")</f>
        <v/>
      </c>
      <c r="F689" s="212"/>
      <c r="G689" s="265"/>
      <c r="H689" s="265"/>
      <c r="I689" s="265"/>
      <c r="J689" s="265" t="str">
        <f>IFERROR(ROUND(VLOOKUP($T689,공사현장대장!$A$5:$T$330,9)/1000,0),"")</f>
        <v/>
      </c>
      <c r="K689" s="225"/>
      <c r="L689" s="209"/>
      <c r="M689" s="209"/>
      <c r="N689" s="209"/>
      <c r="O689" s="209"/>
      <c r="P689" s="209"/>
      <c r="Q689" s="209"/>
      <c r="R689" s="263" t="s">
        <v>38</v>
      </c>
      <c r="S689" s="266" t="s">
        <v>71</v>
      </c>
      <c r="T689" s="229"/>
    </row>
    <row r="690" spans="1:20" ht="26.1" hidden="1" customHeight="1">
      <c r="A690" s="208"/>
      <c r="B690" s="211"/>
      <c r="C690" s="211"/>
      <c r="D690" s="212"/>
      <c r="E690" s="210" t="str">
        <f>IFERROR(VLOOKUP($T690,공사현장대장!$A$5:$T$330,4),"")</f>
        <v/>
      </c>
      <c r="F690" s="212"/>
      <c r="G690" s="265"/>
      <c r="H690" s="265"/>
      <c r="I690" s="265"/>
      <c r="J690" s="265" t="str">
        <f>IFERROR(ROUND(VLOOKUP($T690,공사현장대장!$A$5:$T$330,9)/1000,0),"")</f>
        <v/>
      </c>
      <c r="K690" s="225"/>
      <c r="L690" s="209"/>
      <c r="M690" s="209"/>
      <c r="N690" s="209"/>
      <c r="O690" s="209"/>
      <c r="P690" s="209"/>
      <c r="Q690" s="209"/>
      <c r="R690" s="263" t="s">
        <v>38</v>
      </c>
      <c r="S690" s="266" t="s">
        <v>71</v>
      </c>
      <c r="T690" s="229"/>
    </row>
    <row r="691" spans="1:20" ht="26.1" hidden="1" customHeight="1">
      <c r="A691" s="324" t="s">
        <v>40</v>
      </c>
      <c r="B691" s="325"/>
      <c r="C691" s="325"/>
      <c r="D691" s="325"/>
      <c r="E691" s="326"/>
      <c r="F691" s="226"/>
      <c r="G691" s="267"/>
      <c r="H691" s="267"/>
      <c r="I691" s="267"/>
      <c r="J691" s="267"/>
      <c r="K691" s="227">
        <f t="shared" ref="K691:Q691" si="136">SUM(K687-SUM(K688:K690))</f>
        <v>0</v>
      </c>
      <c r="L691" s="227">
        <f t="shared" si="136"/>
        <v>234956</v>
      </c>
      <c r="M691" s="227">
        <f t="shared" si="136"/>
        <v>0</v>
      </c>
      <c r="N691" s="227">
        <f t="shared" si="136"/>
        <v>0</v>
      </c>
      <c r="O691" s="227">
        <f t="shared" si="136"/>
        <v>0</v>
      </c>
      <c r="P691" s="227">
        <f t="shared" si="136"/>
        <v>0</v>
      </c>
      <c r="Q691" s="227">
        <f t="shared" si="136"/>
        <v>234956</v>
      </c>
      <c r="R691" s="268" t="s">
        <v>38</v>
      </c>
      <c r="S691" s="269" t="s">
        <v>71</v>
      </c>
      <c r="T691" s="230"/>
    </row>
    <row r="692" spans="1:20" ht="26.1" hidden="1" customHeight="1">
      <c r="A692" s="219" t="s">
        <v>29</v>
      </c>
      <c r="B692" s="214" t="s">
        <v>50</v>
      </c>
      <c r="C692" s="220" t="s">
        <v>31</v>
      </c>
      <c r="D692" s="215" t="s">
        <v>313</v>
      </c>
      <c r="E692" s="215" t="s">
        <v>72</v>
      </c>
      <c r="F692" s="276" t="s">
        <v>317</v>
      </c>
      <c r="G692" s="262" t="s">
        <v>46</v>
      </c>
      <c r="H692" s="262" t="s">
        <v>74</v>
      </c>
      <c r="I692" s="262" t="s">
        <v>75</v>
      </c>
      <c r="J692" s="262">
        <f>SUM(J693:J695)</f>
        <v>0</v>
      </c>
      <c r="K692" s="221">
        <f>218106+229218</f>
        <v>447324</v>
      </c>
      <c r="L692" s="222"/>
      <c r="M692" s="222"/>
      <c r="N692" s="222"/>
      <c r="O692" s="222"/>
      <c r="P692" s="222"/>
      <c r="Q692" s="223">
        <f>SUM(K692:P692)</f>
        <v>447324</v>
      </c>
      <c r="R692" s="273" t="s">
        <v>76</v>
      </c>
      <c r="S692" s="266" t="s">
        <v>71</v>
      </c>
      <c r="T692" s="229"/>
    </row>
    <row r="693" spans="1:20" ht="26.1" hidden="1" customHeight="1">
      <c r="A693" s="208"/>
      <c r="B693" s="211"/>
      <c r="C693" s="211"/>
      <c r="D693" s="212"/>
      <c r="E693" s="210" t="str">
        <f>IFERROR(VLOOKUP($T693,공사현장대장!$A$5:$T$330,4),"")</f>
        <v/>
      </c>
      <c r="F693" s="212"/>
      <c r="G693" s="265"/>
      <c r="H693" s="265"/>
      <c r="I693" s="265"/>
      <c r="J693" s="265" t="str">
        <f>IFERROR(ROUND(VLOOKUP($T693,공사현장대장!$A$5:$T$330,9)/1000,0),"")</f>
        <v/>
      </c>
      <c r="K693" s="225"/>
      <c r="L693" s="209"/>
      <c r="M693" s="209"/>
      <c r="N693" s="209"/>
      <c r="O693" s="209"/>
      <c r="P693" s="209"/>
      <c r="Q693" s="209"/>
      <c r="R693" s="263" t="s">
        <v>76</v>
      </c>
      <c r="S693" s="266" t="s">
        <v>71</v>
      </c>
      <c r="T693" s="229"/>
    </row>
    <row r="694" spans="1:20" ht="26.1" hidden="1" customHeight="1">
      <c r="A694" s="208"/>
      <c r="B694" s="211"/>
      <c r="C694" s="211"/>
      <c r="D694" s="212"/>
      <c r="E694" s="210" t="str">
        <f>IFERROR(VLOOKUP($T694,공사현장대장!$A$5:$T$330,4),"")</f>
        <v/>
      </c>
      <c r="F694" s="212"/>
      <c r="G694" s="265"/>
      <c r="H694" s="265"/>
      <c r="I694" s="265"/>
      <c r="J694" s="265" t="str">
        <f>IFERROR(ROUND(VLOOKUP($T694,공사현장대장!$A$5:$T$330,9)/1000,0),"")</f>
        <v/>
      </c>
      <c r="K694" s="225"/>
      <c r="L694" s="209"/>
      <c r="M694" s="209"/>
      <c r="N694" s="209"/>
      <c r="O694" s="209"/>
      <c r="P694" s="209"/>
      <c r="Q694" s="209"/>
      <c r="R694" s="263" t="s">
        <v>76</v>
      </c>
      <c r="S694" s="266" t="s">
        <v>71</v>
      </c>
      <c r="T694" s="229"/>
    </row>
    <row r="695" spans="1:20" ht="26.1" hidden="1" customHeight="1">
      <c r="A695" s="208"/>
      <c r="B695" s="211"/>
      <c r="C695" s="211"/>
      <c r="D695" s="212"/>
      <c r="E695" s="210" t="str">
        <f>IFERROR(VLOOKUP($T695,공사현장대장!$A$5:$T$330,4),"")</f>
        <v/>
      </c>
      <c r="F695" s="212"/>
      <c r="G695" s="265"/>
      <c r="H695" s="265"/>
      <c r="I695" s="265"/>
      <c r="J695" s="265" t="str">
        <f>IFERROR(ROUND(VLOOKUP($T695,공사현장대장!$A$5:$T$330,9)/1000,0),"")</f>
        <v/>
      </c>
      <c r="K695" s="225"/>
      <c r="L695" s="209"/>
      <c r="M695" s="209"/>
      <c r="N695" s="209"/>
      <c r="O695" s="209"/>
      <c r="P695" s="209"/>
      <c r="Q695" s="209"/>
      <c r="R695" s="263" t="s">
        <v>76</v>
      </c>
      <c r="S695" s="266" t="s">
        <v>71</v>
      </c>
      <c r="T695" s="229"/>
    </row>
    <row r="696" spans="1:20" ht="26.1" hidden="1" customHeight="1">
      <c r="A696" s="324" t="s">
        <v>40</v>
      </c>
      <c r="B696" s="325"/>
      <c r="C696" s="325"/>
      <c r="D696" s="325"/>
      <c r="E696" s="326"/>
      <c r="F696" s="226"/>
      <c r="G696" s="267"/>
      <c r="H696" s="267"/>
      <c r="I696" s="267"/>
      <c r="J696" s="267"/>
      <c r="K696" s="227">
        <f t="shared" ref="K696:Q696" si="137">SUM(K692-SUM(K693:K695))</f>
        <v>447324</v>
      </c>
      <c r="L696" s="227">
        <f t="shared" si="137"/>
        <v>0</v>
      </c>
      <c r="M696" s="227">
        <f t="shared" si="137"/>
        <v>0</v>
      </c>
      <c r="N696" s="227">
        <f t="shared" si="137"/>
        <v>0</v>
      </c>
      <c r="O696" s="227">
        <f t="shared" si="137"/>
        <v>0</v>
      </c>
      <c r="P696" s="227">
        <f t="shared" si="137"/>
        <v>0</v>
      </c>
      <c r="Q696" s="227">
        <f t="shared" si="137"/>
        <v>447324</v>
      </c>
      <c r="R696" s="268" t="s">
        <v>76</v>
      </c>
      <c r="S696" s="269" t="s">
        <v>71</v>
      </c>
      <c r="T696" s="230"/>
    </row>
    <row r="697" spans="1:20" ht="26.1" hidden="1" customHeight="1">
      <c r="A697" s="213" t="s">
        <v>29</v>
      </c>
      <c r="B697" s="214" t="s">
        <v>50</v>
      </c>
      <c r="C697" s="214" t="s">
        <v>31</v>
      </c>
      <c r="D697" s="215" t="s">
        <v>318</v>
      </c>
      <c r="E697" s="216" t="s">
        <v>251</v>
      </c>
      <c r="F697" s="215" t="s">
        <v>80</v>
      </c>
      <c r="G697" s="262" t="s">
        <v>46</v>
      </c>
      <c r="H697" s="262" t="s">
        <v>54</v>
      </c>
      <c r="I697" s="262" t="s">
        <v>55</v>
      </c>
      <c r="J697" s="262">
        <f>SUM(J698:J700)</f>
        <v>0</v>
      </c>
      <c r="K697" s="217"/>
      <c r="L697" s="218"/>
      <c r="M697" s="218"/>
      <c r="N697" s="218"/>
      <c r="O697" s="218"/>
      <c r="P697" s="218">
        <v>19950</v>
      </c>
      <c r="Q697" s="218">
        <f>SUM(K697:P697)</f>
        <v>19950</v>
      </c>
      <c r="R697" s="263" t="s">
        <v>38</v>
      </c>
      <c r="S697" s="266" t="s">
        <v>115</v>
      </c>
      <c r="T697" s="229"/>
    </row>
    <row r="698" spans="1:20" ht="26.1" hidden="1" customHeight="1">
      <c r="A698" s="208"/>
      <c r="B698" s="211"/>
      <c r="C698" s="211"/>
      <c r="D698" s="212"/>
      <c r="E698" s="210" t="str">
        <f>IFERROR(VLOOKUP($T698,공사현장대장!$A$5:$T$330,4),"")</f>
        <v/>
      </c>
      <c r="F698" s="212"/>
      <c r="G698" s="265"/>
      <c r="H698" s="265"/>
      <c r="I698" s="265"/>
      <c r="J698" s="265" t="str">
        <f>IFERROR(ROUND(VLOOKUP($T698,공사현장대장!$A$5:$T$330,9)/1000,0),"")</f>
        <v/>
      </c>
      <c r="K698" s="225"/>
      <c r="L698" s="209"/>
      <c r="M698" s="209"/>
      <c r="N698" s="209"/>
      <c r="O698" s="209"/>
      <c r="P698" s="209"/>
      <c r="Q698" s="209"/>
      <c r="R698" s="263" t="s">
        <v>38</v>
      </c>
      <c r="S698" s="266" t="s">
        <v>115</v>
      </c>
      <c r="T698" s="229"/>
    </row>
    <row r="699" spans="1:20" ht="26.1" hidden="1" customHeight="1">
      <c r="A699" s="208"/>
      <c r="B699" s="211"/>
      <c r="C699" s="211"/>
      <c r="D699" s="212"/>
      <c r="E699" s="210" t="str">
        <f>IFERROR(VLOOKUP($T699,공사현장대장!$A$5:$T$330,4),"")</f>
        <v/>
      </c>
      <c r="F699" s="212"/>
      <c r="G699" s="265"/>
      <c r="H699" s="265"/>
      <c r="I699" s="265"/>
      <c r="J699" s="265" t="str">
        <f>IFERROR(ROUND(VLOOKUP($T699,공사현장대장!$A$5:$T$330,9)/1000,0),"")</f>
        <v/>
      </c>
      <c r="K699" s="225"/>
      <c r="L699" s="209"/>
      <c r="M699" s="209"/>
      <c r="N699" s="209"/>
      <c r="O699" s="209"/>
      <c r="P699" s="209"/>
      <c r="Q699" s="209"/>
      <c r="R699" s="263" t="s">
        <v>38</v>
      </c>
      <c r="S699" s="266" t="s">
        <v>115</v>
      </c>
      <c r="T699" s="229"/>
    </row>
    <row r="700" spans="1:20" ht="26.1" hidden="1" customHeight="1">
      <c r="A700" s="208"/>
      <c r="B700" s="211"/>
      <c r="C700" s="211"/>
      <c r="D700" s="212"/>
      <c r="E700" s="210" t="str">
        <f>IFERROR(VLOOKUP($T700,공사현장대장!$A$5:$T$330,4),"")</f>
        <v/>
      </c>
      <c r="F700" s="212"/>
      <c r="G700" s="265"/>
      <c r="H700" s="265"/>
      <c r="I700" s="265"/>
      <c r="J700" s="265" t="str">
        <f>IFERROR(ROUND(VLOOKUP($T700,공사현장대장!$A$5:$T$330,9)/1000,0),"")</f>
        <v/>
      </c>
      <c r="K700" s="225"/>
      <c r="L700" s="209"/>
      <c r="M700" s="209"/>
      <c r="N700" s="209"/>
      <c r="O700" s="209"/>
      <c r="P700" s="209"/>
      <c r="Q700" s="209"/>
      <c r="R700" s="263" t="s">
        <v>38</v>
      </c>
      <c r="S700" s="266" t="s">
        <v>115</v>
      </c>
      <c r="T700" s="229"/>
    </row>
    <row r="701" spans="1:20" ht="26.1" hidden="1" customHeight="1">
      <c r="A701" s="324" t="s">
        <v>40</v>
      </c>
      <c r="B701" s="325"/>
      <c r="C701" s="325"/>
      <c r="D701" s="325"/>
      <c r="E701" s="326"/>
      <c r="F701" s="226"/>
      <c r="G701" s="267"/>
      <c r="H701" s="267"/>
      <c r="I701" s="267"/>
      <c r="J701" s="267"/>
      <c r="K701" s="227">
        <f t="shared" ref="K701:Q701" si="138">SUM(K697-SUM(K698:K700))</f>
        <v>0</v>
      </c>
      <c r="L701" s="227">
        <f t="shared" si="138"/>
        <v>0</v>
      </c>
      <c r="M701" s="227">
        <f t="shared" si="138"/>
        <v>0</v>
      </c>
      <c r="N701" s="227">
        <f t="shared" si="138"/>
        <v>0</v>
      </c>
      <c r="O701" s="227">
        <f t="shared" si="138"/>
        <v>0</v>
      </c>
      <c r="P701" s="227">
        <f t="shared" si="138"/>
        <v>19950</v>
      </c>
      <c r="Q701" s="227">
        <f t="shared" si="138"/>
        <v>19950</v>
      </c>
      <c r="R701" s="268" t="s">
        <v>38</v>
      </c>
      <c r="S701" s="269" t="s">
        <v>115</v>
      </c>
      <c r="T701" s="230"/>
    </row>
    <row r="702" spans="1:20" ht="26.1" hidden="1" customHeight="1">
      <c r="A702" s="213" t="s">
        <v>29</v>
      </c>
      <c r="B702" s="214" t="s">
        <v>319</v>
      </c>
      <c r="C702" s="214" t="s">
        <v>31</v>
      </c>
      <c r="D702" s="215" t="s">
        <v>320</v>
      </c>
      <c r="E702" s="216" t="s">
        <v>321</v>
      </c>
      <c r="F702" s="215" t="s">
        <v>322</v>
      </c>
      <c r="G702" s="262" t="s">
        <v>46</v>
      </c>
      <c r="H702" s="262" t="s">
        <v>47</v>
      </c>
      <c r="I702" s="262" t="s">
        <v>48</v>
      </c>
      <c r="J702" s="262">
        <f>SUM(J703:J705)</f>
        <v>0</v>
      </c>
      <c r="K702" s="217"/>
      <c r="L702" s="218"/>
      <c r="M702" s="218"/>
      <c r="N702" s="218"/>
      <c r="O702" s="218"/>
      <c r="P702" s="218">
        <v>23660</v>
      </c>
      <c r="Q702" s="218">
        <f>SUM(K702:P702)</f>
        <v>23660</v>
      </c>
      <c r="R702" s="263" t="s">
        <v>38</v>
      </c>
      <c r="S702" s="266" t="s">
        <v>115</v>
      </c>
      <c r="T702" s="229"/>
    </row>
    <row r="703" spans="1:20" ht="26.1" hidden="1" customHeight="1">
      <c r="A703" s="208"/>
      <c r="B703" s="211"/>
      <c r="C703" s="211"/>
      <c r="D703" s="212"/>
      <c r="E703" s="210" t="str">
        <f>IFERROR(VLOOKUP($T703,공사현장대장!$A$5:$T$330,4),"")</f>
        <v/>
      </c>
      <c r="F703" s="212"/>
      <c r="G703" s="265"/>
      <c r="H703" s="265"/>
      <c r="I703" s="265"/>
      <c r="J703" s="265" t="str">
        <f>IFERROR(ROUND(VLOOKUP($T703,공사현장대장!$A$5:$T$330,9)/1000,0),"")</f>
        <v/>
      </c>
      <c r="K703" s="225"/>
      <c r="L703" s="209"/>
      <c r="M703" s="209"/>
      <c r="N703" s="209"/>
      <c r="O703" s="209"/>
      <c r="P703" s="209"/>
      <c r="Q703" s="209"/>
      <c r="R703" s="263" t="s">
        <v>38</v>
      </c>
      <c r="S703" s="266" t="s">
        <v>115</v>
      </c>
      <c r="T703" s="229"/>
    </row>
    <row r="704" spans="1:20" ht="26.1" hidden="1" customHeight="1">
      <c r="A704" s="208"/>
      <c r="B704" s="211"/>
      <c r="C704" s="211"/>
      <c r="D704" s="212"/>
      <c r="E704" s="210" t="str">
        <f>IFERROR(VLOOKUP($T704,공사현장대장!$A$5:$T$330,4),"")</f>
        <v/>
      </c>
      <c r="F704" s="212"/>
      <c r="G704" s="265"/>
      <c r="H704" s="265"/>
      <c r="I704" s="265"/>
      <c r="J704" s="265" t="str">
        <f>IFERROR(ROUND(VLOOKUP($T704,공사현장대장!$A$5:$T$330,9)/1000,0),"")</f>
        <v/>
      </c>
      <c r="K704" s="225"/>
      <c r="L704" s="209"/>
      <c r="M704" s="209"/>
      <c r="N704" s="209"/>
      <c r="O704" s="209"/>
      <c r="P704" s="209"/>
      <c r="Q704" s="209"/>
      <c r="R704" s="263" t="s">
        <v>38</v>
      </c>
      <c r="S704" s="266" t="s">
        <v>115</v>
      </c>
      <c r="T704" s="229"/>
    </row>
    <row r="705" spans="1:29" ht="26.1" hidden="1" customHeight="1">
      <c r="A705" s="208"/>
      <c r="B705" s="211"/>
      <c r="C705" s="211"/>
      <c r="D705" s="212"/>
      <c r="E705" s="210" t="str">
        <f>IFERROR(VLOOKUP($T705,공사현장대장!$A$5:$T$330,4),"")</f>
        <v/>
      </c>
      <c r="F705" s="212"/>
      <c r="G705" s="265"/>
      <c r="H705" s="265"/>
      <c r="I705" s="265"/>
      <c r="J705" s="265" t="str">
        <f>IFERROR(ROUND(VLOOKUP($T705,공사현장대장!$A$5:$T$330,9)/1000,0),"")</f>
        <v/>
      </c>
      <c r="K705" s="225"/>
      <c r="L705" s="209"/>
      <c r="M705" s="209"/>
      <c r="N705" s="209"/>
      <c r="O705" s="209"/>
      <c r="P705" s="209"/>
      <c r="Q705" s="209"/>
      <c r="R705" s="263" t="s">
        <v>38</v>
      </c>
      <c r="S705" s="266" t="s">
        <v>115</v>
      </c>
      <c r="T705" s="229"/>
    </row>
    <row r="706" spans="1:29" ht="26.1" hidden="1" customHeight="1">
      <c r="A706" s="324" t="s">
        <v>40</v>
      </c>
      <c r="B706" s="325"/>
      <c r="C706" s="325"/>
      <c r="D706" s="325"/>
      <c r="E706" s="326"/>
      <c r="F706" s="226"/>
      <c r="G706" s="267"/>
      <c r="H706" s="267"/>
      <c r="I706" s="267"/>
      <c r="J706" s="267"/>
      <c r="K706" s="227">
        <f t="shared" ref="K706:Q706" si="139">SUM(K702-SUM(K703:K705))</f>
        <v>0</v>
      </c>
      <c r="L706" s="227">
        <f t="shared" si="139"/>
        <v>0</v>
      </c>
      <c r="M706" s="227">
        <f t="shared" si="139"/>
        <v>0</v>
      </c>
      <c r="N706" s="227">
        <f t="shared" si="139"/>
        <v>0</v>
      </c>
      <c r="O706" s="227">
        <f t="shared" si="139"/>
        <v>0</v>
      </c>
      <c r="P706" s="227">
        <f t="shared" si="139"/>
        <v>23660</v>
      </c>
      <c r="Q706" s="227">
        <f t="shared" si="139"/>
        <v>23660</v>
      </c>
      <c r="R706" s="268" t="s">
        <v>38</v>
      </c>
      <c r="S706" s="269" t="s">
        <v>115</v>
      </c>
      <c r="T706" s="230"/>
    </row>
    <row r="707" spans="1:29" ht="26.1" hidden="1" customHeight="1">
      <c r="A707" s="213" t="s">
        <v>29</v>
      </c>
      <c r="B707" s="214" t="s">
        <v>319</v>
      </c>
      <c r="C707" s="214" t="s">
        <v>31</v>
      </c>
      <c r="D707" s="215" t="s">
        <v>320</v>
      </c>
      <c r="E707" s="216" t="s">
        <v>323</v>
      </c>
      <c r="F707" s="215" t="s">
        <v>324</v>
      </c>
      <c r="G707" s="262" t="s">
        <v>46</v>
      </c>
      <c r="H707" s="262" t="s">
        <v>107</v>
      </c>
      <c r="I707" s="262" t="s">
        <v>238</v>
      </c>
      <c r="J707" s="262">
        <f>SUM(J708:J710)</f>
        <v>0</v>
      </c>
      <c r="K707" s="217">
        <v>29987</v>
      </c>
      <c r="L707" s="218">
        <v>0</v>
      </c>
      <c r="M707" s="218">
        <v>0</v>
      </c>
      <c r="N707" s="218"/>
      <c r="O707" s="218"/>
      <c r="P707" s="218"/>
      <c r="Q707" s="218">
        <f>SUM(K707:P707)</f>
        <v>29987</v>
      </c>
      <c r="R707" s="263" t="s">
        <v>76</v>
      </c>
      <c r="S707" s="266" t="s">
        <v>115</v>
      </c>
      <c r="T707" s="229"/>
    </row>
    <row r="708" spans="1:29" ht="26.1" hidden="1" customHeight="1">
      <c r="A708" s="208"/>
      <c r="B708" s="211"/>
      <c r="C708" s="211"/>
      <c r="D708" s="212"/>
      <c r="E708" s="210" t="str">
        <f>IFERROR(VLOOKUP($T708,공사현장대장!$A$5:$T$330,4),"")</f>
        <v/>
      </c>
      <c r="F708" s="212"/>
      <c r="G708" s="265"/>
      <c r="H708" s="265"/>
      <c r="I708" s="265"/>
      <c r="J708" s="265" t="str">
        <f>IFERROR(ROUND(VLOOKUP($T708,공사현장대장!$A$5:$T$330,9)/1000,0),"")</f>
        <v/>
      </c>
      <c r="K708" s="225"/>
      <c r="L708" s="209"/>
      <c r="M708" s="209"/>
      <c r="N708" s="209"/>
      <c r="O708" s="209"/>
      <c r="P708" s="209"/>
      <c r="Q708" s="209"/>
      <c r="R708" s="263" t="s">
        <v>76</v>
      </c>
      <c r="S708" s="266" t="s">
        <v>115</v>
      </c>
      <c r="T708" s="229"/>
    </row>
    <row r="709" spans="1:29" ht="26.1" hidden="1" customHeight="1">
      <c r="A709" s="208"/>
      <c r="B709" s="211"/>
      <c r="C709" s="211"/>
      <c r="D709" s="212"/>
      <c r="E709" s="210" t="str">
        <f>IFERROR(VLOOKUP($T709,공사현장대장!$A$5:$T$330,4),"")</f>
        <v/>
      </c>
      <c r="F709" s="212"/>
      <c r="G709" s="265"/>
      <c r="H709" s="265"/>
      <c r="I709" s="265"/>
      <c r="J709" s="265" t="str">
        <f>IFERROR(ROUND(VLOOKUP($T709,공사현장대장!$A$5:$T$330,9)/1000,0),"")</f>
        <v/>
      </c>
      <c r="K709" s="225"/>
      <c r="L709" s="209"/>
      <c r="M709" s="209"/>
      <c r="N709" s="209"/>
      <c r="O709" s="209"/>
      <c r="P709" s="209"/>
      <c r="Q709" s="209"/>
      <c r="R709" s="263" t="s">
        <v>76</v>
      </c>
      <c r="S709" s="266" t="s">
        <v>115</v>
      </c>
      <c r="T709" s="229"/>
    </row>
    <row r="710" spans="1:29" ht="26.1" hidden="1" customHeight="1">
      <c r="A710" s="208"/>
      <c r="B710" s="211"/>
      <c r="C710" s="211"/>
      <c r="D710" s="212"/>
      <c r="E710" s="210" t="str">
        <f>IFERROR(VLOOKUP($T710,공사현장대장!$A$5:$T$330,4),"")</f>
        <v/>
      </c>
      <c r="F710" s="212"/>
      <c r="G710" s="265"/>
      <c r="H710" s="265"/>
      <c r="I710" s="265"/>
      <c r="J710" s="265" t="str">
        <f>IFERROR(ROUND(VLOOKUP($T710,공사현장대장!$A$5:$T$330,9)/1000,0),"")</f>
        <v/>
      </c>
      <c r="K710" s="225"/>
      <c r="L710" s="209"/>
      <c r="M710" s="209"/>
      <c r="N710" s="209"/>
      <c r="O710" s="209"/>
      <c r="P710" s="209"/>
      <c r="Q710" s="209"/>
      <c r="R710" s="263" t="s">
        <v>76</v>
      </c>
      <c r="S710" s="266" t="s">
        <v>115</v>
      </c>
      <c r="T710" s="229"/>
    </row>
    <row r="711" spans="1:29" ht="26.1" hidden="1" customHeight="1">
      <c r="A711" s="324" t="s">
        <v>40</v>
      </c>
      <c r="B711" s="325"/>
      <c r="C711" s="325"/>
      <c r="D711" s="325"/>
      <c r="E711" s="326"/>
      <c r="F711" s="226"/>
      <c r="G711" s="267"/>
      <c r="H711" s="267"/>
      <c r="I711" s="267"/>
      <c r="J711" s="267"/>
      <c r="K711" s="227">
        <f t="shared" ref="K711:Q711" si="140">SUM(K707-SUM(K708:K710))</f>
        <v>29987</v>
      </c>
      <c r="L711" s="227">
        <f t="shared" si="140"/>
        <v>0</v>
      </c>
      <c r="M711" s="227">
        <f t="shared" si="140"/>
        <v>0</v>
      </c>
      <c r="N711" s="227">
        <f t="shared" si="140"/>
        <v>0</v>
      </c>
      <c r="O711" s="227">
        <f t="shared" si="140"/>
        <v>0</v>
      </c>
      <c r="P711" s="227">
        <f t="shared" si="140"/>
        <v>0</v>
      </c>
      <c r="Q711" s="227">
        <f t="shared" si="140"/>
        <v>29987</v>
      </c>
      <c r="R711" s="268" t="s">
        <v>76</v>
      </c>
      <c r="S711" s="269" t="s">
        <v>115</v>
      </c>
      <c r="T711" s="230"/>
    </row>
    <row r="712" spans="1:29" ht="26.1" hidden="1" customHeight="1">
      <c r="A712" s="213" t="s">
        <v>29</v>
      </c>
      <c r="B712" s="214" t="s">
        <v>319</v>
      </c>
      <c r="C712" s="214" t="s">
        <v>31</v>
      </c>
      <c r="D712" s="215" t="s">
        <v>325</v>
      </c>
      <c r="E712" s="216" t="s">
        <v>326</v>
      </c>
      <c r="F712" s="215" t="s">
        <v>327</v>
      </c>
      <c r="G712" s="262" t="s">
        <v>154</v>
      </c>
      <c r="H712" s="262" t="s">
        <v>328</v>
      </c>
      <c r="I712" s="262" t="s">
        <v>329</v>
      </c>
      <c r="J712" s="262">
        <f>SUM(J713:J715)</f>
        <v>0</v>
      </c>
      <c r="K712" s="217"/>
      <c r="L712" s="218">
        <v>457037</v>
      </c>
      <c r="M712" s="218">
        <v>10000</v>
      </c>
      <c r="N712" s="218"/>
      <c r="O712" s="218"/>
      <c r="P712" s="218"/>
      <c r="Q712" s="218">
        <f>SUM(K712:P712)</f>
        <v>467037</v>
      </c>
      <c r="R712" s="263" t="s">
        <v>38</v>
      </c>
      <c r="S712" s="266" t="s">
        <v>115</v>
      </c>
      <c r="T712" s="229"/>
    </row>
    <row r="713" spans="1:29" ht="26.1" hidden="1" customHeight="1">
      <c r="A713" s="208"/>
      <c r="B713" s="211"/>
      <c r="C713" s="211"/>
      <c r="D713" s="212"/>
      <c r="E713" s="210" t="str">
        <f>IFERROR(VLOOKUP($T713,공사현장대장!$A$5:$T$330,4),"")</f>
        <v/>
      </c>
      <c r="F713" s="212"/>
      <c r="G713" s="265"/>
      <c r="H713" s="265"/>
      <c r="I713" s="265"/>
      <c r="J713" s="265" t="str">
        <f>IFERROR(ROUND(VLOOKUP($T713,공사현장대장!$A$5:$T$330,9)/1000,0),"")</f>
        <v/>
      </c>
      <c r="K713" s="225"/>
      <c r="L713" s="209"/>
      <c r="M713" s="209"/>
      <c r="N713" s="209"/>
      <c r="O713" s="209"/>
      <c r="P713" s="209"/>
      <c r="Q713" s="209"/>
      <c r="R713" s="263" t="s">
        <v>38</v>
      </c>
      <c r="S713" s="266" t="s">
        <v>115</v>
      </c>
      <c r="T713" s="229"/>
    </row>
    <row r="714" spans="1:29" ht="26.1" hidden="1" customHeight="1">
      <c r="A714" s="208"/>
      <c r="B714" s="211"/>
      <c r="C714" s="211"/>
      <c r="D714" s="212"/>
      <c r="E714" s="210" t="str">
        <f>IFERROR(VLOOKUP($T714,공사현장대장!$A$5:$T$330,4),"")</f>
        <v/>
      </c>
      <c r="F714" s="212"/>
      <c r="G714" s="265"/>
      <c r="H714" s="265"/>
      <c r="I714" s="265"/>
      <c r="J714" s="265" t="str">
        <f>IFERROR(ROUND(VLOOKUP($T714,공사현장대장!$A$5:$T$330,9)/1000,0),"")</f>
        <v/>
      </c>
      <c r="K714" s="225"/>
      <c r="L714" s="209"/>
      <c r="M714" s="209"/>
      <c r="N714" s="209"/>
      <c r="O714" s="209"/>
      <c r="P714" s="209"/>
      <c r="Q714" s="209"/>
      <c r="R714" s="263" t="s">
        <v>38</v>
      </c>
      <c r="S714" s="266" t="s">
        <v>115</v>
      </c>
      <c r="T714" s="229"/>
    </row>
    <row r="715" spans="1:29" ht="26.1" hidden="1" customHeight="1">
      <c r="A715" s="208"/>
      <c r="B715" s="211"/>
      <c r="C715" s="211"/>
      <c r="D715" s="212"/>
      <c r="E715" s="210" t="str">
        <f>IFERROR(VLOOKUP($T715,공사현장대장!$A$5:$T$330,4),"")</f>
        <v/>
      </c>
      <c r="F715" s="212"/>
      <c r="G715" s="265"/>
      <c r="H715" s="265"/>
      <c r="I715" s="265"/>
      <c r="J715" s="265" t="str">
        <f>IFERROR(ROUND(VLOOKUP($T715,공사현장대장!$A$5:$T$330,9)/1000,0),"")</f>
        <v/>
      </c>
      <c r="K715" s="225"/>
      <c r="L715" s="209"/>
      <c r="M715" s="209"/>
      <c r="N715" s="209"/>
      <c r="O715" s="209"/>
      <c r="P715" s="209"/>
      <c r="Q715" s="209"/>
      <c r="R715" s="263" t="s">
        <v>38</v>
      </c>
      <c r="S715" s="266" t="s">
        <v>115</v>
      </c>
      <c r="T715" s="229"/>
    </row>
    <row r="716" spans="1:29" ht="26.1" hidden="1" customHeight="1">
      <c r="A716" s="324" t="s">
        <v>40</v>
      </c>
      <c r="B716" s="325"/>
      <c r="C716" s="325"/>
      <c r="D716" s="325"/>
      <c r="E716" s="326"/>
      <c r="F716" s="226"/>
      <c r="G716" s="267"/>
      <c r="H716" s="267"/>
      <c r="I716" s="267"/>
      <c r="J716" s="267"/>
      <c r="K716" s="227">
        <f t="shared" ref="K716:Q716" si="141">SUM(K712-SUM(K713:K715))</f>
        <v>0</v>
      </c>
      <c r="L716" s="227">
        <f t="shared" si="141"/>
        <v>457037</v>
      </c>
      <c r="M716" s="227">
        <f t="shared" si="141"/>
        <v>10000</v>
      </c>
      <c r="N716" s="227">
        <f t="shared" si="141"/>
        <v>0</v>
      </c>
      <c r="O716" s="227">
        <f t="shared" si="141"/>
        <v>0</v>
      </c>
      <c r="P716" s="227">
        <f t="shared" si="141"/>
        <v>0</v>
      </c>
      <c r="Q716" s="227">
        <f t="shared" si="141"/>
        <v>467037</v>
      </c>
      <c r="R716" s="268" t="s">
        <v>38</v>
      </c>
      <c r="S716" s="269" t="s">
        <v>115</v>
      </c>
      <c r="T716" s="230"/>
    </row>
    <row r="717" spans="1:29" ht="26.1" hidden="1" customHeight="1">
      <c r="A717" s="213" t="s">
        <v>29</v>
      </c>
      <c r="B717" s="214" t="s">
        <v>319</v>
      </c>
      <c r="C717" s="214" t="s">
        <v>31</v>
      </c>
      <c r="D717" s="215" t="s">
        <v>325</v>
      </c>
      <c r="E717" s="216" t="s">
        <v>330</v>
      </c>
      <c r="F717" s="215" t="s">
        <v>331</v>
      </c>
      <c r="G717" s="262" t="s">
        <v>46</v>
      </c>
      <c r="H717" s="262" t="s">
        <v>332</v>
      </c>
      <c r="I717" s="262" t="s">
        <v>333</v>
      </c>
      <c r="J717" s="262">
        <f>SUM(J718:J720)</f>
        <v>0</v>
      </c>
      <c r="K717" s="217"/>
      <c r="L717" s="218">
        <v>28749</v>
      </c>
      <c r="M717" s="218"/>
      <c r="N717" s="218"/>
      <c r="O717" s="218"/>
      <c r="P717" s="218"/>
      <c r="Q717" s="218">
        <f>SUM(K717:P717)</f>
        <v>28749</v>
      </c>
      <c r="R717" s="270" t="s">
        <v>41</v>
      </c>
      <c r="S717" s="266" t="s">
        <v>115</v>
      </c>
      <c r="T717" s="229"/>
      <c r="V717" s="241" t="str">
        <f>B717</f>
        <v>중</v>
      </c>
      <c r="W717" s="241" t="str">
        <f>C717</f>
        <v>공립</v>
      </c>
      <c r="X717" s="241" t="str">
        <f>D717</f>
        <v>동화중</v>
      </c>
      <c r="Y717" s="241" t="str">
        <f>E717</f>
        <v xml:space="preserve"> 창고 개축</v>
      </c>
      <c r="Z717" s="241" t="str">
        <f>F717</f>
        <v>18.15㎡</v>
      </c>
      <c r="AA717" s="244">
        <f>Q717</f>
        <v>28749</v>
      </c>
      <c r="AB717" s="271" t="str">
        <f>R717</f>
        <v>1회추경</v>
      </c>
      <c r="AC717" s="241">
        <v>420</v>
      </c>
    </row>
    <row r="718" spans="1:29" ht="26.1" hidden="1" customHeight="1">
      <c r="A718" s="208"/>
      <c r="B718" s="211"/>
      <c r="C718" s="211"/>
      <c r="D718" s="212"/>
      <c r="E718" s="210" t="str">
        <f>IFERROR(VLOOKUP($T718,공사현장대장!$A$5:$T$330,4),"")</f>
        <v/>
      </c>
      <c r="F718" s="212"/>
      <c r="G718" s="265"/>
      <c r="H718" s="265"/>
      <c r="I718" s="265"/>
      <c r="J718" s="265" t="str">
        <f>IFERROR(ROUND(VLOOKUP($T718,공사현장대장!$A$5:$T$330,9)/1000,0),"")</f>
        <v/>
      </c>
      <c r="K718" s="225"/>
      <c r="L718" s="209"/>
      <c r="M718" s="209"/>
      <c r="N718" s="209"/>
      <c r="O718" s="209"/>
      <c r="P718" s="209"/>
      <c r="Q718" s="209"/>
      <c r="R718" s="263" t="s">
        <v>41</v>
      </c>
      <c r="S718" s="266" t="s">
        <v>115</v>
      </c>
      <c r="T718" s="229"/>
      <c r="AA718" s="244"/>
      <c r="AB718" s="271"/>
    </row>
    <row r="719" spans="1:29" ht="26.1" hidden="1" customHeight="1">
      <c r="A719" s="208"/>
      <c r="B719" s="211"/>
      <c r="C719" s="211"/>
      <c r="D719" s="212"/>
      <c r="E719" s="210" t="str">
        <f>IFERROR(VLOOKUP($T719,공사현장대장!$A$5:$T$330,4),"")</f>
        <v/>
      </c>
      <c r="F719" s="212"/>
      <c r="G719" s="265"/>
      <c r="H719" s="265"/>
      <c r="I719" s="265"/>
      <c r="J719" s="265" t="str">
        <f>IFERROR(ROUND(VLOOKUP($T719,공사현장대장!$A$5:$T$330,9)/1000,0),"")</f>
        <v/>
      </c>
      <c r="K719" s="225"/>
      <c r="L719" s="209"/>
      <c r="M719" s="209"/>
      <c r="N719" s="209"/>
      <c r="O719" s="209"/>
      <c r="P719" s="209"/>
      <c r="Q719" s="209"/>
      <c r="R719" s="263" t="s">
        <v>41</v>
      </c>
      <c r="S719" s="266" t="s">
        <v>115</v>
      </c>
      <c r="T719" s="229"/>
      <c r="AA719" s="244"/>
      <c r="AB719" s="271"/>
    </row>
    <row r="720" spans="1:29" ht="26.1" hidden="1" customHeight="1">
      <c r="A720" s="208"/>
      <c r="B720" s="211"/>
      <c r="C720" s="211"/>
      <c r="D720" s="212"/>
      <c r="E720" s="210" t="str">
        <f>IFERROR(VLOOKUP($T720,공사현장대장!$A$5:$T$330,4),"")</f>
        <v/>
      </c>
      <c r="F720" s="212"/>
      <c r="G720" s="265"/>
      <c r="H720" s="265"/>
      <c r="I720" s="265"/>
      <c r="J720" s="265" t="str">
        <f>IFERROR(ROUND(VLOOKUP($T720,공사현장대장!$A$5:$T$330,9)/1000,0),"")</f>
        <v/>
      </c>
      <c r="K720" s="225"/>
      <c r="L720" s="209"/>
      <c r="M720" s="209"/>
      <c r="N720" s="209"/>
      <c r="O720" s="209"/>
      <c r="P720" s="209"/>
      <c r="Q720" s="209"/>
      <c r="R720" s="263" t="s">
        <v>41</v>
      </c>
      <c r="S720" s="266" t="s">
        <v>115</v>
      </c>
      <c r="T720" s="229"/>
      <c r="AA720" s="244"/>
      <c r="AB720" s="271"/>
    </row>
    <row r="721" spans="1:29" ht="26.1" hidden="1" customHeight="1">
      <c r="A721" s="324" t="s">
        <v>40</v>
      </c>
      <c r="B721" s="325"/>
      <c r="C721" s="325"/>
      <c r="D721" s="325"/>
      <c r="E721" s="326"/>
      <c r="F721" s="226"/>
      <c r="G721" s="267"/>
      <c r="H721" s="267"/>
      <c r="I721" s="267"/>
      <c r="J721" s="267"/>
      <c r="K721" s="227">
        <f t="shared" ref="K721:Q721" si="142">SUM(K717-SUM(K718:K720))</f>
        <v>0</v>
      </c>
      <c r="L721" s="227">
        <f t="shared" si="142"/>
        <v>28749</v>
      </c>
      <c r="M721" s="227">
        <f t="shared" si="142"/>
        <v>0</v>
      </c>
      <c r="N721" s="227">
        <f t="shared" si="142"/>
        <v>0</v>
      </c>
      <c r="O721" s="227">
        <f t="shared" si="142"/>
        <v>0</v>
      </c>
      <c r="P721" s="227">
        <f t="shared" si="142"/>
        <v>0</v>
      </c>
      <c r="Q721" s="227">
        <f t="shared" si="142"/>
        <v>28749</v>
      </c>
      <c r="R721" s="268" t="s">
        <v>41</v>
      </c>
      <c r="S721" s="269" t="s">
        <v>115</v>
      </c>
      <c r="T721" s="230"/>
      <c r="AA721" s="244"/>
      <c r="AB721" s="271"/>
    </row>
    <row r="722" spans="1:29" ht="26.1" hidden="1" customHeight="1">
      <c r="A722" s="213" t="s">
        <v>29</v>
      </c>
      <c r="B722" s="214" t="s">
        <v>319</v>
      </c>
      <c r="C722" s="214" t="s">
        <v>31</v>
      </c>
      <c r="D722" s="215" t="s">
        <v>325</v>
      </c>
      <c r="E722" s="216" t="s">
        <v>334</v>
      </c>
      <c r="F722" s="215" t="s">
        <v>335</v>
      </c>
      <c r="G722" s="262" t="s">
        <v>46</v>
      </c>
      <c r="H722" s="262" t="s">
        <v>332</v>
      </c>
      <c r="I722" s="262" t="s">
        <v>333</v>
      </c>
      <c r="J722" s="262">
        <f>SUM(J723:J725)</f>
        <v>0</v>
      </c>
      <c r="K722" s="217"/>
      <c r="L722" s="218">
        <v>38016</v>
      </c>
      <c r="M722" s="218"/>
      <c r="N722" s="218"/>
      <c r="O722" s="218"/>
      <c r="P722" s="218"/>
      <c r="Q722" s="218">
        <f>SUM(K722:P722)</f>
        <v>38016</v>
      </c>
      <c r="R722" s="270" t="s">
        <v>41</v>
      </c>
      <c r="S722" s="266" t="s">
        <v>115</v>
      </c>
      <c r="T722" s="229"/>
      <c r="V722" s="241" t="str">
        <f>B722</f>
        <v>중</v>
      </c>
      <c r="W722" s="241" t="str">
        <f>C722</f>
        <v>공립</v>
      </c>
      <c r="X722" s="241" t="str">
        <f>D722</f>
        <v>동화중</v>
      </c>
      <c r="Y722" s="241" t="str">
        <f>E722</f>
        <v xml:space="preserve"> 체육창고 개축</v>
      </c>
      <c r="Z722" s="241" t="str">
        <f>F722</f>
        <v>24㎡</v>
      </c>
      <c r="AA722" s="244">
        <f>Q722</f>
        <v>38016</v>
      </c>
      <c r="AB722" s="271" t="str">
        <f>R722</f>
        <v>1회추경</v>
      </c>
      <c r="AC722" s="241">
        <v>420</v>
      </c>
    </row>
    <row r="723" spans="1:29" ht="26.1" hidden="1" customHeight="1">
      <c r="A723" s="208"/>
      <c r="B723" s="211"/>
      <c r="C723" s="211"/>
      <c r="D723" s="212"/>
      <c r="E723" s="210" t="str">
        <f>IFERROR(VLOOKUP($T723,공사현장대장!$A$5:$T$330,4),"")</f>
        <v/>
      </c>
      <c r="F723" s="212"/>
      <c r="G723" s="265"/>
      <c r="H723" s="265"/>
      <c r="I723" s="265"/>
      <c r="J723" s="265" t="str">
        <f>IFERROR(ROUND(VLOOKUP($T723,공사현장대장!$A$5:$T$330,9)/1000,0),"")</f>
        <v/>
      </c>
      <c r="K723" s="225"/>
      <c r="L723" s="209"/>
      <c r="M723" s="209"/>
      <c r="N723" s="209"/>
      <c r="O723" s="209"/>
      <c r="P723" s="209"/>
      <c r="Q723" s="209"/>
      <c r="R723" s="263" t="s">
        <v>41</v>
      </c>
      <c r="S723" s="266" t="s">
        <v>115</v>
      </c>
      <c r="T723" s="229"/>
      <c r="AA723" s="244"/>
      <c r="AB723" s="271"/>
    </row>
    <row r="724" spans="1:29" ht="26.1" hidden="1" customHeight="1">
      <c r="A724" s="208"/>
      <c r="B724" s="211"/>
      <c r="C724" s="211"/>
      <c r="D724" s="212"/>
      <c r="E724" s="210" t="str">
        <f>IFERROR(VLOOKUP($T724,공사현장대장!$A$5:$T$330,4),"")</f>
        <v/>
      </c>
      <c r="F724" s="212"/>
      <c r="G724" s="265"/>
      <c r="H724" s="265"/>
      <c r="I724" s="265"/>
      <c r="J724" s="265" t="str">
        <f>IFERROR(ROUND(VLOOKUP($T724,공사현장대장!$A$5:$T$330,9)/1000,0),"")</f>
        <v/>
      </c>
      <c r="K724" s="225"/>
      <c r="L724" s="209"/>
      <c r="M724" s="209"/>
      <c r="N724" s="209"/>
      <c r="O724" s="209"/>
      <c r="P724" s="209"/>
      <c r="Q724" s="209"/>
      <c r="R724" s="263" t="s">
        <v>41</v>
      </c>
      <c r="S724" s="266" t="s">
        <v>115</v>
      </c>
      <c r="T724" s="229"/>
      <c r="AA724" s="244"/>
      <c r="AB724" s="271"/>
    </row>
    <row r="725" spans="1:29" ht="26.1" hidden="1" customHeight="1">
      <c r="A725" s="208"/>
      <c r="B725" s="211"/>
      <c r="C725" s="211"/>
      <c r="D725" s="212"/>
      <c r="E725" s="210" t="str">
        <f>IFERROR(VLOOKUP($T725,공사현장대장!$A$5:$T$330,4),"")</f>
        <v/>
      </c>
      <c r="F725" s="212"/>
      <c r="G725" s="265"/>
      <c r="H725" s="265"/>
      <c r="I725" s="265"/>
      <c r="J725" s="265" t="str">
        <f>IFERROR(ROUND(VLOOKUP($T725,공사현장대장!$A$5:$T$330,9)/1000,0),"")</f>
        <v/>
      </c>
      <c r="K725" s="225"/>
      <c r="L725" s="209"/>
      <c r="M725" s="209"/>
      <c r="N725" s="209"/>
      <c r="O725" s="209"/>
      <c r="P725" s="209"/>
      <c r="Q725" s="209"/>
      <c r="R725" s="263" t="s">
        <v>41</v>
      </c>
      <c r="S725" s="266" t="s">
        <v>115</v>
      </c>
      <c r="T725" s="229"/>
      <c r="AA725" s="244"/>
      <c r="AB725" s="271"/>
    </row>
    <row r="726" spans="1:29" ht="26.1" hidden="1" customHeight="1">
      <c r="A726" s="324" t="s">
        <v>40</v>
      </c>
      <c r="B726" s="325"/>
      <c r="C726" s="325"/>
      <c r="D726" s="325"/>
      <c r="E726" s="326"/>
      <c r="F726" s="226"/>
      <c r="G726" s="267"/>
      <c r="H726" s="267"/>
      <c r="I726" s="267"/>
      <c r="J726" s="267"/>
      <c r="K726" s="227">
        <f t="shared" ref="K726:Q726" si="143">SUM(K722-SUM(K723:K725))</f>
        <v>0</v>
      </c>
      <c r="L726" s="227">
        <f t="shared" si="143"/>
        <v>38016</v>
      </c>
      <c r="M726" s="227">
        <f t="shared" si="143"/>
        <v>0</v>
      </c>
      <c r="N726" s="227">
        <f t="shared" si="143"/>
        <v>0</v>
      </c>
      <c r="O726" s="227">
        <f t="shared" si="143"/>
        <v>0</v>
      </c>
      <c r="P726" s="227">
        <f t="shared" si="143"/>
        <v>0</v>
      </c>
      <c r="Q726" s="227">
        <f t="shared" si="143"/>
        <v>38016</v>
      </c>
      <c r="R726" s="268" t="s">
        <v>41</v>
      </c>
      <c r="S726" s="269" t="s">
        <v>115</v>
      </c>
      <c r="T726" s="230"/>
      <c r="AA726" s="244"/>
      <c r="AB726" s="271"/>
    </row>
    <row r="727" spans="1:29" ht="26.1" hidden="1" customHeight="1">
      <c r="A727" s="213" t="s">
        <v>29</v>
      </c>
      <c r="B727" s="214" t="s">
        <v>319</v>
      </c>
      <c r="C727" s="214" t="s">
        <v>31</v>
      </c>
      <c r="D727" s="215" t="s">
        <v>325</v>
      </c>
      <c r="E727" s="216" t="s">
        <v>336</v>
      </c>
      <c r="F727" s="215" t="s">
        <v>337</v>
      </c>
      <c r="G727" s="262" t="s">
        <v>46</v>
      </c>
      <c r="H727" s="262" t="s">
        <v>332</v>
      </c>
      <c r="I727" s="262" t="s">
        <v>333</v>
      </c>
      <c r="J727" s="262">
        <f>SUM(J728:J730)</f>
        <v>0</v>
      </c>
      <c r="K727" s="217"/>
      <c r="L727" s="218">
        <v>87199</v>
      </c>
      <c r="M727" s="218"/>
      <c r="N727" s="218"/>
      <c r="O727" s="218"/>
      <c r="P727" s="218"/>
      <c r="Q727" s="218">
        <f>SUM(K727:P727)</f>
        <v>87199</v>
      </c>
      <c r="R727" s="274" t="s">
        <v>87</v>
      </c>
      <c r="S727" s="266" t="s">
        <v>115</v>
      </c>
      <c r="T727" s="229"/>
    </row>
    <row r="728" spans="1:29" ht="26.1" hidden="1" customHeight="1">
      <c r="A728" s="208"/>
      <c r="B728" s="211"/>
      <c r="C728" s="211"/>
      <c r="D728" s="212"/>
      <c r="E728" s="210" t="str">
        <f>IFERROR(VLOOKUP($T728,공사현장대장!$A$5:$T$330,4),"")</f>
        <v/>
      </c>
      <c r="F728" s="212"/>
      <c r="G728" s="265"/>
      <c r="H728" s="265"/>
      <c r="I728" s="265"/>
      <c r="J728" s="265" t="str">
        <f>IFERROR(ROUND(VLOOKUP($T728,공사현장대장!$A$5:$T$330,9)/1000,0),"")</f>
        <v/>
      </c>
      <c r="K728" s="225"/>
      <c r="L728" s="209"/>
      <c r="M728" s="209"/>
      <c r="N728" s="209"/>
      <c r="O728" s="209"/>
      <c r="P728" s="209"/>
      <c r="Q728" s="209"/>
      <c r="R728" s="263" t="s">
        <v>87</v>
      </c>
      <c r="S728" s="266" t="s">
        <v>115</v>
      </c>
      <c r="T728" s="229"/>
    </row>
    <row r="729" spans="1:29" ht="26.1" hidden="1" customHeight="1">
      <c r="A729" s="208"/>
      <c r="B729" s="211"/>
      <c r="C729" s="211"/>
      <c r="D729" s="212"/>
      <c r="E729" s="210" t="str">
        <f>IFERROR(VLOOKUP($T729,공사현장대장!$A$5:$T$330,4),"")</f>
        <v/>
      </c>
      <c r="F729" s="212"/>
      <c r="G729" s="265"/>
      <c r="H729" s="265"/>
      <c r="I729" s="265"/>
      <c r="J729" s="265" t="str">
        <f>IFERROR(ROUND(VLOOKUP($T729,공사현장대장!$A$5:$T$330,9)/1000,0),"")</f>
        <v/>
      </c>
      <c r="K729" s="225"/>
      <c r="L729" s="209"/>
      <c r="M729" s="209"/>
      <c r="N729" s="209"/>
      <c r="O729" s="209"/>
      <c r="P729" s="209"/>
      <c r="Q729" s="209"/>
      <c r="R729" s="263" t="s">
        <v>87</v>
      </c>
      <c r="S729" s="266" t="s">
        <v>115</v>
      </c>
      <c r="T729" s="229"/>
    </row>
    <row r="730" spans="1:29" ht="26.1" hidden="1" customHeight="1">
      <c r="A730" s="208"/>
      <c r="B730" s="211"/>
      <c r="C730" s="211"/>
      <c r="D730" s="212"/>
      <c r="E730" s="210" t="str">
        <f>IFERROR(VLOOKUP($T730,공사현장대장!$A$5:$T$330,4),"")</f>
        <v/>
      </c>
      <c r="F730" s="212"/>
      <c r="G730" s="265"/>
      <c r="H730" s="265"/>
      <c r="I730" s="265"/>
      <c r="J730" s="265" t="str">
        <f>IFERROR(ROUND(VLOOKUP($T730,공사현장대장!$A$5:$T$330,9)/1000,0),"")</f>
        <v/>
      </c>
      <c r="K730" s="225"/>
      <c r="L730" s="209"/>
      <c r="M730" s="209"/>
      <c r="N730" s="209"/>
      <c r="O730" s="209"/>
      <c r="P730" s="209"/>
      <c r="Q730" s="209"/>
      <c r="R730" s="263" t="s">
        <v>87</v>
      </c>
      <c r="S730" s="266" t="s">
        <v>115</v>
      </c>
      <c r="T730" s="229"/>
    </row>
    <row r="731" spans="1:29" ht="26.1" hidden="1" customHeight="1">
      <c r="A731" s="324" t="s">
        <v>40</v>
      </c>
      <c r="B731" s="325"/>
      <c r="C731" s="325"/>
      <c r="D731" s="325"/>
      <c r="E731" s="326"/>
      <c r="F731" s="226"/>
      <c r="G731" s="267"/>
      <c r="H731" s="267"/>
      <c r="I731" s="267"/>
      <c r="J731" s="267"/>
      <c r="K731" s="227">
        <f t="shared" ref="K731:Q731" si="144">SUM(K727-SUM(K728:K730))</f>
        <v>0</v>
      </c>
      <c r="L731" s="227">
        <f t="shared" si="144"/>
        <v>87199</v>
      </c>
      <c r="M731" s="227">
        <f t="shared" si="144"/>
        <v>0</v>
      </c>
      <c r="N731" s="227">
        <f t="shared" si="144"/>
        <v>0</v>
      </c>
      <c r="O731" s="227">
        <f t="shared" si="144"/>
        <v>0</v>
      </c>
      <c r="P731" s="227">
        <f t="shared" si="144"/>
        <v>0</v>
      </c>
      <c r="Q731" s="227">
        <f t="shared" si="144"/>
        <v>87199</v>
      </c>
      <c r="R731" s="268" t="s">
        <v>87</v>
      </c>
      <c r="S731" s="269" t="s">
        <v>115</v>
      </c>
      <c r="T731" s="230"/>
    </row>
    <row r="732" spans="1:29" ht="26.1" hidden="1" customHeight="1">
      <c r="A732" s="213" t="s">
        <v>29</v>
      </c>
      <c r="B732" s="214" t="s">
        <v>319</v>
      </c>
      <c r="C732" s="214" t="s">
        <v>31</v>
      </c>
      <c r="D732" s="215" t="s">
        <v>325</v>
      </c>
      <c r="E732" s="216" t="s">
        <v>338</v>
      </c>
      <c r="F732" s="215" t="s">
        <v>339</v>
      </c>
      <c r="G732" s="262" t="s">
        <v>46</v>
      </c>
      <c r="H732" s="262" t="s">
        <v>47</v>
      </c>
      <c r="I732" s="262" t="s">
        <v>340</v>
      </c>
      <c r="J732" s="262">
        <f>SUM(J733:J735)</f>
        <v>0</v>
      </c>
      <c r="K732" s="217"/>
      <c r="L732" s="218">
        <v>162000</v>
      </c>
      <c r="M732" s="218"/>
      <c r="N732" s="218"/>
      <c r="O732" s="218"/>
      <c r="P732" s="218"/>
      <c r="Q732" s="218">
        <f>SUM(K732:P732)</f>
        <v>162000</v>
      </c>
      <c r="R732" s="274" t="s">
        <v>87</v>
      </c>
      <c r="S732" s="266" t="s">
        <v>115</v>
      </c>
      <c r="T732" s="229"/>
    </row>
    <row r="733" spans="1:29" ht="26.1" hidden="1" customHeight="1">
      <c r="A733" s="208"/>
      <c r="B733" s="211"/>
      <c r="C733" s="211"/>
      <c r="D733" s="212"/>
      <c r="E733" s="210" t="str">
        <f>IFERROR(VLOOKUP($T733,공사현장대장!$A$5:$T$330,4),"")</f>
        <v/>
      </c>
      <c r="F733" s="212"/>
      <c r="G733" s="265"/>
      <c r="H733" s="265"/>
      <c r="I733" s="265"/>
      <c r="J733" s="265" t="str">
        <f>IFERROR(ROUND(VLOOKUP($T733,공사현장대장!$A$5:$T$330,9)/1000,0),"")</f>
        <v/>
      </c>
      <c r="K733" s="225"/>
      <c r="L733" s="209"/>
      <c r="M733" s="209"/>
      <c r="N733" s="209"/>
      <c r="O733" s="209"/>
      <c r="P733" s="209"/>
      <c r="Q733" s="209"/>
      <c r="R733" s="263" t="s">
        <v>87</v>
      </c>
      <c r="S733" s="266" t="s">
        <v>115</v>
      </c>
      <c r="T733" s="229"/>
    </row>
    <row r="734" spans="1:29" ht="26.1" hidden="1" customHeight="1">
      <c r="A734" s="208"/>
      <c r="B734" s="211"/>
      <c r="C734" s="211"/>
      <c r="D734" s="212"/>
      <c r="E734" s="210" t="str">
        <f>IFERROR(VLOOKUP($T734,공사현장대장!$A$5:$T$330,4),"")</f>
        <v/>
      </c>
      <c r="F734" s="212"/>
      <c r="G734" s="265"/>
      <c r="H734" s="265"/>
      <c r="I734" s="265"/>
      <c r="J734" s="265" t="str">
        <f>IFERROR(ROUND(VLOOKUP($T734,공사현장대장!$A$5:$T$330,9)/1000,0),"")</f>
        <v/>
      </c>
      <c r="K734" s="225"/>
      <c r="L734" s="209"/>
      <c r="M734" s="209"/>
      <c r="N734" s="209"/>
      <c r="O734" s="209"/>
      <c r="P734" s="209"/>
      <c r="Q734" s="209"/>
      <c r="R734" s="263" t="s">
        <v>87</v>
      </c>
      <c r="S734" s="266" t="s">
        <v>115</v>
      </c>
      <c r="T734" s="229"/>
    </row>
    <row r="735" spans="1:29" ht="26.1" hidden="1" customHeight="1">
      <c r="A735" s="208"/>
      <c r="B735" s="211"/>
      <c r="C735" s="211"/>
      <c r="D735" s="212"/>
      <c r="E735" s="210" t="str">
        <f>IFERROR(VLOOKUP($T735,공사현장대장!$A$5:$T$330,4),"")</f>
        <v/>
      </c>
      <c r="F735" s="212"/>
      <c r="G735" s="265"/>
      <c r="H735" s="265"/>
      <c r="I735" s="265"/>
      <c r="J735" s="265" t="str">
        <f>IFERROR(ROUND(VLOOKUP($T735,공사현장대장!$A$5:$T$330,9)/1000,0),"")</f>
        <v/>
      </c>
      <c r="K735" s="225"/>
      <c r="L735" s="209"/>
      <c r="M735" s="209"/>
      <c r="N735" s="209"/>
      <c r="O735" s="209"/>
      <c r="P735" s="209"/>
      <c r="Q735" s="209"/>
      <c r="R735" s="263" t="s">
        <v>87</v>
      </c>
      <c r="S735" s="266" t="s">
        <v>115</v>
      </c>
      <c r="T735" s="229"/>
    </row>
    <row r="736" spans="1:29" ht="26.1" hidden="1" customHeight="1">
      <c r="A736" s="324" t="s">
        <v>40</v>
      </c>
      <c r="B736" s="325"/>
      <c r="C736" s="325"/>
      <c r="D736" s="325"/>
      <c r="E736" s="326"/>
      <c r="F736" s="226"/>
      <c r="G736" s="267"/>
      <c r="H736" s="267"/>
      <c r="I736" s="267"/>
      <c r="J736" s="267"/>
      <c r="K736" s="227">
        <f t="shared" ref="K736:Q736" si="145">SUM(K732-SUM(K733:K735))</f>
        <v>0</v>
      </c>
      <c r="L736" s="227">
        <f t="shared" si="145"/>
        <v>162000</v>
      </c>
      <c r="M736" s="227">
        <f t="shared" si="145"/>
        <v>0</v>
      </c>
      <c r="N736" s="227">
        <f t="shared" si="145"/>
        <v>0</v>
      </c>
      <c r="O736" s="227">
        <f t="shared" si="145"/>
        <v>0</v>
      </c>
      <c r="P736" s="227">
        <f t="shared" si="145"/>
        <v>0</v>
      </c>
      <c r="Q736" s="227">
        <f t="shared" si="145"/>
        <v>162000</v>
      </c>
      <c r="R736" s="268" t="s">
        <v>87</v>
      </c>
      <c r="S736" s="269" t="s">
        <v>115</v>
      </c>
      <c r="T736" s="230"/>
    </row>
    <row r="737" spans="1:20" ht="26.1" hidden="1" customHeight="1">
      <c r="A737" s="213" t="s">
        <v>29</v>
      </c>
      <c r="B737" s="214" t="s">
        <v>319</v>
      </c>
      <c r="C737" s="214" t="s">
        <v>31</v>
      </c>
      <c r="D737" s="215" t="s">
        <v>341</v>
      </c>
      <c r="E737" s="216" t="s">
        <v>342</v>
      </c>
      <c r="F737" s="215" t="s">
        <v>200</v>
      </c>
      <c r="G737" s="262" t="s">
        <v>46</v>
      </c>
      <c r="H737" s="262" t="s">
        <v>54</v>
      </c>
      <c r="I737" s="262" t="s">
        <v>55</v>
      </c>
      <c r="J737" s="262">
        <f>SUM(J738:J740)</f>
        <v>0</v>
      </c>
      <c r="K737" s="217"/>
      <c r="L737" s="218"/>
      <c r="M737" s="218"/>
      <c r="N737" s="218"/>
      <c r="O737" s="218"/>
      <c r="P737" s="218">
        <v>17150</v>
      </c>
      <c r="Q737" s="218">
        <f>SUM(K737:P737)</f>
        <v>17150</v>
      </c>
      <c r="R737" s="263" t="s">
        <v>38</v>
      </c>
      <c r="S737" s="266" t="s">
        <v>71</v>
      </c>
      <c r="T737" s="229"/>
    </row>
    <row r="738" spans="1:20" ht="26.1" hidden="1" customHeight="1">
      <c r="A738" s="208"/>
      <c r="B738" s="211"/>
      <c r="C738" s="211"/>
      <c r="D738" s="212"/>
      <c r="E738" s="210" t="str">
        <f>IFERROR(VLOOKUP($T738,공사현장대장!$A$5:$T$330,4),"")</f>
        <v/>
      </c>
      <c r="F738" s="212"/>
      <c r="G738" s="265"/>
      <c r="H738" s="265"/>
      <c r="I738" s="265"/>
      <c r="J738" s="265" t="str">
        <f>IFERROR(ROUND(VLOOKUP($T738,공사현장대장!$A$5:$T$330,9)/1000,0),"")</f>
        <v/>
      </c>
      <c r="K738" s="225"/>
      <c r="L738" s="209"/>
      <c r="M738" s="209"/>
      <c r="N738" s="209"/>
      <c r="O738" s="209"/>
      <c r="P738" s="209"/>
      <c r="Q738" s="209"/>
      <c r="R738" s="263" t="s">
        <v>38</v>
      </c>
      <c r="S738" s="266" t="s">
        <v>71</v>
      </c>
      <c r="T738" s="229"/>
    </row>
    <row r="739" spans="1:20" ht="26.1" hidden="1" customHeight="1">
      <c r="A739" s="208"/>
      <c r="B739" s="211"/>
      <c r="C739" s="211"/>
      <c r="D739" s="212"/>
      <c r="E739" s="210" t="str">
        <f>IFERROR(VLOOKUP($T739,공사현장대장!$A$5:$T$330,4),"")</f>
        <v/>
      </c>
      <c r="F739" s="212"/>
      <c r="G739" s="265"/>
      <c r="H739" s="265"/>
      <c r="I739" s="265"/>
      <c r="J739" s="265" t="str">
        <f>IFERROR(ROUND(VLOOKUP($T739,공사현장대장!$A$5:$T$330,9)/1000,0),"")</f>
        <v/>
      </c>
      <c r="K739" s="225"/>
      <c r="L739" s="209"/>
      <c r="M739" s="209"/>
      <c r="N739" s="209"/>
      <c r="O739" s="209"/>
      <c r="P739" s="209"/>
      <c r="Q739" s="209"/>
      <c r="R739" s="263" t="s">
        <v>38</v>
      </c>
      <c r="S739" s="266" t="s">
        <v>71</v>
      </c>
      <c r="T739" s="229"/>
    </row>
    <row r="740" spans="1:20" ht="26.1" hidden="1" customHeight="1">
      <c r="A740" s="208"/>
      <c r="B740" s="211"/>
      <c r="C740" s="211"/>
      <c r="D740" s="212"/>
      <c r="E740" s="210" t="str">
        <f>IFERROR(VLOOKUP($T740,공사현장대장!$A$5:$T$330,4),"")</f>
        <v/>
      </c>
      <c r="F740" s="212"/>
      <c r="G740" s="265"/>
      <c r="H740" s="265"/>
      <c r="I740" s="265"/>
      <c r="J740" s="265" t="str">
        <f>IFERROR(ROUND(VLOOKUP($T740,공사현장대장!$A$5:$T$330,9)/1000,0),"")</f>
        <v/>
      </c>
      <c r="K740" s="225"/>
      <c r="L740" s="209"/>
      <c r="M740" s="209"/>
      <c r="N740" s="209"/>
      <c r="O740" s="209"/>
      <c r="P740" s="209"/>
      <c r="Q740" s="209"/>
      <c r="R740" s="263" t="s">
        <v>38</v>
      </c>
      <c r="S740" s="266" t="s">
        <v>71</v>
      </c>
      <c r="T740" s="229"/>
    </row>
    <row r="741" spans="1:20" ht="26.1" hidden="1" customHeight="1">
      <c r="A741" s="324" t="s">
        <v>40</v>
      </c>
      <c r="B741" s="325"/>
      <c r="C741" s="325"/>
      <c r="D741" s="325"/>
      <c r="E741" s="326"/>
      <c r="F741" s="226"/>
      <c r="G741" s="267"/>
      <c r="H741" s="267"/>
      <c r="I741" s="267"/>
      <c r="J741" s="267"/>
      <c r="K741" s="227">
        <f t="shared" ref="K741:Q741" si="146">SUM(K737-SUM(K738:K740))</f>
        <v>0</v>
      </c>
      <c r="L741" s="227">
        <f t="shared" si="146"/>
        <v>0</v>
      </c>
      <c r="M741" s="227">
        <f t="shared" si="146"/>
        <v>0</v>
      </c>
      <c r="N741" s="227">
        <f t="shared" si="146"/>
        <v>0</v>
      </c>
      <c r="O741" s="227">
        <f t="shared" si="146"/>
        <v>0</v>
      </c>
      <c r="P741" s="227">
        <f t="shared" si="146"/>
        <v>17150</v>
      </c>
      <c r="Q741" s="227">
        <f t="shared" si="146"/>
        <v>17150</v>
      </c>
      <c r="R741" s="268" t="s">
        <v>38</v>
      </c>
      <c r="S741" s="269" t="s">
        <v>71</v>
      </c>
      <c r="T741" s="230"/>
    </row>
    <row r="742" spans="1:20" ht="26.1" hidden="1" customHeight="1">
      <c r="A742" s="213" t="s">
        <v>29</v>
      </c>
      <c r="B742" s="214" t="s">
        <v>319</v>
      </c>
      <c r="C742" s="214" t="s">
        <v>31</v>
      </c>
      <c r="D742" s="215" t="s">
        <v>341</v>
      </c>
      <c r="E742" s="216" t="s">
        <v>264</v>
      </c>
      <c r="F742" s="215" t="s">
        <v>83</v>
      </c>
      <c r="G742" s="262" t="s">
        <v>46</v>
      </c>
      <c r="H742" s="262" t="s">
        <v>54</v>
      </c>
      <c r="I742" s="262" t="s">
        <v>55</v>
      </c>
      <c r="J742" s="262">
        <f>SUM(J743:J745)</f>
        <v>0</v>
      </c>
      <c r="K742" s="217"/>
      <c r="L742" s="218">
        <v>175000</v>
      </c>
      <c r="M742" s="218"/>
      <c r="N742" s="218"/>
      <c r="O742" s="218"/>
      <c r="P742" s="218"/>
      <c r="Q742" s="218">
        <f>SUM(K742:P742)</f>
        <v>175000</v>
      </c>
      <c r="R742" s="263" t="s">
        <v>38</v>
      </c>
      <c r="S742" s="266" t="s">
        <v>71</v>
      </c>
      <c r="T742" s="229"/>
    </row>
    <row r="743" spans="1:20" ht="26.1" hidden="1" customHeight="1">
      <c r="A743" s="208"/>
      <c r="B743" s="211"/>
      <c r="C743" s="211"/>
      <c r="D743" s="212"/>
      <c r="E743" s="210" t="str">
        <f>IFERROR(VLOOKUP($T743,공사현장대장!$A$5:$T$330,4),"")</f>
        <v/>
      </c>
      <c r="F743" s="212"/>
      <c r="G743" s="265"/>
      <c r="H743" s="265"/>
      <c r="I743" s="265"/>
      <c r="J743" s="265" t="str">
        <f>IFERROR(ROUND(VLOOKUP($T743,공사현장대장!$A$5:$T$330,9)/1000,0),"")</f>
        <v/>
      </c>
      <c r="K743" s="225"/>
      <c r="L743" s="209"/>
      <c r="M743" s="209"/>
      <c r="N743" s="209"/>
      <c r="O743" s="209"/>
      <c r="P743" s="209"/>
      <c r="Q743" s="209"/>
      <c r="R743" s="263" t="s">
        <v>38</v>
      </c>
      <c r="S743" s="266" t="s">
        <v>71</v>
      </c>
      <c r="T743" s="229"/>
    </row>
    <row r="744" spans="1:20" ht="26.1" hidden="1" customHeight="1">
      <c r="A744" s="208"/>
      <c r="B744" s="211"/>
      <c r="C744" s="211"/>
      <c r="D744" s="212"/>
      <c r="E744" s="210" t="str">
        <f>IFERROR(VLOOKUP($T744,공사현장대장!$A$5:$T$330,4),"")</f>
        <v/>
      </c>
      <c r="F744" s="212"/>
      <c r="G744" s="265"/>
      <c r="H744" s="265"/>
      <c r="I744" s="265"/>
      <c r="J744" s="265" t="str">
        <f>IFERROR(ROUND(VLOOKUP($T744,공사현장대장!$A$5:$T$330,9)/1000,0),"")</f>
        <v/>
      </c>
      <c r="K744" s="225"/>
      <c r="L744" s="209"/>
      <c r="M744" s="209"/>
      <c r="N744" s="209"/>
      <c r="O744" s="209"/>
      <c r="P744" s="209"/>
      <c r="Q744" s="209"/>
      <c r="R744" s="263" t="s">
        <v>38</v>
      </c>
      <c r="S744" s="266" t="s">
        <v>71</v>
      </c>
      <c r="T744" s="229"/>
    </row>
    <row r="745" spans="1:20" ht="26.1" hidden="1" customHeight="1">
      <c r="A745" s="208"/>
      <c r="B745" s="211"/>
      <c r="C745" s="211"/>
      <c r="D745" s="212"/>
      <c r="E745" s="210" t="str">
        <f>IFERROR(VLOOKUP($T745,공사현장대장!$A$5:$T$330,4),"")</f>
        <v/>
      </c>
      <c r="F745" s="212"/>
      <c r="G745" s="265"/>
      <c r="H745" s="265"/>
      <c r="I745" s="265"/>
      <c r="J745" s="265" t="str">
        <f>IFERROR(ROUND(VLOOKUP($T745,공사현장대장!$A$5:$T$330,9)/1000,0),"")</f>
        <v/>
      </c>
      <c r="K745" s="225"/>
      <c r="L745" s="209"/>
      <c r="M745" s="209"/>
      <c r="N745" s="209"/>
      <c r="O745" s="209"/>
      <c r="P745" s="209"/>
      <c r="Q745" s="209"/>
      <c r="R745" s="263" t="s">
        <v>38</v>
      </c>
      <c r="S745" s="266" t="s">
        <v>71</v>
      </c>
      <c r="T745" s="229"/>
    </row>
    <row r="746" spans="1:20" ht="26.1" hidden="1" customHeight="1">
      <c r="A746" s="324" t="s">
        <v>40</v>
      </c>
      <c r="B746" s="325"/>
      <c r="C746" s="325"/>
      <c r="D746" s="325"/>
      <c r="E746" s="326"/>
      <c r="F746" s="226"/>
      <c r="G746" s="267"/>
      <c r="H746" s="267"/>
      <c r="I746" s="267"/>
      <c r="J746" s="267"/>
      <c r="K746" s="227">
        <f t="shared" ref="K746:Q746" si="147">SUM(K742-SUM(K743:K745))</f>
        <v>0</v>
      </c>
      <c r="L746" s="227">
        <f t="shared" si="147"/>
        <v>175000</v>
      </c>
      <c r="M746" s="227">
        <f t="shared" si="147"/>
        <v>0</v>
      </c>
      <c r="N746" s="227">
        <f t="shared" si="147"/>
        <v>0</v>
      </c>
      <c r="O746" s="227">
        <f t="shared" si="147"/>
        <v>0</v>
      </c>
      <c r="P746" s="227">
        <f t="shared" si="147"/>
        <v>0</v>
      </c>
      <c r="Q746" s="227">
        <f t="shared" si="147"/>
        <v>175000</v>
      </c>
      <c r="R746" s="268" t="s">
        <v>38</v>
      </c>
      <c r="S746" s="269" t="s">
        <v>71</v>
      </c>
      <c r="T746" s="230"/>
    </row>
    <row r="747" spans="1:20" ht="26.1" hidden="1" customHeight="1">
      <c r="A747" s="213" t="s">
        <v>29</v>
      </c>
      <c r="B747" s="214" t="s">
        <v>319</v>
      </c>
      <c r="C747" s="214" t="s">
        <v>31</v>
      </c>
      <c r="D747" s="215" t="s">
        <v>341</v>
      </c>
      <c r="E747" s="216" t="s">
        <v>266</v>
      </c>
      <c r="F747" s="215" t="s">
        <v>343</v>
      </c>
      <c r="G747" s="262" t="s">
        <v>46</v>
      </c>
      <c r="H747" s="262" t="s">
        <v>54</v>
      </c>
      <c r="I747" s="262" t="s">
        <v>55</v>
      </c>
      <c r="J747" s="262">
        <f>SUM(J748:J750)</f>
        <v>0</v>
      </c>
      <c r="K747" s="217"/>
      <c r="L747" s="218">
        <v>143500</v>
      </c>
      <c r="M747" s="218"/>
      <c r="N747" s="218"/>
      <c r="O747" s="218"/>
      <c r="P747" s="218"/>
      <c r="Q747" s="218">
        <f>SUM(K747:P747)</f>
        <v>143500</v>
      </c>
      <c r="R747" s="274" t="s">
        <v>87</v>
      </c>
      <c r="S747" s="266" t="s">
        <v>71</v>
      </c>
      <c r="T747" s="229"/>
    </row>
    <row r="748" spans="1:20" ht="26.1" hidden="1" customHeight="1">
      <c r="A748" s="208"/>
      <c r="B748" s="211"/>
      <c r="C748" s="211"/>
      <c r="D748" s="212"/>
      <c r="E748" s="210" t="str">
        <f>IFERROR(VLOOKUP($T748,공사현장대장!$A$5:$T$330,4),"")</f>
        <v/>
      </c>
      <c r="F748" s="212"/>
      <c r="G748" s="265"/>
      <c r="H748" s="265"/>
      <c r="I748" s="265"/>
      <c r="J748" s="265" t="str">
        <f>IFERROR(ROUND(VLOOKUP($T748,공사현장대장!$A$5:$T$330,9)/1000,0),"")</f>
        <v/>
      </c>
      <c r="K748" s="225"/>
      <c r="L748" s="209"/>
      <c r="M748" s="209"/>
      <c r="N748" s="209"/>
      <c r="O748" s="209"/>
      <c r="P748" s="209"/>
      <c r="Q748" s="209"/>
      <c r="R748" s="263" t="s">
        <v>87</v>
      </c>
      <c r="S748" s="266" t="s">
        <v>71</v>
      </c>
      <c r="T748" s="229"/>
    </row>
    <row r="749" spans="1:20" ht="26.1" hidden="1" customHeight="1">
      <c r="A749" s="208"/>
      <c r="B749" s="211"/>
      <c r="C749" s="211"/>
      <c r="D749" s="212"/>
      <c r="E749" s="210" t="str">
        <f>IFERROR(VLOOKUP($T749,공사현장대장!$A$5:$T$330,4),"")</f>
        <v/>
      </c>
      <c r="F749" s="212"/>
      <c r="G749" s="265"/>
      <c r="H749" s="265"/>
      <c r="I749" s="265"/>
      <c r="J749" s="265" t="str">
        <f>IFERROR(ROUND(VLOOKUP($T749,공사현장대장!$A$5:$T$330,9)/1000,0),"")</f>
        <v/>
      </c>
      <c r="K749" s="225"/>
      <c r="L749" s="209"/>
      <c r="M749" s="209"/>
      <c r="N749" s="209"/>
      <c r="O749" s="209"/>
      <c r="P749" s="209"/>
      <c r="Q749" s="209"/>
      <c r="R749" s="263" t="s">
        <v>87</v>
      </c>
      <c r="S749" s="266" t="s">
        <v>71</v>
      </c>
      <c r="T749" s="229"/>
    </row>
    <row r="750" spans="1:20" ht="26.1" hidden="1" customHeight="1">
      <c r="A750" s="208"/>
      <c r="B750" s="211"/>
      <c r="C750" s="211"/>
      <c r="D750" s="212"/>
      <c r="E750" s="210" t="str">
        <f>IFERROR(VLOOKUP($T750,공사현장대장!$A$5:$T$330,4),"")</f>
        <v/>
      </c>
      <c r="F750" s="212"/>
      <c r="G750" s="265"/>
      <c r="H750" s="265"/>
      <c r="I750" s="265"/>
      <c r="J750" s="265" t="str">
        <f>IFERROR(ROUND(VLOOKUP($T750,공사현장대장!$A$5:$T$330,9)/1000,0),"")</f>
        <v/>
      </c>
      <c r="K750" s="225"/>
      <c r="L750" s="209"/>
      <c r="M750" s="209"/>
      <c r="N750" s="209"/>
      <c r="O750" s="209"/>
      <c r="P750" s="209"/>
      <c r="Q750" s="209"/>
      <c r="R750" s="263" t="s">
        <v>87</v>
      </c>
      <c r="S750" s="266" t="s">
        <v>71</v>
      </c>
      <c r="T750" s="229"/>
    </row>
    <row r="751" spans="1:20" ht="26.1" hidden="1" customHeight="1">
      <c r="A751" s="324" t="s">
        <v>40</v>
      </c>
      <c r="B751" s="325"/>
      <c r="C751" s="325"/>
      <c r="D751" s="325"/>
      <c r="E751" s="326"/>
      <c r="F751" s="226"/>
      <c r="G751" s="267"/>
      <c r="H751" s="267"/>
      <c r="I751" s="267"/>
      <c r="J751" s="267"/>
      <c r="K751" s="227">
        <f t="shared" ref="K751:Q751" si="148">SUM(K747-SUM(K748:K750))</f>
        <v>0</v>
      </c>
      <c r="L751" s="227">
        <f t="shared" si="148"/>
        <v>143500</v>
      </c>
      <c r="M751" s="227">
        <f t="shared" si="148"/>
        <v>0</v>
      </c>
      <c r="N751" s="227">
        <f t="shared" si="148"/>
        <v>0</v>
      </c>
      <c r="O751" s="227">
        <f t="shared" si="148"/>
        <v>0</v>
      </c>
      <c r="P751" s="227">
        <f t="shared" si="148"/>
        <v>0</v>
      </c>
      <c r="Q751" s="227">
        <f t="shared" si="148"/>
        <v>143500</v>
      </c>
      <c r="R751" s="268" t="s">
        <v>87</v>
      </c>
      <c r="S751" s="269" t="s">
        <v>71</v>
      </c>
      <c r="T751" s="230"/>
    </row>
    <row r="752" spans="1:20" ht="26.1" hidden="1" customHeight="1">
      <c r="A752" s="213" t="s">
        <v>29</v>
      </c>
      <c r="B752" s="214" t="s">
        <v>319</v>
      </c>
      <c r="C752" s="214" t="s">
        <v>31</v>
      </c>
      <c r="D752" s="215" t="s">
        <v>341</v>
      </c>
      <c r="E752" s="216" t="s">
        <v>323</v>
      </c>
      <c r="F752" s="215" t="s">
        <v>344</v>
      </c>
      <c r="G752" s="262" t="s">
        <v>46</v>
      </c>
      <c r="H752" s="262" t="s">
        <v>107</v>
      </c>
      <c r="I752" s="262" t="s">
        <v>238</v>
      </c>
      <c r="J752" s="262">
        <f>SUM(J753:J755)</f>
        <v>0</v>
      </c>
      <c r="K752" s="217">
        <v>39194</v>
      </c>
      <c r="L752" s="218">
        <v>0</v>
      </c>
      <c r="M752" s="218">
        <v>0</v>
      </c>
      <c r="N752" s="218"/>
      <c r="O752" s="218"/>
      <c r="P752" s="218"/>
      <c r="Q752" s="218">
        <f>SUM(K752:P752)</f>
        <v>39194</v>
      </c>
      <c r="R752" s="263" t="s">
        <v>76</v>
      </c>
      <c r="S752" s="266" t="s">
        <v>71</v>
      </c>
      <c r="T752" s="229"/>
    </row>
    <row r="753" spans="1:20" ht="26.1" hidden="1" customHeight="1">
      <c r="A753" s="208"/>
      <c r="B753" s="211"/>
      <c r="C753" s="211"/>
      <c r="D753" s="212"/>
      <c r="E753" s="210" t="str">
        <f>IFERROR(VLOOKUP($T753,공사현장대장!$A$5:$T$330,4),"")</f>
        <v/>
      </c>
      <c r="F753" s="212"/>
      <c r="G753" s="265"/>
      <c r="H753" s="265"/>
      <c r="I753" s="265"/>
      <c r="J753" s="265" t="str">
        <f>IFERROR(ROUND(VLOOKUP($T753,공사현장대장!$A$5:$T$330,9)/1000,0),"")</f>
        <v/>
      </c>
      <c r="K753" s="225"/>
      <c r="L753" s="209"/>
      <c r="M753" s="209"/>
      <c r="N753" s="209"/>
      <c r="O753" s="209"/>
      <c r="P753" s="209"/>
      <c r="Q753" s="209"/>
      <c r="R753" s="263" t="s">
        <v>76</v>
      </c>
      <c r="S753" s="266" t="s">
        <v>71</v>
      </c>
      <c r="T753" s="229"/>
    </row>
    <row r="754" spans="1:20" ht="26.1" hidden="1" customHeight="1">
      <c r="A754" s="208"/>
      <c r="B754" s="211"/>
      <c r="C754" s="211"/>
      <c r="D754" s="212"/>
      <c r="E754" s="210" t="str">
        <f>IFERROR(VLOOKUP($T754,공사현장대장!$A$5:$T$330,4),"")</f>
        <v/>
      </c>
      <c r="F754" s="212"/>
      <c r="G754" s="265"/>
      <c r="H754" s="265"/>
      <c r="I754" s="265"/>
      <c r="J754" s="265" t="str">
        <f>IFERROR(ROUND(VLOOKUP($T754,공사현장대장!$A$5:$T$330,9)/1000,0),"")</f>
        <v/>
      </c>
      <c r="K754" s="225"/>
      <c r="L754" s="209"/>
      <c r="M754" s="209"/>
      <c r="N754" s="209"/>
      <c r="O754" s="209"/>
      <c r="P754" s="209"/>
      <c r="Q754" s="209"/>
      <c r="R754" s="263" t="s">
        <v>76</v>
      </c>
      <c r="S754" s="266" t="s">
        <v>71</v>
      </c>
      <c r="T754" s="229"/>
    </row>
    <row r="755" spans="1:20" ht="26.1" hidden="1" customHeight="1">
      <c r="A755" s="208"/>
      <c r="B755" s="211"/>
      <c r="C755" s="211"/>
      <c r="D755" s="212"/>
      <c r="E755" s="210" t="str">
        <f>IFERROR(VLOOKUP($T755,공사현장대장!$A$5:$T$330,4),"")</f>
        <v/>
      </c>
      <c r="F755" s="212"/>
      <c r="G755" s="265"/>
      <c r="H755" s="265"/>
      <c r="I755" s="265"/>
      <c r="J755" s="265" t="str">
        <f>IFERROR(ROUND(VLOOKUP($T755,공사현장대장!$A$5:$T$330,9)/1000,0),"")</f>
        <v/>
      </c>
      <c r="K755" s="225"/>
      <c r="L755" s="209"/>
      <c r="M755" s="209"/>
      <c r="N755" s="209"/>
      <c r="O755" s="209"/>
      <c r="P755" s="209"/>
      <c r="Q755" s="209"/>
      <c r="R755" s="263" t="s">
        <v>76</v>
      </c>
      <c r="S755" s="266" t="s">
        <v>71</v>
      </c>
      <c r="T755" s="229"/>
    </row>
    <row r="756" spans="1:20" ht="26.1" hidden="1" customHeight="1">
      <c r="A756" s="324" t="s">
        <v>40</v>
      </c>
      <c r="B756" s="325"/>
      <c r="C756" s="325"/>
      <c r="D756" s="325"/>
      <c r="E756" s="326"/>
      <c r="F756" s="226"/>
      <c r="G756" s="267"/>
      <c r="H756" s="267"/>
      <c r="I756" s="267"/>
      <c r="J756" s="267"/>
      <c r="K756" s="227">
        <f t="shared" ref="K756:Q756" si="149">SUM(K752-SUM(K753:K755))</f>
        <v>39194</v>
      </c>
      <c r="L756" s="227">
        <f t="shared" si="149"/>
        <v>0</v>
      </c>
      <c r="M756" s="227">
        <f t="shared" si="149"/>
        <v>0</v>
      </c>
      <c r="N756" s="227">
        <f t="shared" si="149"/>
        <v>0</v>
      </c>
      <c r="O756" s="227">
        <f t="shared" si="149"/>
        <v>0</v>
      </c>
      <c r="P756" s="227">
        <f t="shared" si="149"/>
        <v>0</v>
      </c>
      <c r="Q756" s="227">
        <f t="shared" si="149"/>
        <v>39194</v>
      </c>
      <c r="R756" s="268" t="s">
        <v>76</v>
      </c>
      <c r="S756" s="269" t="s">
        <v>71</v>
      </c>
      <c r="T756" s="230"/>
    </row>
    <row r="757" spans="1:20" ht="26.1" hidden="1" customHeight="1">
      <c r="A757" s="213" t="s">
        <v>29</v>
      </c>
      <c r="B757" s="214" t="s">
        <v>319</v>
      </c>
      <c r="C757" s="214" t="s">
        <v>31</v>
      </c>
      <c r="D757" s="215" t="s">
        <v>345</v>
      </c>
      <c r="E757" s="216" t="s">
        <v>268</v>
      </c>
      <c r="F757" s="215" t="s">
        <v>346</v>
      </c>
      <c r="G757" s="262" t="s">
        <v>46</v>
      </c>
      <c r="H757" s="262" t="s">
        <v>54</v>
      </c>
      <c r="I757" s="262" t="s">
        <v>55</v>
      </c>
      <c r="J757" s="262">
        <f>SUM(J758:J760)</f>
        <v>0</v>
      </c>
      <c r="K757" s="217"/>
      <c r="L757" s="218">
        <v>87500</v>
      </c>
      <c r="M757" s="218"/>
      <c r="N757" s="218"/>
      <c r="O757" s="218"/>
      <c r="P757" s="218"/>
      <c r="Q757" s="218">
        <f>SUM(K757:P757)</f>
        <v>87500</v>
      </c>
      <c r="R757" s="263" t="s">
        <v>38</v>
      </c>
      <c r="S757" s="266" t="s">
        <v>84</v>
      </c>
      <c r="T757" s="229"/>
    </row>
    <row r="758" spans="1:20" ht="26.1" hidden="1" customHeight="1">
      <c r="A758" s="208"/>
      <c r="B758" s="211"/>
      <c r="C758" s="211"/>
      <c r="D758" s="212"/>
      <c r="E758" s="210" t="str">
        <f>IFERROR(VLOOKUP($T758,공사현장대장!$A$5:$T$330,4),"")</f>
        <v/>
      </c>
      <c r="F758" s="212"/>
      <c r="G758" s="265"/>
      <c r="H758" s="265"/>
      <c r="I758" s="265"/>
      <c r="J758" s="265" t="str">
        <f>IFERROR(ROUND(VLOOKUP($T758,공사현장대장!$A$5:$T$330,9)/1000,0),"")</f>
        <v/>
      </c>
      <c r="K758" s="225"/>
      <c r="L758" s="209"/>
      <c r="M758" s="209"/>
      <c r="N758" s="209"/>
      <c r="O758" s="209"/>
      <c r="P758" s="209"/>
      <c r="Q758" s="209"/>
      <c r="R758" s="263" t="s">
        <v>38</v>
      </c>
      <c r="S758" s="266" t="s">
        <v>84</v>
      </c>
      <c r="T758" s="229"/>
    </row>
    <row r="759" spans="1:20" ht="26.1" hidden="1" customHeight="1">
      <c r="A759" s="208"/>
      <c r="B759" s="211"/>
      <c r="C759" s="211"/>
      <c r="D759" s="212"/>
      <c r="E759" s="210" t="str">
        <f>IFERROR(VLOOKUP($T759,공사현장대장!$A$5:$T$330,4),"")</f>
        <v/>
      </c>
      <c r="F759" s="212"/>
      <c r="G759" s="265"/>
      <c r="H759" s="265"/>
      <c r="I759" s="265"/>
      <c r="J759" s="265" t="str">
        <f>IFERROR(ROUND(VLOOKUP($T759,공사현장대장!$A$5:$T$330,9)/1000,0),"")</f>
        <v/>
      </c>
      <c r="K759" s="225"/>
      <c r="L759" s="209"/>
      <c r="M759" s="209"/>
      <c r="N759" s="209"/>
      <c r="O759" s="209"/>
      <c r="P759" s="209"/>
      <c r="Q759" s="209"/>
      <c r="R759" s="263" t="s">
        <v>38</v>
      </c>
      <c r="S759" s="266" t="s">
        <v>84</v>
      </c>
      <c r="T759" s="229"/>
    </row>
    <row r="760" spans="1:20" ht="26.1" hidden="1" customHeight="1">
      <c r="A760" s="208"/>
      <c r="B760" s="211"/>
      <c r="C760" s="211"/>
      <c r="D760" s="212"/>
      <c r="E760" s="210" t="str">
        <f>IFERROR(VLOOKUP($T760,공사현장대장!$A$5:$T$330,4),"")</f>
        <v/>
      </c>
      <c r="F760" s="212"/>
      <c r="G760" s="265"/>
      <c r="H760" s="265"/>
      <c r="I760" s="265"/>
      <c r="J760" s="265" t="str">
        <f>IFERROR(ROUND(VLOOKUP($T760,공사현장대장!$A$5:$T$330,9)/1000,0),"")</f>
        <v/>
      </c>
      <c r="K760" s="225"/>
      <c r="L760" s="209"/>
      <c r="M760" s="209"/>
      <c r="N760" s="209"/>
      <c r="O760" s="209"/>
      <c r="P760" s="209"/>
      <c r="Q760" s="209"/>
      <c r="R760" s="263" t="s">
        <v>38</v>
      </c>
      <c r="S760" s="266" t="s">
        <v>84</v>
      </c>
      <c r="T760" s="229"/>
    </row>
    <row r="761" spans="1:20" ht="26.1" hidden="1" customHeight="1">
      <c r="A761" s="324" t="s">
        <v>40</v>
      </c>
      <c r="B761" s="325"/>
      <c r="C761" s="325"/>
      <c r="D761" s="325"/>
      <c r="E761" s="326"/>
      <c r="F761" s="226"/>
      <c r="G761" s="267"/>
      <c r="H761" s="267"/>
      <c r="I761" s="267"/>
      <c r="J761" s="267"/>
      <c r="K761" s="227">
        <f t="shared" ref="K761:Q761" si="150">SUM(K757-SUM(K758:K760))</f>
        <v>0</v>
      </c>
      <c r="L761" s="227">
        <f t="shared" si="150"/>
        <v>87500</v>
      </c>
      <c r="M761" s="227">
        <f t="shared" si="150"/>
        <v>0</v>
      </c>
      <c r="N761" s="227">
        <f t="shared" si="150"/>
        <v>0</v>
      </c>
      <c r="O761" s="227">
        <f t="shared" si="150"/>
        <v>0</v>
      </c>
      <c r="P761" s="227">
        <f t="shared" si="150"/>
        <v>0</v>
      </c>
      <c r="Q761" s="227">
        <f t="shared" si="150"/>
        <v>87500</v>
      </c>
      <c r="R761" s="268" t="s">
        <v>38</v>
      </c>
      <c r="S761" s="269" t="s">
        <v>84</v>
      </c>
      <c r="T761" s="230"/>
    </row>
    <row r="762" spans="1:20" ht="26.1" hidden="1" customHeight="1">
      <c r="A762" s="213" t="s">
        <v>29</v>
      </c>
      <c r="B762" s="214" t="s">
        <v>319</v>
      </c>
      <c r="C762" s="214" t="s">
        <v>31</v>
      </c>
      <c r="D762" s="215" t="s">
        <v>345</v>
      </c>
      <c r="E762" s="216" t="s">
        <v>213</v>
      </c>
      <c r="F762" s="215" t="s">
        <v>347</v>
      </c>
      <c r="G762" s="262" t="s">
        <v>46</v>
      </c>
      <c r="H762" s="262" t="s">
        <v>54</v>
      </c>
      <c r="I762" s="262" t="s">
        <v>55</v>
      </c>
      <c r="J762" s="262">
        <f>SUM(J763:J765)</f>
        <v>0</v>
      </c>
      <c r="K762" s="217"/>
      <c r="L762" s="218">
        <v>62650</v>
      </c>
      <c r="M762" s="218"/>
      <c r="N762" s="218"/>
      <c r="O762" s="218"/>
      <c r="P762" s="218"/>
      <c r="Q762" s="218">
        <f>SUM(K762:P762)</f>
        <v>62650</v>
      </c>
      <c r="R762" s="263" t="s">
        <v>38</v>
      </c>
      <c r="S762" s="266" t="s">
        <v>84</v>
      </c>
      <c r="T762" s="229"/>
    </row>
    <row r="763" spans="1:20" ht="26.1" hidden="1" customHeight="1">
      <c r="A763" s="208"/>
      <c r="B763" s="211"/>
      <c r="C763" s="211"/>
      <c r="D763" s="212"/>
      <c r="E763" s="210" t="str">
        <f>IFERROR(VLOOKUP($T763,공사현장대장!$A$5:$T$330,4),"")</f>
        <v/>
      </c>
      <c r="F763" s="212"/>
      <c r="G763" s="265"/>
      <c r="H763" s="265"/>
      <c r="I763" s="265"/>
      <c r="J763" s="265" t="str">
        <f>IFERROR(ROUND(VLOOKUP($T763,공사현장대장!$A$5:$T$330,9)/1000,0),"")</f>
        <v/>
      </c>
      <c r="K763" s="225"/>
      <c r="L763" s="209"/>
      <c r="M763" s="209"/>
      <c r="N763" s="209"/>
      <c r="O763" s="209"/>
      <c r="P763" s="209"/>
      <c r="Q763" s="209"/>
      <c r="R763" s="263" t="s">
        <v>38</v>
      </c>
      <c r="S763" s="266" t="s">
        <v>84</v>
      </c>
      <c r="T763" s="229"/>
    </row>
    <row r="764" spans="1:20" ht="26.1" hidden="1" customHeight="1">
      <c r="A764" s="208"/>
      <c r="B764" s="211"/>
      <c r="C764" s="211"/>
      <c r="D764" s="212"/>
      <c r="E764" s="210" t="str">
        <f>IFERROR(VLOOKUP($T764,공사현장대장!$A$5:$T$330,4),"")</f>
        <v/>
      </c>
      <c r="F764" s="212"/>
      <c r="G764" s="265"/>
      <c r="H764" s="265"/>
      <c r="I764" s="265"/>
      <c r="J764" s="265" t="str">
        <f>IFERROR(ROUND(VLOOKUP($T764,공사현장대장!$A$5:$T$330,9)/1000,0),"")</f>
        <v/>
      </c>
      <c r="K764" s="225"/>
      <c r="L764" s="209"/>
      <c r="M764" s="209"/>
      <c r="N764" s="209"/>
      <c r="O764" s="209"/>
      <c r="P764" s="209"/>
      <c r="Q764" s="209"/>
      <c r="R764" s="263" t="s">
        <v>38</v>
      </c>
      <c r="S764" s="266" t="s">
        <v>84</v>
      </c>
      <c r="T764" s="229"/>
    </row>
    <row r="765" spans="1:20" ht="26.1" hidden="1" customHeight="1">
      <c r="A765" s="208"/>
      <c r="B765" s="211"/>
      <c r="C765" s="211"/>
      <c r="D765" s="212"/>
      <c r="E765" s="210" t="str">
        <f>IFERROR(VLOOKUP($T765,공사현장대장!$A$5:$T$330,4),"")</f>
        <v/>
      </c>
      <c r="F765" s="212"/>
      <c r="G765" s="265"/>
      <c r="H765" s="265"/>
      <c r="I765" s="265"/>
      <c r="J765" s="265" t="str">
        <f>IFERROR(ROUND(VLOOKUP($T765,공사현장대장!$A$5:$T$330,9)/1000,0),"")</f>
        <v/>
      </c>
      <c r="K765" s="225"/>
      <c r="L765" s="209"/>
      <c r="M765" s="209"/>
      <c r="N765" s="209"/>
      <c r="O765" s="209"/>
      <c r="P765" s="209"/>
      <c r="Q765" s="209"/>
      <c r="R765" s="263" t="s">
        <v>38</v>
      </c>
      <c r="S765" s="266" t="s">
        <v>84</v>
      </c>
      <c r="T765" s="229"/>
    </row>
    <row r="766" spans="1:20" ht="26.1" hidden="1" customHeight="1">
      <c r="A766" s="324" t="s">
        <v>40</v>
      </c>
      <c r="B766" s="325"/>
      <c r="C766" s="325"/>
      <c r="D766" s="325"/>
      <c r="E766" s="326"/>
      <c r="F766" s="226"/>
      <c r="G766" s="267"/>
      <c r="H766" s="267"/>
      <c r="I766" s="267"/>
      <c r="J766" s="267"/>
      <c r="K766" s="227">
        <f t="shared" ref="K766:Q766" si="151">SUM(K762-SUM(K763:K765))</f>
        <v>0</v>
      </c>
      <c r="L766" s="227">
        <f t="shared" si="151"/>
        <v>62650</v>
      </c>
      <c r="M766" s="227">
        <f t="shared" si="151"/>
        <v>0</v>
      </c>
      <c r="N766" s="227">
        <f t="shared" si="151"/>
        <v>0</v>
      </c>
      <c r="O766" s="227">
        <f t="shared" si="151"/>
        <v>0</v>
      </c>
      <c r="P766" s="227">
        <f t="shared" si="151"/>
        <v>0</v>
      </c>
      <c r="Q766" s="227">
        <f t="shared" si="151"/>
        <v>62650</v>
      </c>
      <c r="R766" s="268" t="s">
        <v>38</v>
      </c>
      <c r="S766" s="269" t="s">
        <v>84</v>
      </c>
      <c r="T766" s="230"/>
    </row>
    <row r="767" spans="1:20" ht="26.1" hidden="1" customHeight="1">
      <c r="A767" s="213" t="s">
        <v>29</v>
      </c>
      <c r="B767" s="214" t="s">
        <v>319</v>
      </c>
      <c r="C767" s="214" t="s">
        <v>31</v>
      </c>
      <c r="D767" s="215" t="s">
        <v>345</v>
      </c>
      <c r="E767" s="216" t="s">
        <v>348</v>
      </c>
      <c r="F767" s="215" t="s">
        <v>349</v>
      </c>
      <c r="G767" s="262" t="s">
        <v>46</v>
      </c>
      <c r="H767" s="262" t="s">
        <v>54</v>
      </c>
      <c r="I767" s="262" t="s">
        <v>55</v>
      </c>
      <c r="J767" s="262">
        <f>SUM(J768:J770)</f>
        <v>0</v>
      </c>
      <c r="K767" s="217"/>
      <c r="L767" s="218">
        <v>96950</v>
      </c>
      <c r="M767" s="218"/>
      <c r="N767" s="218"/>
      <c r="O767" s="218"/>
      <c r="P767" s="218"/>
      <c r="Q767" s="218">
        <f>SUM(K767:P767)</f>
        <v>96950</v>
      </c>
      <c r="R767" s="274" t="s">
        <v>87</v>
      </c>
      <c r="S767" s="266" t="s">
        <v>84</v>
      </c>
      <c r="T767" s="229"/>
    </row>
    <row r="768" spans="1:20" ht="26.1" hidden="1" customHeight="1">
      <c r="A768" s="208"/>
      <c r="B768" s="211"/>
      <c r="C768" s="211"/>
      <c r="D768" s="212"/>
      <c r="E768" s="210" t="str">
        <f>IFERROR(VLOOKUP($T768,공사현장대장!$A$5:$T$330,4),"")</f>
        <v/>
      </c>
      <c r="F768" s="212"/>
      <c r="G768" s="265"/>
      <c r="H768" s="265"/>
      <c r="I768" s="265"/>
      <c r="J768" s="265" t="str">
        <f>IFERROR(ROUND(VLOOKUP($T768,공사현장대장!$A$5:$T$330,9)/1000,0),"")</f>
        <v/>
      </c>
      <c r="K768" s="225"/>
      <c r="L768" s="209"/>
      <c r="M768" s="209"/>
      <c r="N768" s="209"/>
      <c r="O768" s="209"/>
      <c r="P768" s="209"/>
      <c r="Q768" s="209"/>
      <c r="R768" s="263" t="s">
        <v>87</v>
      </c>
      <c r="S768" s="266" t="s">
        <v>84</v>
      </c>
      <c r="T768" s="229"/>
    </row>
    <row r="769" spans="1:20" ht="26.1" hidden="1" customHeight="1">
      <c r="A769" s="208"/>
      <c r="B769" s="211"/>
      <c r="C769" s="211"/>
      <c r="D769" s="212"/>
      <c r="E769" s="210" t="str">
        <f>IFERROR(VLOOKUP($T769,공사현장대장!$A$5:$T$330,4),"")</f>
        <v/>
      </c>
      <c r="F769" s="212"/>
      <c r="G769" s="265"/>
      <c r="H769" s="265"/>
      <c r="I769" s="265"/>
      <c r="J769" s="265" t="str">
        <f>IFERROR(ROUND(VLOOKUP($T769,공사현장대장!$A$5:$T$330,9)/1000,0),"")</f>
        <v/>
      </c>
      <c r="K769" s="225"/>
      <c r="L769" s="209"/>
      <c r="M769" s="209"/>
      <c r="N769" s="209"/>
      <c r="O769" s="209"/>
      <c r="P769" s="209"/>
      <c r="Q769" s="209"/>
      <c r="R769" s="263" t="s">
        <v>87</v>
      </c>
      <c r="S769" s="266" t="s">
        <v>84</v>
      </c>
      <c r="T769" s="229"/>
    </row>
    <row r="770" spans="1:20" ht="26.1" hidden="1" customHeight="1">
      <c r="A770" s="208"/>
      <c r="B770" s="211"/>
      <c r="C770" s="211"/>
      <c r="D770" s="212"/>
      <c r="E770" s="210" t="str">
        <f>IFERROR(VLOOKUP($T770,공사현장대장!$A$5:$T$330,4),"")</f>
        <v/>
      </c>
      <c r="F770" s="212"/>
      <c r="G770" s="265"/>
      <c r="H770" s="265"/>
      <c r="I770" s="265"/>
      <c r="J770" s="265" t="str">
        <f>IFERROR(ROUND(VLOOKUP($T770,공사현장대장!$A$5:$T$330,9)/1000,0),"")</f>
        <v/>
      </c>
      <c r="K770" s="225"/>
      <c r="L770" s="209"/>
      <c r="M770" s="209"/>
      <c r="N770" s="209"/>
      <c r="O770" s="209"/>
      <c r="P770" s="209"/>
      <c r="Q770" s="209"/>
      <c r="R770" s="263" t="s">
        <v>87</v>
      </c>
      <c r="S770" s="266" t="s">
        <v>84</v>
      </c>
      <c r="T770" s="229"/>
    </row>
    <row r="771" spans="1:20" ht="26.1" hidden="1" customHeight="1">
      <c r="A771" s="324" t="s">
        <v>40</v>
      </c>
      <c r="B771" s="325"/>
      <c r="C771" s="325"/>
      <c r="D771" s="325"/>
      <c r="E771" s="326"/>
      <c r="F771" s="226"/>
      <c r="G771" s="267"/>
      <c r="H771" s="267"/>
      <c r="I771" s="267"/>
      <c r="J771" s="267"/>
      <c r="K771" s="227">
        <f t="shared" ref="K771:Q771" si="152">SUM(K767-SUM(K768:K770))</f>
        <v>0</v>
      </c>
      <c r="L771" s="227">
        <f t="shared" si="152"/>
        <v>96950</v>
      </c>
      <c r="M771" s="227">
        <f t="shared" si="152"/>
        <v>0</v>
      </c>
      <c r="N771" s="227">
        <f t="shared" si="152"/>
        <v>0</v>
      </c>
      <c r="O771" s="227">
        <f t="shared" si="152"/>
        <v>0</v>
      </c>
      <c r="P771" s="227">
        <f t="shared" si="152"/>
        <v>0</v>
      </c>
      <c r="Q771" s="227">
        <f t="shared" si="152"/>
        <v>96950</v>
      </c>
      <c r="R771" s="268" t="s">
        <v>87</v>
      </c>
      <c r="S771" s="269" t="s">
        <v>84</v>
      </c>
      <c r="T771" s="230"/>
    </row>
    <row r="772" spans="1:20" ht="26.1" hidden="1" customHeight="1">
      <c r="A772" s="213" t="s">
        <v>29</v>
      </c>
      <c r="B772" s="214" t="s">
        <v>319</v>
      </c>
      <c r="C772" s="214" t="s">
        <v>31</v>
      </c>
      <c r="D772" s="215" t="s">
        <v>345</v>
      </c>
      <c r="E772" s="216" t="s">
        <v>235</v>
      </c>
      <c r="F772" s="215" t="s">
        <v>136</v>
      </c>
      <c r="G772" s="262" t="s">
        <v>46</v>
      </c>
      <c r="H772" s="262" t="s">
        <v>145</v>
      </c>
      <c r="I772" s="262" t="s">
        <v>235</v>
      </c>
      <c r="J772" s="262">
        <f>SUM(J773:J775)</f>
        <v>0</v>
      </c>
      <c r="K772" s="217"/>
      <c r="L772" s="218">
        <v>148839</v>
      </c>
      <c r="M772" s="218"/>
      <c r="N772" s="218"/>
      <c r="O772" s="218"/>
      <c r="P772" s="218"/>
      <c r="Q772" s="218">
        <f>SUM(K772:P772)</f>
        <v>148839</v>
      </c>
      <c r="R772" s="263" t="s">
        <v>38</v>
      </c>
      <c r="S772" s="266" t="s">
        <v>100</v>
      </c>
      <c r="T772" s="229"/>
    </row>
    <row r="773" spans="1:20" ht="26.1" hidden="1" customHeight="1">
      <c r="A773" s="208"/>
      <c r="B773" s="211"/>
      <c r="C773" s="211"/>
      <c r="D773" s="212"/>
      <c r="E773" s="210" t="str">
        <f>IFERROR(VLOOKUP($T773,공사현장대장!$A$5:$T$330,4),"")</f>
        <v/>
      </c>
      <c r="F773" s="212"/>
      <c r="G773" s="265"/>
      <c r="H773" s="265"/>
      <c r="I773" s="265"/>
      <c r="J773" s="265" t="str">
        <f>IFERROR(ROUND(VLOOKUP($T773,공사현장대장!$A$5:$T$330,9)/1000,0),"")</f>
        <v/>
      </c>
      <c r="K773" s="225"/>
      <c r="L773" s="209"/>
      <c r="M773" s="209"/>
      <c r="N773" s="209"/>
      <c r="O773" s="209"/>
      <c r="P773" s="209"/>
      <c r="Q773" s="209"/>
      <c r="R773" s="263" t="s">
        <v>38</v>
      </c>
      <c r="S773" s="266" t="s">
        <v>100</v>
      </c>
      <c r="T773" s="229"/>
    </row>
    <row r="774" spans="1:20" ht="26.1" hidden="1" customHeight="1">
      <c r="A774" s="208"/>
      <c r="B774" s="211"/>
      <c r="C774" s="211"/>
      <c r="D774" s="212"/>
      <c r="E774" s="210" t="str">
        <f>IFERROR(VLOOKUP($T774,공사현장대장!$A$5:$T$330,4),"")</f>
        <v/>
      </c>
      <c r="F774" s="212"/>
      <c r="G774" s="265"/>
      <c r="H774" s="265"/>
      <c r="I774" s="265"/>
      <c r="J774" s="265" t="str">
        <f>IFERROR(ROUND(VLOOKUP($T774,공사현장대장!$A$5:$T$330,9)/1000,0),"")</f>
        <v/>
      </c>
      <c r="K774" s="225"/>
      <c r="L774" s="209"/>
      <c r="M774" s="209"/>
      <c r="N774" s="209"/>
      <c r="O774" s="209"/>
      <c r="P774" s="209"/>
      <c r="Q774" s="209"/>
      <c r="R774" s="263" t="s">
        <v>38</v>
      </c>
      <c r="S774" s="266" t="s">
        <v>100</v>
      </c>
      <c r="T774" s="229"/>
    </row>
    <row r="775" spans="1:20" ht="26.1" hidden="1" customHeight="1">
      <c r="A775" s="208"/>
      <c r="B775" s="211"/>
      <c r="C775" s="211"/>
      <c r="D775" s="212"/>
      <c r="E775" s="210" t="str">
        <f>IFERROR(VLOOKUP($T775,공사현장대장!$A$5:$T$330,4),"")</f>
        <v/>
      </c>
      <c r="F775" s="212"/>
      <c r="G775" s="265"/>
      <c r="H775" s="265"/>
      <c r="I775" s="265"/>
      <c r="J775" s="265" t="str">
        <f>IFERROR(ROUND(VLOOKUP($T775,공사현장대장!$A$5:$T$330,9)/1000,0),"")</f>
        <v/>
      </c>
      <c r="K775" s="225"/>
      <c r="L775" s="209"/>
      <c r="M775" s="209"/>
      <c r="N775" s="209"/>
      <c r="O775" s="209"/>
      <c r="P775" s="209"/>
      <c r="Q775" s="209"/>
      <c r="R775" s="263" t="s">
        <v>38</v>
      </c>
      <c r="S775" s="266" t="s">
        <v>100</v>
      </c>
      <c r="T775" s="229"/>
    </row>
    <row r="776" spans="1:20" ht="26.1" hidden="1" customHeight="1">
      <c r="A776" s="324" t="s">
        <v>40</v>
      </c>
      <c r="B776" s="325"/>
      <c r="C776" s="325"/>
      <c r="D776" s="325"/>
      <c r="E776" s="326"/>
      <c r="F776" s="226"/>
      <c r="G776" s="267"/>
      <c r="H776" s="267"/>
      <c r="I776" s="267"/>
      <c r="J776" s="267"/>
      <c r="K776" s="227">
        <f t="shared" ref="K776:Q776" si="153">SUM(K772-SUM(K773:K775))</f>
        <v>0</v>
      </c>
      <c r="L776" s="227">
        <f t="shared" si="153"/>
        <v>148839</v>
      </c>
      <c r="M776" s="227">
        <f t="shared" si="153"/>
        <v>0</v>
      </c>
      <c r="N776" s="227">
        <f t="shared" si="153"/>
        <v>0</v>
      </c>
      <c r="O776" s="227">
        <f t="shared" si="153"/>
        <v>0</v>
      </c>
      <c r="P776" s="227">
        <f t="shared" si="153"/>
        <v>0</v>
      </c>
      <c r="Q776" s="227">
        <f t="shared" si="153"/>
        <v>148839</v>
      </c>
      <c r="R776" s="268" t="s">
        <v>38</v>
      </c>
      <c r="S776" s="269" t="s">
        <v>100</v>
      </c>
      <c r="T776" s="230"/>
    </row>
    <row r="777" spans="1:20" ht="26.1" hidden="1" customHeight="1">
      <c r="A777" s="213" t="s">
        <v>29</v>
      </c>
      <c r="B777" s="214" t="s">
        <v>319</v>
      </c>
      <c r="C777" s="214" t="s">
        <v>31</v>
      </c>
      <c r="D777" s="215" t="s">
        <v>345</v>
      </c>
      <c r="E777" s="216" t="s">
        <v>281</v>
      </c>
      <c r="F777" s="215" t="s">
        <v>350</v>
      </c>
      <c r="G777" s="262" t="s">
        <v>46</v>
      </c>
      <c r="H777" s="262" t="s">
        <v>107</v>
      </c>
      <c r="I777" s="262" t="s">
        <v>108</v>
      </c>
      <c r="J777" s="262">
        <f>SUM(J778:J780)</f>
        <v>0</v>
      </c>
      <c r="K777" s="217">
        <v>19012</v>
      </c>
      <c r="L777" s="218">
        <v>0</v>
      </c>
      <c r="M777" s="218">
        <v>0</v>
      </c>
      <c r="N777" s="218"/>
      <c r="O777" s="218"/>
      <c r="P777" s="218"/>
      <c r="Q777" s="218">
        <f>SUM(K777:P777)</f>
        <v>19012</v>
      </c>
      <c r="R777" s="263" t="s">
        <v>76</v>
      </c>
      <c r="S777" s="266" t="s">
        <v>84</v>
      </c>
      <c r="T777" s="229"/>
    </row>
    <row r="778" spans="1:20" ht="26.1" hidden="1" customHeight="1">
      <c r="A778" s="208"/>
      <c r="B778" s="211"/>
      <c r="C778" s="211"/>
      <c r="D778" s="212"/>
      <c r="E778" s="210" t="str">
        <f>IFERROR(VLOOKUP($T778,공사현장대장!$A$5:$T$330,4),"")</f>
        <v/>
      </c>
      <c r="F778" s="212"/>
      <c r="G778" s="265"/>
      <c r="H778" s="265"/>
      <c r="I778" s="265"/>
      <c r="J778" s="265" t="str">
        <f>IFERROR(ROUND(VLOOKUP($T778,공사현장대장!$A$5:$T$330,9)/1000,0),"")</f>
        <v/>
      </c>
      <c r="K778" s="225"/>
      <c r="L778" s="209"/>
      <c r="M778" s="209"/>
      <c r="N778" s="209"/>
      <c r="O778" s="209"/>
      <c r="P778" s="209"/>
      <c r="Q778" s="209"/>
      <c r="R778" s="263" t="s">
        <v>76</v>
      </c>
      <c r="S778" s="266" t="s">
        <v>84</v>
      </c>
      <c r="T778" s="229"/>
    </row>
    <row r="779" spans="1:20" ht="26.1" hidden="1" customHeight="1">
      <c r="A779" s="208"/>
      <c r="B779" s="211"/>
      <c r="C779" s="211"/>
      <c r="D779" s="212"/>
      <c r="E779" s="210" t="str">
        <f>IFERROR(VLOOKUP($T779,공사현장대장!$A$5:$T$330,4),"")</f>
        <v/>
      </c>
      <c r="F779" s="212"/>
      <c r="G779" s="265"/>
      <c r="H779" s="265"/>
      <c r="I779" s="265"/>
      <c r="J779" s="265" t="str">
        <f>IFERROR(ROUND(VLOOKUP($T779,공사현장대장!$A$5:$T$330,9)/1000,0),"")</f>
        <v/>
      </c>
      <c r="K779" s="225"/>
      <c r="L779" s="209"/>
      <c r="M779" s="209"/>
      <c r="N779" s="209"/>
      <c r="O779" s="209"/>
      <c r="P779" s="209"/>
      <c r="Q779" s="209"/>
      <c r="R779" s="263" t="s">
        <v>76</v>
      </c>
      <c r="S779" s="266" t="s">
        <v>84</v>
      </c>
      <c r="T779" s="229"/>
    </row>
    <row r="780" spans="1:20" ht="26.1" hidden="1" customHeight="1">
      <c r="A780" s="208"/>
      <c r="B780" s="211"/>
      <c r="C780" s="211"/>
      <c r="D780" s="212"/>
      <c r="E780" s="210" t="str">
        <f>IFERROR(VLOOKUP($T780,공사현장대장!$A$5:$T$330,4),"")</f>
        <v/>
      </c>
      <c r="F780" s="212"/>
      <c r="G780" s="265"/>
      <c r="H780" s="265"/>
      <c r="I780" s="265"/>
      <c r="J780" s="265" t="str">
        <f>IFERROR(ROUND(VLOOKUP($T780,공사현장대장!$A$5:$T$330,9)/1000,0),"")</f>
        <v/>
      </c>
      <c r="K780" s="225"/>
      <c r="L780" s="209"/>
      <c r="M780" s="209"/>
      <c r="N780" s="209"/>
      <c r="O780" s="209"/>
      <c r="P780" s="209"/>
      <c r="Q780" s="209"/>
      <c r="R780" s="263" t="s">
        <v>76</v>
      </c>
      <c r="S780" s="266" t="s">
        <v>84</v>
      </c>
      <c r="T780" s="229"/>
    </row>
    <row r="781" spans="1:20" ht="26.1" hidden="1" customHeight="1">
      <c r="A781" s="324" t="s">
        <v>40</v>
      </c>
      <c r="B781" s="325"/>
      <c r="C781" s="325"/>
      <c r="D781" s="325"/>
      <c r="E781" s="326"/>
      <c r="F781" s="226"/>
      <c r="G781" s="267"/>
      <c r="H781" s="267"/>
      <c r="I781" s="267"/>
      <c r="J781" s="267"/>
      <c r="K781" s="227">
        <f t="shared" ref="K781:Q781" si="154">SUM(K777-SUM(K778:K780))</f>
        <v>19012</v>
      </c>
      <c r="L781" s="227">
        <f t="shared" si="154"/>
        <v>0</v>
      </c>
      <c r="M781" s="227">
        <f t="shared" si="154"/>
        <v>0</v>
      </c>
      <c r="N781" s="227">
        <f t="shared" si="154"/>
        <v>0</v>
      </c>
      <c r="O781" s="227">
        <f t="shared" si="154"/>
        <v>0</v>
      </c>
      <c r="P781" s="227">
        <f t="shared" si="154"/>
        <v>0</v>
      </c>
      <c r="Q781" s="227">
        <f t="shared" si="154"/>
        <v>19012</v>
      </c>
      <c r="R781" s="268" t="s">
        <v>76</v>
      </c>
      <c r="S781" s="269" t="s">
        <v>84</v>
      </c>
      <c r="T781" s="230"/>
    </row>
    <row r="782" spans="1:20" ht="26.1" hidden="1" customHeight="1">
      <c r="A782" s="213" t="s">
        <v>29</v>
      </c>
      <c r="B782" s="214" t="s">
        <v>319</v>
      </c>
      <c r="C782" s="214" t="s">
        <v>351</v>
      </c>
      <c r="D782" s="215" t="s">
        <v>352</v>
      </c>
      <c r="E782" s="216" t="s">
        <v>353</v>
      </c>
      <c r="F782" s="215" t="s">
        <v>354</v>
      </c>
      <c r="G782" s="262" t="s">
        <v>46</v>
      </c>
      <c r="H782" s="262" t="s">
        <v>54</v>
      </c>
      <c r="I782" s="262" t="s">
        <v>55</v>
      </c>
      <c r="J782" s="262">
        <f>SUM(J783:J785)</f>
        <v>0</v>
      </c>
      <c r="K782" s="217"/>
      <c r="L782" s="218"/>
      <c r="M782" s="218"/>
      <c r="N782" s="218"/>
      <c r="O782" s="218"/>
      <c r="P782" s="218">
        <v>34300</v>
      </c>
      <c r="Q782" s="218">
        <f>SUM(K782:P782)</f>
        <v>34300</v>
      </c>
      <c r="R782" s="263" t="s">
        <v>38</v>
      </c>
      <c r="S782" s="266" t="s">
        <v>115</v>
      </c>
      <c r="T782" s="229"/>
    </row>
    <row r="783" spans="1:20" ht="26.1" hidden="1" customHeight="1">
      <c r="A783" s="208"/>
      <c r="B783" s="211"/>
      <c r="C783" s="211"/>
      <c r="D783" s="212"/>
      <c r="E783" s="210" t="str">
        <f>IFERROR(VLOOKUP($T783,공사현장대장!$A$5:$T$330,4),"")</f>
        <v/>
      </c>
      <c r="F783" s="212"/>
      <c r="G783" s="265"/>
      <c r="H783" s="265"/>
      <c r="I783" s="265"/>
      <c r="J783" s="265" t="str">
        <f>IFERROR(ROUND(VLOOKUP($T783,공사현장대장!$A$5:$T$330,9)/1000,0),"")</f>
        <v/>
      </c>
      <c r="K783" s="225"/>
      <c r="L783" s="209"/>
      <c r="M783" s="209"/>
      <c r="N783" s="209"/>
      <c r="O783" s="209"/>
      <c r="P783" s="209"/>
      <c r="Q783" s="209"/>
      <c r="R783" s="263" t="s">
        <v>38</v>
      </c>
      <c r="S783" s="266" t="s">
        <v>115</v>
      </c>
      <c r="T783" s="229"/>
    </row>
    <row r="784" spans="1:20" ht="26.1" hidden="1" customHeight="1">
      <c r="A784" s="208"/>
      <c r="B784" s="211"/>
      <c r="C784" s="211"/>
      <c r="D784" s="212"/>
      <c r="E784" s="210" t="str">
        <f>IFERROR(VLOOKUP($T784,공사현장대장!$A$5:$T$330,4),"")</f>
        <v/>
      </c>
      <c r="F784" s="212"/>
      <c r="G784" s="265"/>
      <c r="H784" s="265"/>
      <c r="I784" s="265"/>
      <c r="J784" s="265" t="str">
        <f>IFERROR(ROUND(VLOOKUP($T784,공사현장대장!$A$5:$T$330,9)/1000,0),"")</f>
        <v/>
      </c>
      <c r="K784" s="225"/>
      <c r="L784" s="209"/>
      <c r="M784" s="209"/>
      <c r="N784" s="209"/>
      <c r="O784" s="209"/>
      <c r="P784" s="209"/>
      <c r="Q784" s="209"/>
      <c r="R784" s="263" t="s">
        <v>38</v>
      </c>
      <c r="S784" s="266" t="s">
        <v>115</v>
      </c>
      <c r="T784" s="229"/>
    </row>
    <row r="785" spans="1:20" ht="26.1" hidden="1" customHeight="1">
      <c r="A785" s="208"/>
      <c r="B785" s="211"/>
      <c r="C785" s="211"/>
      <c r="D785" s="212"/>
      <c r="E785" s="210" t="str">
        <f>IFERROR(VLOOKUP($T785,공사현장대장!$A$5:$T$330,4),"")</f>
        <v/>
      </c>
      <c r="F785" s="212"/>
      <c r="G785" s="265"/>
      <c r="H785" s="265"/>
      <c r="I785" s="265"/>
      <c r="J785" s="265" t="str">
        <f>IFERROR(ROUND(VLOOKUP($T785,공사현장대장!$A$5:$T$330,9)/1000,0),"")</f>
        <v/>
      </c>
      <c r="K785" s="225"/>
      <c r="L785" s="209"/>
      <c r="M785" s="209"/>
      <c r="N785" s="209"/>
      <c r="O785" s="209"/>
      <c r="P785" s="209"/>
      <c r="Q785" s="209"/>
      <c r="R785" s="263" t="s">
        <v>38</v>
      </c>
      <c r="S785" s="266" t="s">
        <v>115</v>
      </c>
      <c r="T785" s="229"/>
    </row>
    <row r="786" spans="1:20" ht="26.1" hidden="1" customHeight="1">
      <c r="A786" s="324" t="s">
        <v>40</v>
      </c>
      <c r="B786" s="325"/>
      <c r="C786" s="325"/>
      <c r="D786" s="325"/>
      <c r="E786" s="326"/>
      <c r="F786" s="226"/>
      <c r="G786" s="267"/>
      <c r="H786" s="267"/>
      <c r="I786" s="267"/>
      <c r="J786" s="267"/>
      <c r="K786" s="227">
        <f t="shared" ref="K786:Q786" si="155">SUM(K782-SUM(K783:K785))</f>
        <v>0</v>
      </c>
      <c r="L786" s="227">
        <f t="shared" si="155"/>
        <v>0</v>
      </c>
      <c r="M786" s="227">
        <f t="shared" si="155"/>
        <v>0</v>
      </c>
      <c r="N786" s="227">
        <f t="shared" si="155"/>
        <v>0</v>
      </c>
      <c r="O786" s="227">
        <f t="shared" si="155"/>
        <v>0</v>
      </c>
      <c r="P786" s="227">
        <f t="shared" si="155"/>
        <v>34300</v>
      </c>
      <c r="Q786" s="227">
        <f t="shared" si="155"/>
        <v>34300</v>
      </c>
      <c r="R786" s="268" t="s">
        <v>38</v>
      </c>
      <c r="S786" s="269" t="s">
        <v>115</v>
      </c>
      <c r="T786" s="230"/>
    </row>
    <row r="787" spans="1:20" ht="26.1" hidden="1" customHeight="1">
      <c r="A787" s="213" t="s">
        <v>29</v>
      </c>
      <c r="B787" s="214" t="s">
        <v>319</v>
      </c>
      <c r="C787" s="214" t="s">
        <v>351</v>
      </c>
      <c r="D787" s="215" t="s">
        <v>352</v>
      </c>
      <c r="E787" s="216" t="s">
        <v>355</v>
      </c>
      <c r="F787" s="215" t="s">
        <v>356</v>
      </c>
      <c r="G787" s="262" t="s">
        <v>46</v>
      </c>
      <c r="H787" s="262" t="s">
        <v>54</v>
      </c>
      <c r="I787" s="262" t="s">
        <v>55</v>
      </c>
      <c r="J787" s="262">
        <f>SUM(J788:J790)</f>
        <v>0</v>
      </c>
      <c r="K787" s="217"/>
      <c r="L787" s="218"/>
      <c r="M787" s="218"/>
      <c r="N787" s="218"/>
      <c r="O787" s="218"/>
      <c r="P787" s="218">
        <v>33950</v>
      </c>
      <c r="Q787" s="218">
        <f>SUM(K787:P787)</f>
        <v>33950</v>
      </c>
      <c r="R787" s="263" t="s">
        <v>38</v>
      </c>
      <c r="S787" s="266" t="s">
        <v>115</v>
      </c>
      <c r="T787" s="229"/>
    </row>
    <row r="788" spans="1:20" ht="26.1" hidden="1" customHeight="1">
      <c r="A788" s="208"/>
      <c r="B788" s="211"/>
      <c r="C788" s="211"/>
      <c r="D788" s="212"/>
      <c r="E788" s="210" t="str">
        <f>IFERROR(VLOOKUP($T788,공사현장대장!$A$5:$T$330,4),"")</f>
        <v/>
      </c>
      <c r="F788" s="212"/>
      <c r="G788" s="265"/>
      <c r="H788" s="265"/>
      <c r="I788" s="265"/>
      <c r="J788" s="265" t="str">
        <f>IFERROR(ROUND(VLOOKUP($T788,공사현장대장!$A$5:$T$330,9)/1000,0),"")</f>
        <v/>
      </c>
      <c r="K788" s="225"/>
      <c r="L788" s="209"/>
      <c r="M788" s="209"/>
      <c r="N788" s="209"/>
      <c r="O788" s="209"/>
      <c r="P788" s="209"/>
      <c r="Q788" s="209"/>
      <c r="R788" s="263" t="s">
        <v>38</v>
      </c>
      <c r="S788" s="266" t="s">
        <v>115</v>
      </c>
      <c r="T788" s="229"/>
    </row>
    <row r="789" spans="1:20" ht="26.1" hidden="1" customHeight="1">
      <c r="A789" s="208"/>
      <c r="B789" s="211"/>
      <c r="C789" s="211"/>
      <c r="D789" s="212"/>
      <c r="E789" s="210" t="str">
        <f>IFERROR(VLOOKUP($T789,공사현장대장!$A$5:$T$330,4),"")</f>
        <v/>
      </c>
      <c r="F789" s="212"/>
      <c r="G789" s="265"/>
      <c r="H789" s="265"/>
      <c r="I789" s="265"/>
      <c r="J789" s="265" t="str">
        <f>IFERROR(ROUND(VLOOKUP($T789,공사현장대장!$A$5:$T$330,9)/1000,0),"")</f>
        <v/>
      </c>
      <c r="K789" s="225"/>
      <c r="L789" s="209"/>
      <c r="M789" s="209"/>
      <c r="N789" s="209"/>
      <c r="O789" s="209"/>
      <c r="P789" s="209"/>
      <c r="Q789" s="209"/>
      <c r="R789" s="263" t="s">
        <v>38</v>
      </c>
      <c r="S789" s="266" t="s">
        <v>115</v>
      </c>
      <c r="T789" s="229"/>
    </row>
    <row r="790" spans="1:20" ht="26.1" hidden="1" customHeight="1">
      <c r="A790" s="208"/>
      <c r="B790" s="211"/>
      <c r="C790" s="211"/>
      <c r="D790" s="212"/>
      <c r="E790" s="210" t="str">
        <f>IFERROR(VLOOKUP($T790,공사현장대장!$A$5:$T$330,4),"")</f>
        <v/>
      </c>
      <c r="F790" s="212"/>
      <c r="G790" s="265"/>
      <c r="H790" s="265"/>
      <c r="I790" s="265"/>
      <c r="J790" s="265" t="str">
        <f>IFERROR(ROUND(VLOOKUP($T790,공사현장대장!$A$5:$T$330,9)/1000,0),"")</f>
        <v/>
      </c>
      <c r="K790" s="225"/>
      <c r="L790" s="209"/>
      <c r="M790" s="209"/>
      <c r="N790" s="209"/>
      <c r="O790" s="209"/>
      <c r="P790" s="209"/>
      <c r="Q790" s="209"/>
      <c r="R790" s="263" t="s">
        <v>38</v>
      </c>
      <c r="S790" s="266" t="s">
        <v>115</v>
      </c>
      <c r="T790" s="229"/>
    </row>
    <row r="791" spans="1:20" ht="26.1" hidden="1" customHeight="1">
      <c r="A791" s="324" t="s">
        <v>40</v>
      </c>
      <c r="B791" s="325"/>
      <c r="C791" s="325"/>
      <c r="D791" s="325"/>
      <c r="E791" s="326"/>
      <c r="F791" s="226"/>
      <c r="G791" s="267"/>
      <c r="H791" s="267"/>
      <c r="I791" s="267"/>
      <c r="J791" s="267"/>
      <c r="K791" s="227">
        <f t="shared" ref="K791:Q791" si="156">SUM(K787-SUM(K788:K790))</f>
        <v>0</v>
      </c>
      <c r="L791" s="227">
        <f t="shared" si="156"/>
        <v>0</v>
      </c>
      <c r="M791" s="227">
        <f t="shared" si="156"/>
        <v>0</v>
      </c>
      <c r="N791" s="227">
        <f t="shared" si="156"/>
        <v>0</v>
      </c>
      <c r="O791" s="227">
        <f t="shared" si="156"/>
        <v>0</v>
      </c>
      <c r="P791" s="227">
        <f t="shared" si="156"/>
        <v>33950</v>
      </c>
      <c r="Q791" s="227">
        <f t="shared" si="156"/>
        <v>33950</v>
      </c>
      <c r="R791" s="268" t="s">
        <v>38</v>
      </c>
      <c r="S791" s="269" t="s">
        <v>115</v>
      </c>
      <c r="T791" s="230"/>
    </row>
    <row r="792" spans="1:20" ht="26.1" hidden="1" customHeight="1">
      <c r="A792" s="213" t="s">
        <v>29</v>
      </c>
      <c r="B792" s="214" t="s">
        <v>319</v>
      </c>
      <c r="C792" s="214" t="s">
        <v>351</v>
      </c>
      <c r="D792" s="215" t="s">
        <v>352</v>
      </c>
      <c r="E792" s="216" t="s">
        <v>357</v>
      </c>
      <c r="F792" s="215" t="s">
        <v>358</v>
      </c>
      <c r="G792" s="262" t="s">
        <v>46</v>
      </c>
      <c r="H792" s="262" t="s">
        <v>54</v>
      </c>
      <c r="I792" s="262" t="s">
        <v>55</v>
      </c>
      <c r="J792" s="262">
        <f>SUM(J793:J795)</f>
        <v>0</v>
      </c>
      <c r="K792" s="217"/>
      <c r="L792" s="218"/>
      <c r="M792" s="218"/>
      <c r="N792" s="218"/>
      <c r="O792" s="218"/>
      <c r="P792" s="218">
        <v>30800</v>
      </c>
      <c r="Q792" s="218">
        <f>SUM(K792:P792)</f>
        <v>30800</v>
      </c>
      <c r="R792" s="263" t="s">
        <v>38</v>
      </c>
      <c r="S792" s="266" t="s">
        <v>115</v>
      </c>
      <c r="T792" s="229"/>
    </row>
    <row r="793" spans="1:20" ht="26.1" hidden="1" customHeight="1">
      <c r="A793" s="208"/>
      <c r="B793" s="211"/>
      <c r="C793" s="211"/>
      <c r="D793" s="212"/>
      <c r="E793" s="210" t="str">
        <f>IFERROR(VLOOKUP($T793,공사현장대장!$A$5:$T$330,4),"")</f>
        <v/>
      </c>
      <c r="F793" s="212"/>
      <c r="G793" s="265"/>
      <c r="H793" s="265"/>
      <c r="I793" s="265"/>
      <c r="J793" s="265" t="str">
        <f>IFERROR(ROUND(VLOOKUP($T793,공사현장대장!$A$5:$T$330,9)/1000,0),"")</f>
        <v/>
      </c>
      <c r="K793" s="225"/>
      <c r="L793" s="209"/>
      <c r="M793" s="209"/>
      <c r="N793" s="209"/>
      <c r="O793" s="209"/>
      <c r="P793" s="209"/>
      <c r="Q793" s="209"/>
      <c r="R793" s="263" t="s">
        <v>38</v>
      </c>
      <c r="S793" s="266" t="s">
        <v>115</v>
      </c>
      <c r="T793" s="229"/>
    </row>
    <row r="794" spans="1:20" ht="26.1" hidden="1" customHeight="1">
      <c r="A794" s="208"/>
      <c r="B794" s="211"/>
      <c r="C794" s="211"/>
      <c r="D794" s="212"/>
      <c r="E794" s="210" t="str">
        <f>IFERROR(VLOOKUP($T794,공사현장대장!$A$5:$T$330,4),"")</f>
        <v/>
      </c>
      <c r="F794" s="212"/>
      <c r="G794" s="265"/>
      <c r="H794" s="265"/>
      <c r="I794" s="265"/>
      <c r="J794" s="265" t="str">
        <f>IFERROR(ROUND(VLOOKUP($T794,공사현장대장!$A$5:$T$330,9)/1000,0),"")</f>
        <v/>
      </c>
      <c r="K794" s="225"/>
      <c r="L794" s="209"/>
      <c r="M794" s="209"/>
      <c r="N794" s="209"/>
      <c r="O794" s="209"/>
      <c r="P794" s="209"/>
      <c r="Q794" s="209"/>
      <c r="R794" s="263" t="s">
        <v>38</v>
      </c>
      <c r="S794" s="266" t="s">
        <v>115</v>
      </c>
      <c r="T794" s="229"/>
    </row>
    <row r="795" spans="1:20" ht="26.1" hidden="1" customHeight="1">
      <c r="A795" s="208"/>
      <c r="B795" s="211"/>
      <c r="C795" s="211"/>
      <c r="D795" s="212"/>
      <c r="E795" s="210" t="str">
        <f>IFERROR(VLOOKUP($T795,공사현장대장!$A$5:$T$330,4),"")</f>
        <v/>
      </c>
      <c r="F795" s="212"/>
      <c r="G795" s="265"/>
      <c r="H795" s="265"/>
      <c r="I795" s="265"/>
      <c r="J795" s="265" t="str">
        <f>IFERROR(ROUND(VLOOKUP($T795,공사현장대장!$A$5:$T$330,9)/1000,0),"")</f>
        <v/>
      </c>
      <c r="K795" s="225"/>
      <c r="L795" s="209"/>
      <c r="M795" s="209"/>
      <c r="N795" s="209"/>
      <c r="O795" s="209"/>
      <c r="P795" s="209"/>
      <c r="Q795" s="209"/>
      <c r="R795" s="263" t="s">
        <v>38</v>
      </c>
      <c r="S795" s="266" t="s">
        <v>115</v>
      </c>
      <c r="T795" s="229"/>
    </row>
    <row r="796" spans="1:20" ht="26.1" hidden="1" customHeight="1">
      <c r="A796" s="324" t="s">
        <v>40</v>
      </c>
      <c r="B796" s="325"/>
      <c r="C796" s="325"/>
      <c r="D796" s="325"/>
      <c r="E796" s="326"/>
      <c r="F796" s="226"/>
      <c r="G796" s="267"/>
      <c r="H796" s="267"/>
      <c r="I796" s="267"/>
      <c r="J796" s="267"/>
      <c r="K796" s="227">
        <f t="shared" ref="K796:Q796" si="157">SUM(K792-SUM(K793:K795))</f>
        <v>0</v>
      </c>
      <c r="L796" s="227">
        <f t="shared" si="157"/>
        <v>0</v>
      </c>
      <c r="M796" s="227">
        <f t="shared" si="157"/>
        <v>0</v>
      </c>
      <c r="N796" s="227">
        <f t="shared" si="157"/>
        <v>0</v>
      </c>
      <c r="O796" s="227">
        <f t="shared" si="157"/>
        <v>0</v>
      </c>
      <c r="P796" s="227">
        <f t="shared" si="157"/>
        <v>30800</v>
      </c>
      <c r="Q796" s="227">
        <f t="shared" si="157"/>
        <v>30800</v>
      </c>
      <c r="R796" s="268" t="s">
        <v>38</v>
      </c>
      <c r="S796" s="269" t="s">
        <v>115</v>
      </c>
      <c r="T796" s="230"/>
    </row>
    <row r="797" spans="1:20" ht="26.1" hidden="1" customHeight="1">
      <c r="A797" s="213" t="s">
        <v>29</v>
      </c>
      <c r="B797" s="214" t="s">
        <v>319</v>
      </c>
      <c r="C797" s="214" t="s">
        <v>351</v>
      </c>
      <c r="D797" s="215" t="s">
        <v>352</v>
      </c>
      <c r="E797" s="216" t="s">
        <v>359</v>
      </c>
      <c r="F797" s="215" t="s">
        <v>360</v>
      </c>
      <c r="G797" s="262" t="s">
        <v>46</v>
      </c>
      <c r="H797" s="262" t="s">
        <v>361</v>
      </c>
      <c r="I797" s="262" t="s">
        <v>362</v>
      </c>
      <c r="J797" s="262">
        <f>SUM(J798:J800)</f>
        <v>0</v>
      </c>
      <c r="K797" s="217"/>
      <c r="L797" s="218"/>
      <c r="M797" s="218"/>
      <c r="N797" s="218"/>
      <c r="O797" s="218"/>
      <c r="P797" s="218">
        <v>436928</v>
      </c>
      <c r="Q797" s="218">
        <f>SUM(K797:P797)</f>
        <v>436928</v>
      </c>
      <c r="R797" s="263" t="s">
        <v>38</v>
      </c>
      <c r="S797" s="266" t="s">
        <v>115</v>
      </c>
      <c r="T797" s="229"/>
    </row>
    <row r="798" spans="1:20" ht="26.1" hidden="1" customHeight="1">
      <c r="A798" s="208"/>
      <c r="B798" s="211"/>
      <c r="C798" s="211"/>
      <c r="D798" s="212"/>
      <c r="E798" s="210" t="str">
        <f>IFERROR(VLOOKUP($T798,공사현장대장!$A$5:$T$330,4),"")</f>
        <v/>
      </c>
      <c r="F798" s="212"/>
      <c r="G798" s="265"/>
      <c r="H798" s="265"/>
      <c r="I798" s="265"/>
      <c r="J798" s="265" t="str">
        <f>IFERROR(ROUND(VLOOKUP($T798,공사현장대장!$A$5:$T$330,9)/1000,0),"")</f>
        <v/>
      </c>
      <c r="K798" s="225"/>
      <c r="L798" s="209"/>
      <c r="M798" s="209"/>
      <c r="N798" s="209"/>
      <c r="O798" s="209"/>
      <c r="P798" s="209"/>
      <c r="Q798" s="209"/>
      <c r="R798" s="263" t="s">
        <v>38</v>
      </c>
      <c r="S798" s="266" t="s">
        <v>115</v>
      </c>
      <c r="T798" s="229"/>
    </row>
    <row r="799" spans="1:20" ht="26.1" hidden="1" customHeight="1">
      <c r="A799" s="208"/>
      <c r="B799" s="211"/>
      <c r="C799" s="211"/>
      <c r="D799" s="212"/>
      <c r="E799" s="210" t="str">
        <f>IFERROR(VLOOKUP($T799,공사현장대장!$A$5:$T$330,4),"")</f>
        <v/>
      </c>
      <c r="F799" s="212"/>
      <c r="G799" s="265"/>
      <c r="H799" s="265"/>
      <c r="I799" s="265"/>
      <c r="J799" s="265" t="str">
        <f>IFERROR(ROUND(VLOOKUP($T799,공사현장대장!$A$5:$T$330,9)/1000,0),"")</f>
        <v/>
      </c>
      <c r="K799" s="225"/>
      <c r="L799" s="209"/>
      <c r="M799" s="209"/>
      <c r="N799" s="209"/>
      <c r="O799" s="209"/>
      <c r="P799" s="209"/>
      <c r="Q799" s="209"/>
      <c r="R799" s="263" t="s">
        <v>38</v>
      </c>
      <c r="S799" s="266" t="s">
        <v>115</v>
      </c>
      <c r="T799" s="229"/>
    </row>
    <row r="800" spans="1:20" ht="26.1" hidden="1" customHeight="1">
      <c r="A800" s="208"/>
      <c r="B800" s="211"/>
      <c r="C800" s="211"/>
      <c r="D800" s="212"/>
      <c r="E800" s="210" t="str">
        <f>IFERROR(VLOOKUP($T800,공사현장대장!$A$5:$T$330,4),"")</f>
        <v/>
      </c>
      <c r="F800" s="212"/>
      <c r="G800" s="265"/>
      <c r="H800" s="265"/>
      <c r="I800" s="265"/>
      <c r="J800" s="265" t="str">
        <f>IFERROR(ROUND(VLOOKUP($T800,공사현장대장!$A$5:$T$330,9)/1000,0),"")</f>
        <v/>
      </c>
      <c r="K800" s="225"/>
      <c r="L800" s="209"/>
      <c r="M800" s="209"/>
      <c r="N800" s="209"/>
      <c r="O800" s="209"/>
      <c r="P800" s="209"/>
      <c r="Q800" s="209"/>
      <c r="R800" s="263" t="s">
        <v>38</v>
      </c>
      <c r="S800" s="266" t="s">
        <v>115</v>
      </c>
      <c r="T800" s="229"/>
    </row>
    <row r="801" spans="1:20" ht="26.1" hidden="1" customHeight="1">
      <c r="A801" s="324" t="s">
        <v>40</v>
      </c>
      <c r="B801" s="325"/>
      <c r="C801" s="325"/>
      <c r="D801" s="325"/>
      <c r="E801" s="326"/>
      <c r="F801" s="226"/>
      <c r="G801" s="267"/>
      <c r="H801" s="267"/>
      <c r="I801" s="267"/>
      <c r="J801" s="267"/>
      <c r="K801" s="227">
        <f t="shared" ref="K801:Q801" si="158">SUM(K797-SUM(K798:K800))</f>
        <v>0</v>
      </c>
      <c r="L801" s="227">
        <f t="shared" si="158"/>
        <v>0</v>
      </c>
      <c r="M801" s="227">
        <f t="shared" si="158"/>
        <v>0</v>
      </c>
      <c r="N801" s="227">
        <f t="shared" si="158"/>
        <v>0</v>
      </c>
      <c r="O801" s="227">
        <f t="shared" si="158"/>
        <v>0</v>
      </c>
      <c r="P801" s="227">
        <f t="shared" si="158"/>
        <v>436928</v>
      </c>
      <c r="Q801" s="227">
        <f t="shared" si="158"/>
        <v>436928</v>
      </c>
      <c r="R801" s="268" t="s">
        <v>38</v>
      </c>
      <c r="S801" s="269" t="s">
        <v>115</v>
      </c>
      <c r="T801" s="230"/>
    </row>
    <row r="802" spans="1:20" ht="26.1" hidden="1" customHeight="1">
      <c r="A802" s="213" t="s">
        <v>29</v>
      </c>
      <c r="B802" s="214" t="s">
        <v>319</v>
      </c>
      <c r="C802" s="214" t="s">
        <v>31</v>
      </c>
      <c r="D802" s="215" t="s">
        <v>363</v>
      </c>
      <c r="E802" s="216" t="s">
        <v>364</v>
      </c>
      <c r="F802" s="215" t="s">
        <v>365</v>
      </c>
      <c r="G802" s="262" t="s">
        <v>46</v>
      </c>
      <c r="H802" s="262" t="s">
        <v>54</v>
      </c>
      <c r="I802" s="262" t="s">
        <v>55</v>
      </c>
      <c r="J802" s="262">
        <f>SUM(J803:J805)</f>
        <v>0</v>
      </c>
      <c r="K802" s="217"/>
      <c r="L802" s="218"/>
      <c r="M802" s="218"/>
      <c r="N802" s="218"/>
      <c r="O802" s="218"/>
      <c r="P802" s="218">
        <v>13300</v>
      </c>
      <c r="Q802" s="218">
        <f>SUM(K802:P802)</f>
        <v>13300</v>
      </c>
      <c r="R802" s="263" t="s">
        <v>38</v>
      </c>
      <c r="S802" s="266" t="s">
        <v>115</v>
      </c>
      <c r="T802" s="229"/>
    </row>
    <row r="803" spans="1:20" ht="26.1" hidden="1" customHeight="1">
      <c r="A803" s="208"/>
      <c r="B803" s="211"/>
      <c r="C803" s="211"/>
      <c r="D803" s="212"/>
      <c r="E803" s="210" t="str">
        <f>IFERROR(VLOOKUP($T803,공사현장대장!$A$5:$T$330,4),"")</f>
        <v/>
      </c>
      <c r="F803" s="212"/>
      <c r="G803" s="265"/>
      <c r="H803" s="265"/>
      <c r="I803" s="265"/>
      <c r="J803" s="265" t="str">
        <f>IFERROR(ROUND(VLOOKUP($T803,공사현장대장!$A$5:$T$330,9)/1000,0),"")</f>
        <v/>
      </c>
      <c r="K803" s="225"/>
      <c r="L803" s="209"/>
      <c r="M803" s="209"/>
      <c r="N803" s="209"/>
      <c r="O803" s="209"/>
      <c r="P803" s="209"/>
      <c r="Q803" s="209"/>
      <c r="R803" s="263" t="s">
        <v>38</v>
      </c>
      <c r="S803" s="266" t="s">
        <v>115</v>
      </c>
      <c r="T803" s="229"/>
    </row>
    <row r="804" spans="1:20" ht="26.1" hidden="1" customHeight="1">
      <c r="A804" s="208"/>
      <c r="B804" s="211"/>
      <c r="C804" s="211"/>
      <c r="D804" s="212"/>
      <c r="E804" s="210" t="str">
        <f>IFERROR(VLOOKUP($T804,공사현장대장!$A$5:$T$330,4),"")</f>
        <v/>
      </c>
      <c r="F804" s="212"/>
      <c r="G804" s="265"/>
      <c r="H804" s="265"/>
      <c r="I804" s="265"/>
      <c r="J804" s="265" t="str">
        <f>IFERROR(ROUND(VLOOKUP($T804,공사현장대장!$A$5:$T$330,9)/1000,0),"")</f>
        <v/>
      </c>
      <c r="K804" s="225"/>
      <c r="L804" s="209"/>
      <c r="M804" s="209"/>
      <c r="N804" s="209"/>
      <c r="O804" s="209"/>
      <c r="P804" s="209"/>
      <c r="Q804" s="209"/>
      <c r="R804" s="263" t="s">
        <v>38</v>
      </c>
      <c r="S804" s="266" t="s">
        <v>115</v>
      </c>
      <c r="T804" s="229"/>
    </row>
    <row r="805" spans="1:20" ht="26.1" hidden="1" customHeight="1">
      <c r="A805" s="208"/>
      <c r="B805" s="211"/>
      <c r="C805" s="211"/>
      <c r="D805" s="212"/>
      <c r="E805" s="210" t="str">
        <f>IFERROR(VLOOKUP($T805,공사현장대장!$A$5:$T$330,4),"")</f>
        <v/>
      </c>
      <c r="F805" s="212"/>
      <c r="G805" s="265"/>
      <c r="H805" s="265"/>
      <c r="I805" s="265"/>
      <c r="J805" s="265" t="str">
        <f>IFERROR(ROUND(VLOOKUP($T805,공사현장대장!$A$5:$T$330,9)/1000,0),"")</f>
        <v/>
      </c>
      <c r="K805" s="225"/>
      <c r="L805" s="209"/>
      <c r="M805" s="209"/>
      <c r="N805" s="209"/>
      <c r="O805" s="209"/>
      <c r="P805" s="209"/>
      <c r="Q805" s="209"/>
      <c r="R805" s="263" t="s">
        <v>38</v>
      </c>
      <c r="S805" s="266" t="s">
        <v>115</v>
      </c>
      <c r="T805" s="229"/>
    </row>
    <row r="806" spans="1:20" ht="26.1" hidden="1" customHeight="1">
      <c r="A806" s="324" t="s">
        <v>40</v>
      </c>
      <c r="B806" s="325"/>
      <c r="C806" s="325"/>
      <c r="D806" s="325"/>
      <c r="E806" s="326"/>
      <c r="F806" s="226"/>
      <c r="G806" s="267"/>
      <c r="H806" s="267"/>
      <c r="I806" s="267"/>
      <c r="J806" s="267"/>
      <c r="K806" s="227">
        <f t="shared" ref="K806:Q806" si="159">SUM(K802-SUM(K803:K805))</f>
        <v>0</v>
      </c>
      <c r="L806" s="227">
        <f t="shared" si="159"/>
        <v>0</v>
      </c>
      <c r="M806" s="227">
        <f t="shared" si="159"/>
        <v>0</v>
      </c>
      <c r="N806" s="227">
        <f t="shared" si="159"/>
        <v>0</v>
      </c>
      <c r="O806" s="227">
        <f t="shared" si="159"/>
        <v>0</v>
      </c>
      <c r="P806" s="227">
        <f t="shared" si="159"/>
        <v>13300</v>
      </c>
      <c r="Q806" s="227">
        <f t="shared" si="159"/>
        <v>13300</v>
      </c>
      <c r="R806" s="268" t="s">
        <v>38</v>
      </c>
      <c r="S806" s="269" t="s">
        <v>115</v>
      </c>
      <c r="T806" s="230"/>
    </row>
    <row r="807" spans="1:20" ht="26.1" hidden="1" customHeight="1">
      <c r="A807" s="213" t="s">
        <v>29</v>
      </c>
      <c r="B807" s="214" t="s">
        <v>319</v>
      </c>
      <c r="C807" s="214" t="s">
        <v>31</v>
      </c>
      <c r="D807" s="215" t="s">
        <v>363</v>
      </c>
      <c r="E807" s="216" t="s">
        <v>366</v>
      </c>
      <c r="F807" s="215" t="s">
        <v>367</v>
      </c>
      <c r="G807" s="262" t="s">
        <v>46</v>
      </c>
      <c r="H807" s="262" t="s">
        <v>54</v>
      </c>
      <c r="I807" s="262" t="s">
        <v>55</v>
      </c>
      <c r="J807" s="262">
        <f>SUM(J808:J810)</f>
        <v>0</v>
      </c>
      <c r="K807" s="217"/>
      <c r="L807" s="218"/>
      <c r="M807" s="218"/>
      <c r="N807" s="218"/>
      <c r="O807" s="218"/>
      <c r="P807" s="218">
        <v>20650</v>
      </c>
      <c r="Q807" s="218">
        <f>SUM(K807:P807)</f>
        <v>20650</v>
      </c>
      <c r="R807" s="263" t="s">
        <v>38</v>
      </c>
      <c r="S807" s="266" t="s">
        <v>115</v>
      </c>
      <c r="T807" s="229"/>
    </row>
    <row r="808" spans="1:20" ht="26.1" hidden="1" customHeight="1">
      <c r="A808" s="208"/>
      <c r="B808" s="211"/>
      <c r="C808" s="211"/>
      <c r="D808" s="212"/>
      <c r="E808" s="210" t="str">
        <f>IFERROR(VLOOKUP($T808,공사현장대장!$A$5:$T$330,4),"")</f>
        <v/>
      </c>
      <c r="F808" s="212"/>
      <c r="G808" s="265"/>
      <c r="H808" s="265"/>
      <c r="I808" s="265"/>
      <c r="J808" s="265" t="str">
        <f>IFERROR(ROUND(VLOOKUP($T808,공사현장대장!$A$5:$T$330,9)/1000,0),"")</f>
        <v/>
      </c>
      <c r="K808" s="225"/>
      <c r="L808" s="209"/>
      <c r="M808" s="209"/>
      <c r="N808" s="209"/>
      <c r="O808" s="209"/>
      <c r="P808" s="209"/>
      <c r="Q808" s="209"/>
      <c r="R808" s="263" t="s">
        <v>38</v>
      </c>
      <c r="S808" s="266" t="s">
        <v>115</v>
      </c>
      <c r="T808" s="229"/>
    </row>
    <row r="809" spans="1:20" ht="26.1" hidden="1" customHeight="1">
      <c r="A809" s="208"/>
      <c r="B809" s="211"/>
      <c r="C809" s="211"/>
      <c r="D809" s="212"/>
      <c r="E809" s="210" t="str">
        <f>IFERROR(VLOOKUP($T809,공사현장대장!$A$5:$T$330,4),"")</f>
        <v/>
      </c>
      <c r="F809" s="212"/>
      <c r="G809" s="265"/>
      <c r="H809" s="265"/>
      <c r="I809" s="265"/>
      <c r="J809" s="265" t="str">
        <f>IFERROR(ROUND(VLOOKUP($T809,공사현장대장!$A$5:$T$330,9)/1000,0),"")</f>
        <v/>
      </c>
      <c r="K809" s="225"/>
      <c r="L809" s="209"/>
      <c r="M809" s="209"/>
      <c r="N809" s="209"/>
      <c r="O809" s="209"/>
      <c r="P809" s="209"/>
      <c r="Q809" s="209"/>
      <c r="R809" s="263" t="s">
        <v>38</v>
      </c>
      <c r="S809" s="266" t="s">
        <v>115</v>
      </c>
      <c r="T809" s="229"/>
    </row>
    <row r="810" spans="1:20" ht="26.1" hidden="1" customHeight="1">
      <c r="A810" s="208"/>
      <c r="B810" s="211"/>
      <c r="C810" s="211"/>
      <c r="D810" s="212"/>
      <c r="E810" s="210" t="str">
        <f>IFERROR(VLOOKUP($T810,공사현장대장!$A$5:$T$330,4),"")</f>
        <v/>
      </c>
      <c r="F810" s="212"/>
      <c r="G810" s="265"/>
      <c r="H810" s="265"/>
      <c r="I810" s="265"/>
      <c r="J810" s="265" t="str">
        <f>IFERROR(ROUND(VLOOKUP($T810,공사현장대장!$A$5:$T$330,9)/1000,0),"")</f>
        <v/>
      </c>
      <c r="K810" s="225"/>
      <c r="L810" s="209"/>
      <c r="M810" s="209"/>
      <c r="N810" s="209"/>
      <c r="O810" s="209"/>
      <c r="P810" s="209"/>
      <c r="Q810" s="209"/>
      <c r="R810" s="263" t="s">
        <v>38</v>
      </c>
      <c r="S810" s="266" t="s">
        <v>115</v>
      </c>
      <c r="T810" s="229"/>
    </row>
    <row r="811" spans="1:20" ht="26.1" hidden="1" customHeight="1">
      <c r="A811" s="324" t="s">
        <v>40</v>
      </c>
      <c r="B811" s="325"/>
      <c r="C811" s="325"/>
      <c r="D811" s="325"/>
      <c r="E811" s="326"/>
      <c r="F811" s="226"/>
      <c r="G811" s="267"/>
      <c r="H811" s="267"/>
      <c r="I811" s="267"/>
      <c r="J811" s="267"/>
      <c r="K811" s="227">
        <f t="shared" ref="K811:Q811" si="160">SUM(K807-SUM(K808:K810))</f>
        <v>0</v>
      </c>
      <c r="L811" s="227">
        <f t="shared" si="160"/>
        <v>0</v>
      </c>
      <c r="M811" s="227">
        <f t="shared" si="160"/>
        <v>0</v>
      </c>
      <c r="N811" s="227">
        <f t="shared" si="160"/>
        <v>0</v>
      </c>
      <c r="O811" s="227">
        <f t="shared" si="160"/>
        <v>0</v>
      </c>
      <c r="P811" s="227">
        <f t="shared" si="160"/>
        <v>20650</v>
      </c>
      <c r="Q811" s="227">
        <f t="shared" si="160"/>
        <v>20650</v>
      </c>
      <c r="R811" s="268" t="s">
        <v>38</v>
      </c>
      <c r="S811" s="269" t="s">
        <v>115</v>
      </c>
      <c r="T811" s="230"/>
    </row>
    <row r="812" spans="1:20" ht="26.1" hidden="1" customHeight="1">
      <c r="A812" s="213" t="s">
        <v>29</v>
      </c>
      <c r="B812" s="214" t="s">
        <v>319</v>
      </c>
      <c r="C812" s="214" t="s">
        <v>31</v>
      </c>
      <c r="D812" s="215" t="s">
        <v>368</v>
      </c>
      <c r="E812" s="216" t="s">
        <v>369</v>
      </c>
      <c r="F812" s="215" t="s">
        <v>370</v>
      </c>
      <c r="G812" s="262" t="s">
        <v>46</v>
      </c>
      <c r="H812" s="262" t="s">
        <v>54</v>
      </c>
      <c r="I812" s="262" t="s">
        <v>121</v>
      </c>
      <c r="J812" s="262">
        <f>SUM(J813:J815)</f>
        <v>0</v>
      </c>
      <c r="K812" s="217"/>
      <c r="L812" s="218">
        <v>386915</v>
      </c>
      <c r="M812" s="218"/>
      <c r="N812" s="218"/>
      <c r="O812" s="218"/>
      <c r="P812" s="218"/>
      <c r="Q812" s="218">
        <f>SUM(K812:P812)</f>
        <v>386915</v>
      </c>
      <c r="R812" s="263" t="s">
        <v>38</v>
      </c>
      <c r="S812" s="266" t="s">
        <v>115</v>
      </c>
      <c r="T812" s="229"/>
    </row>
    <row r="813" spans="1:20" ht="26.1" hidden="1" customHeight="1">
      <c r="A813" s="208"/>
      <c r="B813" s="211"/>
      <c r="C813" s="211"/>
      <c r="D813" s="212"/>
      <c r="E813" s="210" t="str">
        <f>IFERROR(VLOOKUP($T813,공사현장대장!$A$5:$T$330,4),"")</f>
        <v/>
      </c>
      <c r="F813" s="212"/>
      <c r="G813" s="265"/>
      <c r="H813" s="265"/>
      <c r="I813" s="265"/>
      <c r="J813" s="265" t="str">
        <f>IFERROR(ROUND(VLOOKUP($T813,공사현장대장!$A$5:$T$330,9)/1000,0),"")</f>
        <v/>
      </c>
      <c r="K813" s="225"/>
      <c r="L813" s="209"/>
      <c r="M813" s="209"/>
      <c r="N813" s="209"/>
      <c r="O813" s="209"/>
      <c r="P813" s="209"/>
      <c r="Q813" s="209"/>
      <c r="R813" s="263" t="s">
        <v>38</v>
      </c>
      <c r="S813" s="266" t="s">
        <v>115</v>
      </c>
      <c r="T813" s="229"/>
    </row>
    <row r="814" spans="1:20" ht="26.1" hidden="1" customHeight="1">
      <c r="A814" s="208"/>
      <c r="B814" s="211"/>
      <c r="C814" s="211"/>
      <c r="D814" s="212"/>
      <c r="E814" s="210" t="str">
        <f>IFERROR(VLOOKUP($T814,공사현장대장!$A$5:$T$330,4),"")</f>
        <v/>
      </c>
      <c r="F814" s="212"/>
      <c r="G814" s="265"/>
      <c r="H814" s="265"/>
      <c r="I814" s="265"/>
      <c r="J814" s="265" t="str">
        <f>IFERROR(ROUND(VLOOKUP($T814,공사현장대장!$A$5:$T$330,9)/1000,0),"")</f>
        <v/>
      </c>
      <c r="K814" s="225"/>
      <c r="L814" s="209"/>
      <c r="M814" s="209"/>
      <c r="N814" s="209"/>
      <c r="O814" s="209"/>
      <c r="P814" s="209"/>
      <c r="Q814" s="209"/>
      <c r="R814" s="263" t="s">
        <v>38</v>
      </c>
      <c r="S814" s="266" t="s">
        <v>115</v>
      </c>
      <c r="T814" s="229"/>
    </row>
    <row r="815" spans="1:20" ht="26.1" hidden="1" customHeight="1">
      <c r="A815" s="208"/>
      <c r="B815" s="211"/>
      <c r="C815" s="211"/>
      <c r="D815" s="212"/>
      <c r="E815" s="210" t="str">
        <f>IFERROR(VLOOKUP($T815,공사현장대장!$A$5:$T$330,4),"")</f>
        <v/>
      </c>
      <c r="F815" s="212"/>
      <c r="G815" s="265"/>
      <c r="H815" s="265"/>
      <c r="I815" s="265"/>
      <c r="J815" s="265" t="str">
        <f>IFERROR(ROUND(VLOOKUP($T815,공사현장대장!$A$5:$T$330,9)/1000,0),"")</f>
        <v/>
      </c>
      <c r="K815" s="225"/>
      <c r="L815" s="209"/>
      <c r="M815" s="209"/>
      <c r="N815" s="209"/>
      <c r="O815" s="209"/>
      <c r="P815" s="209"/>
      <c r="Q815" s="209"/>
      <c r="R815" s="263" t="s">
        <v>38</v>
      </c>
      <c r="S815" s="266" t="s">
        <v>115</v>
      </c>
      <c r="T815" s="229"/>
    </row>
    <row r="816" spans="1:20" ht="26.1" hidden="1" customHeight="1">
      <c r="A816" s="324" t="s">
        <v>40</v>
      </c>
      <c r="B816" s="325"/>
      <c r="C816" s="325"/>
      <c r="D816" s="325"/>
      <c r="E816" s="326"/>
      <c r="F816" s="226"/>
      <c r="G816" s="267"/>
      <c r="H816" s="267"/>
      <c r="I816" s="267"/>
      <c r="J816" s="267"/>
      <c r="K816" s="227">
        <f t="shared" ref="K816:Q816" si="161">SUM(K812-SUM(K813:K815))</f>
        <v>0</v>
      </c>
      <c r="L816" s="227">
        <f t="shared" si="161"/>
        <v>386915</v>
      </c>
      <c r="M816" s="227">
        <f t="shared" si="161"/>
        <v>0</v>
      </c>
      <c r="N816" s="227">
        <f t="shared" si="161"/>
        <v>0</v>
      </c>
      <c r="O816" s="227">
        <f t="shared" si="161"/>
        <v>0</v>
      </c>
      <c r="P816" s="227">
        <f t="shared" si="161"/>
        <v>0</v>
      </c>
      <c r="Q816" s="227">
        <f t="shared" si="161"/>
        <v>386915</v>
      </c>
      <c r="R816" s="268" t="s">
        <v>38</v>
      </c>
      <c r="S816" s="269" t="s">
        <v>115</v>
      </c>
      <c r="T816" s="230"/>
    </row>
    <row r="817" spans="1:29" ht="26.1" hidden="1" customHeight="1">
      <c r="A817" s="213" t="s">
        <v>29</v>
      </c>
      <c r="B817" s="214" t="s">
        <v>319</v>
      </c>
      <c r="C817" s="214" t="s">
        <v>31</v>
      </c>
      <c r="D817" s="215" t="s">
        <v>368</v>
      </c>
      <c r="E817" s="216" t="s">
        <v>371</v>
      </c>
      <c r="F817" s="215" t="s">
        <v>372</v>
      </c>
      <c r="G817" s="262" t="s">
        <v>46</v>
      </c>
      <c r="H817" s="262" t="s">
        <v>47</v>
      </c>
      <c r="I817" s="262" t="s">
        <v>48</v>
      </c>
      <c r="J817" s="262">
        <f>SUM(J818:J820)</f>
        <v>0</v>
      </c>
      <c r="K817" s="217"/>
      <c r="L817" s="218"/>
      <c r="M817" s="218"/>
      <c r="N817" s="218"/>
      <c r="O817" s="218"/>
      <c r="P817" s="218">
        <v>31100</v>
      </c>
      <c r="Q817" s="218">
        <f>SUM(K817:P817)</f>
        <v>31100</v>
      </c>
      <c r="R817" s="263" t="s">
        <v>38</v>
      </c>
      <c r="S817" s="266" t="s">
        <v>115</v>
      </c>
      <c r="T817" s="229"/>
    </row>
    <row r="818" spans="1:29" ht="26.1" hidden="1" customHeight="1">
      <c r="A818" s="208"/>
      <c r="B818" s="211"/>
      <c r="C818" s="211"/>
      <c r="D818" s="212"/>
      <c r="E818" s="210" t="str">
        <f>IFERROR(VLOOKUP($T818,공사현장대장!$A$5:$T$330,4),"")</f>
        <v/>
      </c>
      <c r="F818" s="212"/>
      <c r="G818" s="265"/>
      <c r="H818" s="265"/>
      <c r="I818" s="265"/>
      <c r="J818" s="265" t="str">
        <f>IFERROR(ROUND(VLOOKUP($T818,공사현장대장!$A$5:$T$330,9)/1000,0),"")</f>
        <v/>
      </c>
      <c r="K818" s="225"/>
      <c r="L818" s="209"/>
      <c r="M818" s="209"/>
      <c r="N818" s="209"/>
      <c r="O818" s="209"/>
      <c r="P818" s="209"/>
      <c r="Q818" s="209"/>
      <c r="R818" s="263" t="s">
        <v>38</v>
      </c>
      <c r="S818" s="266" t="s">
        <v>115</v>
      </c>
      <c r="T818" s="229"/>
    </row>
    <row r="819" spans="1:29" ht="26.1" hidden="1" customHeight="1">
      <c r="A819" s="208"/>
      <c r="B819" s="211"/>
      <c r="C819" s="211"/>
      <c r="D819" s="212"/>
      <c r="E819" s="210" t="str">
        <f>IFERROR(VLOOKUP($T819,공사현장대장!$A$5:$T$330,4),"")</f>
        <v/>
      </c>
      <c r="F819" s="212"/>
      <c r="G819" s="265"/>
      <c r="H819" s="265"/>
      <c r="I819" s="265"/>
      <c r="J819" s="265" t="str">
        <f>IFERROR(ROUND(VLOOKUP($T819,공사현장대장!$A$5:$T$330,9)/1000,0),"")</f>
        <v/>
      </c>
      <c r="K819" s="225"/>
      <c r="L819" s="209"/>
      <c r="M819" s="209"/>
      <c r="N819" s="209"/>
      <c r="O819" s="209"/>
      <c r="P819" s="209"/>
      <c r="Q819" s="209"/>
      <c r="R819" s="263" t="s">
        <v>38</v>
      </c>
      <c r="S819" s="266" t="s">
        <v>115</v>
      </c>
      <c r="T819" s="229"/>
    </row>
    <row r="820" spans="1:29" ht="26.1" hidden="1" customHeight="1">
      <c r="A820" s="208"/>
      <c r="B820" s="211"/>
      <c r="C820" s="211"/>
      <c r="D820" s="212"/>
      <c r="E820" s="210" t="str">
        <f>IFERROR(VLOOKUP($T820,공사현장대장!$A$5:$T$330,4),"")</f>
        <v/>
      </c>
      <c r="F820" s="212"/>
      <c r="G820" s="265"/>
      <c r="H820" s="265"/>
      <c r="I820" s="265"/>
      <c r="J820" s="265" t="str">
        <f>IFERROR(ROUND(VLOOKUP($T820,공사현장대장!$A$5:$T$330,9)/1000,0),"")</f>
        <v/>
      </c>
      <c r="K820" s="225"/>
      <c r="L820" s="209"/>
      <c r="M820" s="209"/>
      <c r="N820" s="209"/>
      <c r="O820" s="209"/>
      <c r="P820" s="209"/>
      <c r="Q820" s="209"/>
      <c r="R820" s="263" t="s">
        <v>38</v>
      </c>
      <c r="S820" s="266" t="s">
        <v>115</v>
      </c>
      <c r="T820" s="229"/>
    </row>
    <row r="821" spans="1:29" ht="26.1" hidden="1" customHeight="1">
      <c r="A821" s="324" t="s">
        <v>40</v>
      </c>
      <c r="B821" s="325"/>
      <c r="C821" s="325"/>
      <c r="D821" s="325"/>
      <c r="E821" s="326"/>
      <c r="F821" s="226"/>
      <c r="G821" s="267"/>
      <c r="H821" s="267"/>
      <c r="I821" s="267"/>
      <c r="J821" s="267"/>
      <c r="K821" s="227">
        <f t="shared" ref="K821:Q821" si="162">SUM(K817-SUM(K818:K820))</f>
        <v>0</v>
      </c>
      <c r="L821" s="227">
        <f t="shared" si="162"/>
        <v>0</v>
      </c>
      <c r="M821" s="227">
        <f t="shared" si="162"/>
        <v>0</v>
      </c>
      <c r="N821" s="227">
        <f t="shared" si="162"/>
        <v>0</v>
      </c>
      <c r="O821" s="227">
        <f t="shared" si="162"/>
        <v>0</v>
      </c>
      <c r="P821" s="227">
        <f t="shared" si="162"/>
        <v>31100</v>
      </c>
      <c r="Q821" s="227">
        <f t="shared" si="162"/>
        <v>31100</v>
      </c>
      <c r="R821" s="268" t="s">
        <v>38</v>
      </c>
      <c r="S821" s="269" t="s">
        <v>115</v>
      </c>
      <c r="T821" s="230"/>
    </row>
    <row r="822" spans="1:29" ht="26.1" hidden="1" customHeight="1">
      <c r="A822" s="213" t="s">
        <v>29</v>
      </c>
      <c r="B822" s="214" t="s">
        <v>319</v>
      </c>
      <c r="C822" s="214" t="s">
        <v>31</v>
      </c>
      <c r="D822" s="215" t="s">
        <v>368</v>
      </c>
      <c r="E822" s="216" t="s">
        <v>373</v>
      </c>
      <c r="F822" s="215" t="s">
        <v>136</v>
      </c>
      <c r="G822" s="262" t="s">
        <v>154</v>
      </c>
      <c r="H822" s="262" t="s">
        <v>328</v>
      </c>
      <c r="I822" s="262" t="s">
        <v>373</v>
      </c>
      <c r="J822" s="262">
        <f>SUM(J823:J825)</f>
        <v>0</v>
      </c>
      <c r="K822" s="217">
        <v>40266</v>
      </c>
      <c r="L822" s="218">
        <v>402262</v>
      </c>
      <c r="M822" s="218"/>
      <c r="N822" s="218"/>
      <c r="O822" s="218"/>
      <c r="P822" s="218"/>
      <c r="Q822" s="218">
        <f>SUM(K822:P822)</f>
        <v>442528</v>
      </c>
      <c r="R822" s="270" t="s">
        <v>41</v>
      </c>
      <c r="S822" s="266" t="s">
        <v>115</v>
      </c>
      <c r="T822" s="229"/>
      <c r="V822" s="241" t="str">
        <f>B822</f>
        <v>중</v>
      </c>
      <c r="W822" s="241" t="str">
        <f>C822</f>
        <v>공립</v>
      </c>
      <c r="X822" s="241" t="str">
        <f>D822</f>
        <v>홍천여중</v>
      </c>
      <c r="Y822" s="241" t="str">
        <f>E822</f>
        <v>다목적구장차양설치</v>
      </c>
      <c r="Z822" s="241" t="str">
        <f>F822</f>
        <v>1식</v>
      </c>
      <c r="AA822" s="244">
        <f>Q822</f>
        <v>442528</v>
      </c>
      <c r="AB822" s="271" t="str">
        <f>R822</f>
        <v>1회추경</v>
      </c>
      <c r="AC822" s="241">
        <v>420</v>
      </c>
    </row>
    <row r="823" spans="1:29" ht="26.1" hidden="1" customHeight="1">
      <c r="A823" s="208"/>
      <c r="B823" s="211"/>
      <c r="C823" s="211"/>
      <c r="D823" s="212"/>
      <c r="E823" s="210" t="str">
        <f>IFERROR(VLOOKUP($T823,공사현장대장!$A$5:$T$330,4),"")</f>
        <v/>
      </c>
      <c r="F823" s="212"/>
      <c r="G823" s="265"/>
      <c r="H823" s="265"/>
      <c r="I823" s="265"/>
      <c r="J823" s="265" t="str">
        <f>IFERROR(ROUND(VLOOKUP($T823,공사현장대장!$A$5:$T$330,9)/1000,0),"")</f>
        <v/>
      </c>
      <c r="K823" s="225"/>
      <c r="L823" s="209"/>
      <c r="M823" s="209"/>
      <c r="N823" s="209"/>
      <c r="O823" s="209"/>
      <c r="P823" s="209"/>
      <c r="Q823" s="209"/>
      <c r="R823" s="263" t="s">
        <v>41</v>
      </c>
      <c r="S823" s="266" t="s">
        <v>115</v>
      </c>
      <c r="T823" s="229"/>
      <c r="AA823" s="244"/>
      <c r="AB823" s="271"/>
    </row>
    <row r="824" spans="1:29" ht="26.1" hidden="1" customHeight="1">
      <c r="A824" s="208"/>
      <c r="B824" s="211"/>
      <c r="C824" s="211"/>
      <c r="D824" s="212"/>
      <c r="E824" s="210" t="str">
        <f>IFERROR(VLOOKUP($T824,공사현장대장!$A$5:$T$330,4),"")</f>
        <v/>
      </c>
      <c r="F824" s="212"/>
      <c r="G824" s="265"/>
      <c r="H824" s="265"/>
      <c r="I824" s="265"/>
      <c r="J824" s="265" t="str">
        <f>IFERROR(ROUND(VLOOKUP($T824,공사현장대장!$A$5:$T$330,9)/1000,0),"")</f>
        <v/>
      </c>
      <c r="K824" s="225"/>
      <c r="L824" s="209"/>
      <c r="M824" s="209"/>
      <c r="N824" s="209"/>
      <c r="O824" s="209"/>
      <c r="P824" s="209"/>
      <c r="Q824" s="209"/>
      <c r="R824" s="263" t="s">
        <v>41</v>
      </c>
      <c r="S824" s="266" t="s">
        <v>115</v>
      </c>
      <c r="T824" s="229"/>
      <c r="AA824" s="244"/>
      <c r="AB824" s="271"/>
    </row>
    <row r="825" spans="1:29" ht="26.1" hidden="1" customHeight="1">
      <c r="A825" s="208"/>
      <c r="B825" s="211"/>
      <c r="C825" s="211"/>
      <c r="D825" s="212"/>
      <c r="E825" s="210" t="str">
        <f>IFERROR(VLOOKUP($T825,공사현장대장!$A$5:$T$330,4),"")</f>
        <v/>
      </c>
      <c r="F825" s="212"/>
      <c r="G825" s="265"/>
      <c r="H825" s="265"/>
      <c r="I825" s="265"/>
      <c r="J825" s="265" t="str">
        <f>IFERROR(ROUND(VLOOKUP($T825,공사현장대장!$A$5:$T$330,9)/1000,0),"")</f>
        <v/>
      </c>
      <c r="K825" s="225"/>
      <c r="L825" s="209"/>
      <c r="M825" s="209"/>
      <c r="N825" s="209"/>
      <c r="O825" s="209"/>
      <c r="P825" s="209"/>
      <c r="Q825" s="209"/>
      <c r="R825" s="263" t="s">
        <v>41</v>
      </c>
      <c r="S825" s="266" t="s">
        <v>115</v>
      </c>
      <c r="T825" s="229"/>
      <c r="AA825" s="244"/>
      <c r="AB825" s="271"/>
    </row>
    <row r="826" spans="1:29" ht="26.1" hidden="1" customHeight="1">
      <c r="A826" s="324" t="s">
        <v>40</v>
      </c>
      <c r="B826" s="325"/>
      <c r="C826" s="325"/>
      <c r="D826" s="325"/>
      <c r="E826" s="326"/>
      <c r="F826" s="226"/>
      <c r="G826" s="267"/>
      <c r="H826" s="267"/>
      <c r="I826" s="267"/>
      <c r="J826" s="267"/>
      <c r="K826" s="227">
        <f t="shared" ref="K826:Q826" si="163">SUM(K822-SUM(K823:K825))</f>
        <v>40266</v>
      </c>
      <c r="L826" s="227">
        <f t="shared" si="163"/>
        <v>402262</v>
      </c>
      <c r="M826" s="227">
        <f t="shared" si="163"/>
        <v>0</v>
      </c>
      <c r="N826" s="227">
        <f t="shared" si="163"/>
        <v>0</v>
      </c>
      <c r="O826" s="227">
        <f t="shared" si="163"/>
        <v>0</v>
      </c>
      <c r="P826" s="227">
        <f t="shared" si="163"/>
        <v>0</v>
      </c>
      <c r="Q826" s="227">
        <f t="shared" si="163"/>
        <v>442528</v>
      </c>
      <c r="R826" s="268" t="s">
        <v>41</v>
      </c>
      <c r="S826" s="269" t="s">
        <v>115</v>
      </c>
      <c r="T826" s="230"/>
      <c r="AA826" s="244"/>
      <c r="AB826" s="271"/>
    </row>
    <row r="827" spans="1:29" ht="26.1" customHeight="1">
      <c r="A827" s="213" t="s">
        <v>29</v>
      </c>
      <c r="B827" s="214" t="s">
        <v>319</v>
      </c>
      <c r="C827" s="214" t="s">
        <v>31</v>
      </c>
      <c r="D827" s="215" t="s">
        <v>374</v>
      </c>
      <c r="E827" s="216" t="s">
        <v>375</v>
      </c>
      <c r="F827" s="215" t="s">
        <v>376</v>
      </c>
      <c r="G827" s="262" t="s">
        <v>46</v>
      </c>
      <c r="H827" s="262" t="s">
        <v>54</v>
      </c>
      <c r="I827" s="262" t="s">
        <v>55</v>
      </c>
      <c r="J827" s="262">
        <f>SUM(J828:J830)</f>
        <v>0</v>
      </c>
      <c r="K827" s="217"/>
      <c r="L827" s="218">
        <v>175700</v>
      </c>
      <c r="M827" s="218"/>
      <c r="N827" s="218"/>
      <c r="O827" s="218"/>
      <c r="P827" s="218"/>
      <c r="Q827" s="218">
        <f>SUM(K827:P827)</f>
        <v>175700</v>
      </c>
      <c r="R827" s="263" t="s">
        <v>38</v>
      </c>
      <c r="S827" s="266" t="s">
        <v>49</v>
      </c>
      <c r="T827" s="229"/>
    </row>
    <row r="828" spans="1:29" ht="26.1" customHeight="1">
      <c r="A828" s="208"/>
      <c r="B828" s="211"/>
      <c r="C828" s="211"/>
      <c r="D828" s="212"/>
      <c r="E828" s="210" t="str">
        <f>IFERROR(VLOOKUP($T828,공사현장대장!$A$5:$T$330,4),"")</f>
        <v/>
      </c>
      <c r="F828" s="212"/>
      <c r="G828" s="265"/>
      <c r="H828" s="265"/>
      <c r="I828" s="265"/>
      <c r="J828" s="265" t="str">
        <f>IFERROR(ROUND(VLOOKUP($T828,공사현장대장!$A$5:$T$330,9)/1000,0),"")</f>
        <v/>
      </c>
      <c r="K828" s="225"/>
      <c r="L828" s="209"/>
      <c r="M828" s="209"/>
      <c r="N828" s="209"/>
      <c r="O828" s="209"/>
      <c r="P828" s="209"/>
      <c r="Q828" s="209"/>
      <c r="R828" s="263" t="s">
        <v>38</v>
      </c>
      <c r="S828" s="266" t="s">
        <v>49</v>
      </c>
      <c r="T828" s="229"/>
    </row>
    <row r="829" spans="1:29" ht="26.1" customHeight="1">
      <c r="A829" s="208"/>
      <c r="B829" s="211"/>
      <c r="C829" s="211"/>
      <c r="D829" s="212"/>
      <c r="E829" s="210" t="str">
        <f>IFERROR(VLOOKUP($T829,공사현장대장!$A$5:$T$330,4),"")</f>
        <v/>
      </c>
      <c r="F829" s="212"/>
      <c r="G829" s="265"/>
      <c r="H829" s="265"/>
      <c r="I829" s="265"/>
      <c r="J829" s="265" t="str">
        <f>IFERROR(ROUND(VLOOKUP($T829,공사현장대장!$A$5:$T$330,9)/1000,0),"")</f>
        <v/>
      </c>
      <c r="K829" s="225"/>
      <c r="L829" s="209"/>
      <c r="M829" s="209"/>
      <c r="N829" s="209"/>
      <c r="O829" s="209"/>
      <c r="P829" s="209"/>
      <c r="Q829" s="209"/>
      <c r="R829" s="263" t="s">
        <v>38</v>
      </c>
      <c r="S829" s="266" t="s">
        <v>49</v>
      </c>
      <c r="T829" s="229"/>
    </row>
    <row r="830" spans="1:29" ht="26.1" customHeight="1">
      <c r="A830" s="208"/>
      <c r="B830" s="211"/>
      <c r="C830" s="211"/>
      <c r="D830" s="212"/>
      <c r="E830" s="210" t="str">
        <f>IFERROR(VLOOKUP($T830,공사현장대장!$A$5:$T$330,4),"")</f>
        <v/>
      </c>
      <c r="F830" s="212"/>
      <c r="G830" s="265"/>
      <c r="H830" s="265"/>
      <c r="I830" s="265"/>
      <c r="J830" s="265" t="str">
        <f>IFERROR(ROUND(VLOOKUP($T830,공사현장대장!$A$5:$T$330,9)/1000,0),"")</f>
        <v/>
      </c>
      <c r="K830" s="225"/>
      <c r="L830" s="209"/>
      <c r="M830" s="209"/>
      <c r="N830" s="209"/>
      <c r="O830" s="209"/>
      <c r="P830" s="209"/>
      <c r="Q830" s="209"/>
      <c r="R830" s="263" t="s">
        <v>38</v>
      </c>
      <c r="S830" s="266" t="s">
        <v>49</v>
      </c>
      <c r="T830" s="229"/>
    </row>
    <row r="831" spans="1:29" ht="26.1" customHeight="1">
      <c r="A831" s="324" t="s">
        <v>40</v>
      </c>
      <c r="B831" s="325"/>
      <c r="C831" s="325"/>
      <c r="D831" s="325"/>
      <c r="E831" s="326"/>
      <c r="F831" s="226"/>
      <c r="G831" s="267"/>
      <c r="H831" s="267"/>
      <c r="I831" s="267"/>
      <c r="J831" s="267"/>
      <c r="K831" s="227">
        <f t="shared" ref="K831:Q831" si="164">SUM(K827-SUM(K828:K830))</f>
        <v>0</v>
      </c>
      <c r="L831" s="227">
        <f t="shared" si="164"/>
        <v>175700</v>
      </c>
      <c r="M831" s="227">
        <f t="shared" si="164"/>
        <v>0</v>
      </c>
      <c r="N831" s="227">
        <f t="shared" si="164"/>
        <v>0</v>
      </c>
      <c r="O831" s="227">
        <f t="shared" si="164"/>
        <v>0</v>
      </c>
      <c r="P831" s="227">
        <f t="shared" si="164"/>
        <v>0</v>
      </c>
      <c r="Q831" s="227">
        <f t="shared" si="164"/>
        <v>175700</v>
      </c>
      <c r="R831" s="268" t="s">
        <v>38</v>
      </c>
      <c r="S831" s="269" t="s">
        <v>49</v>
      </c>
      <c r="T831" s="230"/>
    </row>
    <row r="832" spans="1:29" ht="26.1" customHeight="1">
      <c r="A832" s="213" t="s">
        <v>29</v>
      </c>
      <c r="B832" s="214" t="s">
        <v>319</v>
      </c>
      <c r="C832" s="214" t="s">
        <v>31</v>
      </c>
      <c r="D832" s="215" t="s">
        <v>374</v>
      </c>
      <c r="E832" s="216" t="s">
        <v>377</v>
      </c>
      <c r="F832" s="215" t="s">
        <v>378</v>
      </c>
      <c r="G832" s="262" t="s">
        <v>46</v>
      </c>
      <c r="H832" s="262" t="s">
        <v>54</v>
      </c>
      <c r="I832" s="262" t="s">
        <v>55</v>
      </c>
      <c r="J832" s="262">
        <f>SUM(J833:J835)</f>
        <v>0</v>
      </c>
      <c r="K832" s="217"/>
      <c r="L832" s="218">
        <v>177800</v>
      </c>
      <c r="M832" s="218"/>
      <c r="N832" s="218"/>
      <c r="O832" s="218"/>
      <c r="P832" s="218"/>
      <c r="Q832" s="218">
        <f>SUM(K832:P832)</f>
        <v>177800</v>
      </c>
      <c r="R832" s="274" t="s">
        <v>87</v>
      </c>
      <c r="S832" s="266" t="s">
        <v>49</v>
      </c>
      <c r="T832" s="229"/>
    </row>
    <row r="833" spans="1:20" ht="26.1" customHeight="1">
      <c r="A833" s="208"/>
      <c r="B833" s="211"/>
      <c r="C833" s="211"/>
      <c r="D833" s="212"/>
      <c r="E833" s="210" t="str">
        <f>IFERROR(VLOOKUP($T833,공사현장대장!$A$5:$T$330,4),"")</f>
        <v/>
      </c>
      <c r="F833" s="212"/>
      <c r="G833" s="265"/>
      <c r="H833" s="265"/>
      <c r="I833" s="265"/>
      <c r="J833" s="265" t="str">
        <f>IFERROR(ROUND(VLOOKUP($T833,공사현장대장!$A$5:$T$330,9)/1000,0),"")</f>
        <v/>
      </c>
      <c r="K833" s="225"/>
      <c r="L833" s="209" t="str">
        <f>J833</f>
        <v/>
      </c>
      <c r="M833" s="209"/>
      <c r="N833" s="209"/>
      <c r="O833" s="209"/>
      <c r="P833" s="209"/>
      <c r="Q833" s="209"/>
      <c r="R833" s="263" t="s">
        <v>87</v>
      </c>
      <c r="S833" s="266" t="s">
        <v>49</v>
      </c>
      <c r="T833" s="229"/>
    </row>
    <row r="834" spans="1:20" ht="26.1" customHeight="1">
      <c r="A834" s="208"/>
      <c r="B834" s="211"/>
      <c r="C834" s="211"/>
      <c r="D834" s="212"/>
      <c r="E834" s="210" t="str">
        <f>IFERROR(VLOOKUP($T834,공사현장대장!$A$5:$T$330,4),"")</f>
        <v/>
      </c>
      <c r="F834" s="212"/>
      <c r="G834" s="265"/>
      <c r="H834" s="265"/>
      <c r="I834" s="265"/>
      <c r="J834" s="265" t="str">
        <f>IFERROR(ROUND(VLOOKUP($T834,공사현장대장!$A$5:$T$330,9)/1000,0),"")</f>
        <v/>
      </c>
      <c r="K834" s="225"/>
      <c r="L834" s="209"/>
      <c r="M834" s="209"/>
      <c r="N834" s="209"/>
      <c r="O834" s="209"/>
      <c r="P834" s="209"/>
      <c r="Q834" s="209"/>
      <c r="R834" s="263" t="s">
        <v>87</v>
      </c>
      <c r="S834" s="266" t="s">
        <v>49</v>
      </c>
      <c r="T834" s="229"/>
    </row>
    <row r="835" spans="1:20" ht="26.1" customHeight="1">
      <c r="A835" s="208"/>
      <c r="B835" s="211"/>
      <c r="C835" s="211"/>
      <c r="D835" s="212"/>
      <c r="E835" s="210" t="str">
        <f>IFERROR(VLOOKUP($T835,공사현장대장!$A$5:$T$330,4),"")</f>
        <v/>
      </c>
      <c r="F835" s="212"/>
      <c r="G835" s="265"/>
      <c r="H835" s="265"/>
      <c r="I835" s="265"/>
      <c r="J835" s="265" t="str">
        <f>IFERROR(ROUND(VLOOKUP($T835,공사현장대장!$A$5:$T$330,9)/1000,0),"")</f>
        <v/>
      </c>
      <c r="K835" s="225"/>
      <c r="L835" s="209"/>
      <c r="M835" s="209"/>
      <c r="N835" s="209"/>
      <c r="O835" s="209"/>
      <c r="P835" s="209"/>
      <c r="Q835" s="209"/>
      <c r="R835" s="263" t="s">
        <v>87</v>
      </c>
      <c r="S835" s="266" t="s">
        <v>49</v>
      </c>
      <c r="T835" s="229"/>
    </row>
    <row r="836" spans="1:20" ht="26.1" customHeight="1">
      <c r="A836" s="324" t="s">
        <v>40</v>
      </c>
      <c r="B836" s="325"/>
      <c r="C836" s="325"/>
      <c r="D836" s="325"/>
      <c r="E836" s="326"/>
      <c r="F836" s="226"/>
      <c r="G836" s="267"/>
      <c r="H836" s="267"/>
      <c r="I836" s="267"/>
      <c r="J836" s="267"/>
      <c r="K836" s="227">
        <f t="shared" ref="K836:Q836" si="165">SUM(K832-SUM(K833:K835))</f>
        <v>0</v>
      </c>
      <c r="L836" s="227">
        <f t="shared" si="165"/>
        <v>177800</v>
      </c>
      <c r="M836" s="227">
        <f t="shared" si="165"/>
        <v>0</v>
      </c>
      <c r="N836" s="227">
        <f t="shared" si="165"/>
        <v>0</v>
      </c>
      <c r="O836" s="227">
        <f t="shared" si="165"/>
        <v>0</v>
      </c>
      <c r="P836" s="227">
        <f t="shared" si="165"/>
        <v>0</v>
      </c>
      <c r="Q836" s="227">
        <f t="shared" si="165"/>
        <v>177800</v>
      </c>
      <c r="R836" s="268" t="s">
        <v>87</v>
      </c>
      <c r="S836" s="269" t="s">
        <v>49</v>
      </c>
      <c r="T836" s="230"/>
    </row>
    <row r="837" spans="1:20" ht="26.1" hidden="1" customHeight="1">
      <c r="A837" s="213" t="s">
        <v>29</v>
      </c>
      <c r="B837" s="214" t="s">
        <v>319</v>
      </c>
      <c r="C837" s="214" t="s">
        <v>31</v>
      </c>
      <c r="D837" s="215" t="s">
        <v>379</v>
      </c>
      <c r="E837" s="216" t="s">
        <v>213</v>
      </c>
      <c r="F837" s="215" t="s">
        <v>252</v>
      </c>
      <c r="G837" s="262" t="s">
        <v>46</v>
      </c>
      <c r="H837" s="262" t="s">
        <v>54</v>
      </c>
      <c r="I837" s="262" t="s">
        <v>55</v>
      </c>
      <c r="J837" s="262">
        <f>SUM(J838:J840)</f>
        <v>0</v>
      </c>
      <c r="K837" s="217"/>
      <c r="L837" s="218"/>
      <c r="M837" s="218"/>
      <c r="N837" s="218"/>
      <c r="O837" s="218"/>
      <c r="P837" s="218">
        <v>23450</v>
      </c>
      <c r="Q837" s="218">
        <f>SUM(K837:P837)</f>
        <v>23450</v>
      </c>
      <c r="R837" s="263" t="s">
        <v>38</v>
      </c>
      <c r="S837" s="266" t="s">
        <v>115</v>
      </c>
      <c r="T837" s="229"/>
    </row>
    <row r="838" spans="1:20" ht="26.1" hidden="1" customHeight="1">
      <c r="A838" s="208"/>
      <c r="B838" s="211"/>
      <c r="C838" s="211"/>
      <c r="D838" s="212"/>
      <c r="E838" s="210" t="str">
        <f>IFERROR(VLOOKUP($T838,공사현장대장!$A$5:$T$330,4),"")</f>
        <v/>
      </c>
      <c r="F838" s="212"/>
      <c r="G838" s="265"/>
      <c r="H838" s="265"/>
      <c r="I838" s="265"/>
      <c r="J838" s="265" t="str">
        <f>IFERROR(ROUND(VLOOKUP($T838,공사현장대장!$A$5:$T$330,9)/1000,0),"")</f>
        <v/>
      </c>
      <c r="K838" s="225"/>
      <c r="L838" s="209"/>
      <c r="M838" s="209"/>
      <c r="N838" s="209"/>
      <c r="O838" s="209"/>
      <c r="P838" s="209"/>
      <c r="Q838" s="209"/>
      <c r="R838" s="263" t="s">
        <v>38</v>
      </c>
      <c r="S838" s="266" t="s">
        <v>115</v>
      </c>
      <c r="T838" s="229"/>
    </row>
    <row r="839" spans="1:20" ht="26.1" hidden="1" customHeight="1">
      <c r="A839" s="208"/>
      <c r="B839" s="211"/>
      <c r="C839" s="211"/>
      <c r="D839" s="212"/>
      <c r="E839" s="210" t="str">
        <f>IFERROR(VLOOKUP($T839,공사현장대장!$A$5:$T$330,4),"")</f>
        <v/>
      </c>
      <c r="F839" s="212"/>
      <c r="G839" s="265"/>
      <c r="H839" s="265"/>
      <c r="I839" s="265"/>
      <c r="J839" s="265" t="str">
        <f>IFERROR(ROUND(VLOOKUP($T839,공사현장대장!$A$5:$T$330,9)/1000,0),"")</f>
        <v/>
      </c>
      <c r="K839" s="225"/>
      <c r="L839" s="209"/>
      <c r="M839" s="209"/>
      <c r="N839" s="209"/>
      <c r="O839" s="209"/>
      <c r="P839" s="209"/>
      <c r="Q839" s="209"/>
      <c r="R839" s="263" t="s">
        <v>38</v>
      </c>
      <c r="S839" s="266" t="s">
        <v>115</v>
      </c>
      <c r="T839" s="229"/>
    </row>
    <row r="840" spans="1:20" ht="26.1" hidden="1" customHeight="1">
      <c r="A840" s="208"/>
      <c r="B840" s="211"/>
      <c r="C840" s="211"/>
      <c r="D840" s="212"/>
      <c r="E840" s="210" t="str">
        <f>IFERROR(VLOOKUP($T840,공사현장대장!$A$5:$T$330,4),"")</f>
        <v/>
      </c>
      <c r="F840" s="212"/>
      <c r="G840" s="265"/>
      <c r="H840" s="265"/>
      <c r="I840" s="265"/>
      <c r="J840" s="265" t="str">
        <f>IFERROR(ROUND(VLOOKUP($T840,공사현장대장!$A$5:$T$330,9)/1000,0),"")</f>
        <v/>
      </c>
      <c r="K840" s="225"/>
      <c r="L840" s="209"/>
      <c r="M840" s="209"/>
      <c r="N840" s="209"/>
      <c r="O840" s="209"/>
      <c r="P840" s="209"/>
      <c r="Q840" s="209"/>
      <c r="R840" s="263" t="s">
        <v>38</v>
      </c>
      <c r="S840" s="266" t="s">
        <v>115</v>
      </c>
      <c r="T840" s="229"/>
    </row>
    <row r="841" spans="1:20" ht="26.1" hidden="1" customHeight="1">
      <c r="A841" s="324" t="s">
        <v>40</v>
      </c>
      <c r="B841" s="325"/>
      <c r="C841" s="325"/>
      <c r="D841" s="325"/>
      <c r="E841" s="326"/>
      <c r="F841" s="226"/>
      <c r="G841" s="267"/>
      <c r="H841" s="267"/>
      <c r="I841" s="267"/>
      <c r="J841" s="267"/>
      <c r="K841" s="227">
        <f t="shared" ref="K841:Q841" si="166">SUM(K837-SUM(K838:K840))</f>
        <v>0</v>
      </c>
      <c r="L841" s="227">
        <f t="shared" si="166"/>
        <v>0</v>
      </c>
      <c r="M841" s="227">
        <f t="shared" si="166"/>
        <v>0</v>
      </c>
      <c r="N841" s="227">
        <f t="shared" si="166"/>
        <v>0</v>
      </c>
      <c r="O841" s="227">
        <f t="shared" si="166"/>
        <v>0</v>
      </c>
      <c r="P841" s="227">
        <f t="shared" si="166"/>
        <v>23450</v>
      </c>
      <c r="Q841" s="227">
        <f t="shared" si="166"/>
        <v>23450</v>
      </c>
      <c r="R841" s="268" t="s">
        <v>38</v>
      </c>
      <c r="S841" s="269" t="s">
        <v>115</v>
      </c>
      <c r="T841" s="230"/>
    </row>
    <row r="842" spans="1:20" ht="26.1" hidden="1" customHeight="1">
      <c r="A842" s="213" t="s">
        <v>29</v>
      </c>
      <c r="B842" s="214" t="s">
        <v>319</v>
      </c>
      <c r="C842" s="214" t="s">
        <v>31</v>
      </c>
      <c r="D842" s="215" t="s">
        <v>379</v>
      </c>
      <c r="E842" s="216" t="s">
        <v>321</v>
      </c>
      <c r="F842" s="215" t="s">
        <v>380</v>
      </c>
      <c r="G842" s="262" t="s">
        <v>46</v>
      </c>
      <c r="H842" s="262" t="s">
        <v>47</v>
      </c>
      <c r="I842" s="262" t="s">
        <v>48</v>
      </c>
      <c r="J842" s="262">
        <f>SUM(J843:J845)</f>
        <v>0</v>
      </c>
      <c r="K842" s="217"/>
      <c r="L842" s="218"/>
      <c r="M842" s="218"/>
      <c r="N842" s="218"/>
      <c r="O842" s="218"/>
      <c r="P842" s="218">
        <v>4340</v>
      </c>
      <c r="Q842" s="218">
        <f>SUM(K842:P842)</f>
        <v>4340</v>
      </c>
      <c r="R842" s="263" t="s">
        <v>38</v>
      </c>
      <c r="S842" s="266" t="s">
        <v>115</v>
      </c>
      <c r="T842" s="229"/>
    </row>
    <row r="843" spans="1:20" ht="26.1" hidden="1" customHeight="1">
      <c r="A843" s="208"/>
      <c r="B843" s="211"/>
      <c r="C843" s="211"/>
      <c r="D843" s="212"/>
      <c r="E843" s="210" t="str">
        <f>IFERROR(VLOOKUP($T843,공사현장대장!$A$5:$T$330,4),"")</f>
        <v/>
      </c>
      <c r="F843" s="212"/>
      <c r="G843" s="265"/>
      <c r="H843" s="265"/>
      <c r="I843" s="265"/>
      <c r="J843" s="265" t="str">
        <f>IFERROR(ROUND(VLOOKUP($T843,공사현장대장!$A$5:$T$330,9)/1000,0),"")</f>
        <v/>
      </c>
      <c r="K843" s="225"/>
      <c r="L843" s="209"/>
      <c r="M843" s="209"/>
      <c r="N843" s="209"/>
      <c r="O843" s="209"/>
      <c r="P843" s="209"/>
      <c r="Q843" s="209"/>
      <c r="R843" s="263" t="s">
        <v>38</v>
      </c>
      <c r="S843" s="266" t="s">
        <v>115</v>
      </c>
      <c r="T843" s="229"/>
    </row>
    <row r="844" spans="1:20" ht="26.1" hidden="1" customHeight="1">
      <c r="A844" s="208"/>
      <c r="B844" s="211"/>
      <c r="C844" s="211"/>
      <c r="D844" s="212"/>
      <c r="E844" s="210" t="str">
        <f>IFERROR(VLOOKUP($T844,공사현장대장!$A$5:$T$330,4),"")</f>
        <v/>
      </c>
      <c r="F844" s="212"/>
      <c r="G844" s="265"/>
      <c r="H844" s="265"/>
      <c r="I844" s="265"/>
      <c r="J844" s="265" t="str">
        <f>IFERROR(ROUND(VLOOKUP($T844,공사현장대장!$A$5:$T$330,9)/1000,0),"")</f>
        <v/>
      </c>
      <c r="K844" s="225"/>
      <c r="L844" s="209"/>
      <c r="M844" s="209"/>
      <c r="N844" s="209"/>
      <c r="O844" s="209"/>
      <c r="P844" s="209"/>
      <c r="Q844" s="209"/>
      <c r="R844" s="263" t="s">
        <v>38</v>
      </c>
      <c r="S844" s="266" t="s">
        <v>115</v>
      </c>
      <c r="T844" s="229"/>
    </row>
    <row r="845" spans="1:20" ht="26.1" hidden="1" customHeight="1">
      <c r="A845" s="208"/>
      <c r="B845" s="211"/>
      <c r="C845" s="211"/>
      <c r="D845" s="212"/>
      <c r="E845" s="210" t="str">
        <f>IFERROR(VLOOKUP($T845,공사현장대장!$A$5:$T$330,4),"")</f>
        <v/>
      </c>
      <c r="F845" s="212"/>
      <c r="G845" s="265"/>
      <c r="H845" s="265"/>
      <c r="I845" s="265"/>
      <c r="J845" s="265" t="str">
        <f>IFERROR(ROUND(VLOOKUP($T845,공사현장대장!$A$5:$T$330,9)/1000,0),"")</f>
        <v/>
      </c>
      <c r="K845" s="225"/>
      <c r="L845" s="209"/>
      <c r="M845" s="209"/>
      <c r="N845" s="209"/>
      <c r="O845" s="209"/>
      <c r="P845" s="209"/>
      <c r="Q845" s="209"/>
      <c r="R845" s="263" t="s">
        <v>38</v>
      </c>
      <c r="S845" s="266" t="s">
        <v>115</v>
      </c>
      <c r="T845" s="229"/>
    </row>
    <row r="846" spans="1:20" ht="26.1" hidden="1" customHeight="1">
      <c r="A846" s="324" t="s">
        <v>40</v>
      </c>
      <c r="B846" s="325"/>
      <c r="C846" s="325"/>
      <c r="D846" s="325"/>
      <c r="E846" s="326"/>
      <c r="F846" s="226"/>
      <c r="G846" s="267"/>
      <c r="H846" s="267"/>
      <c r="I846" s="267"/>
      <c r="J846" s="267"/>
      <c r="K846" s="227">
        <f t="shared" ref="K846:Q846" si="167">SUM(K842-SUM(K843:K845))</f>
        <v>0</v>
      </c>
      <c r="L846" s="227">
        <f t="shared" si="167"/>
        <v>0</v>
      </c>
      <c r="M846" s="227">
        <f t="shared" si="167"/>
        <v>0</v>
      </c>
      <c r="N846" s="227">
        <f t="shared" si="167"/>
        <v>0</v>
      </c>
      <c r="O846" s="227">
        <f t="shared" si="167"/>
        <v>0</v>
      </c>
      <c r="P846" s="227">
        <f t="shared" si="167"/>
        <v>4340</v>
      </c>
      <c r="Q846" s="227">
        <f t="shared" si="167"/>
        <v>4340</v>
      </c>
      <c r="R846" s="268" t="s">
        <v>38</v>
      </c>
      <c r="S846" s="269" t="s">
        <v>115</v>
      </c>
      <c r="T846" s="230"/>
    </row>
    <row r="847" spans="1:20" ht="26.1" hidden="1" customHeight="1">
      <c r="A847" s="213" t="s">
        <v>29</v>
      </c>
      <c r="B847" s="214" t="s">
        <v>319</v>
      </c>
      <c r="C847" s="214" t="s">
        <v>351</v>
      </c>
      <c r="D847" s="215" t="s">
        <v>381</v>
      </c>
      <c r="E847" s="216" t="s">
        <v>382</v>
      </c>
      <c r="F847" s="215" t="s">
        <v>383</v>
      </c>
      <c r="G847" s="262" t="s">
        <v>46</v>
      </c>
      <c r="H847" s="262" t="s">
        <v>361</v>
      </c>
      <c r="I847" s="262" t="s">
        <v>362</v>
      </c>
      <c r="J847" s="262">
        <f>SUM(J848:J850)</f>
        <v>0</v>
      </c>
      <c r="K847" s="217"/>
      <c r="L847" s="218"/>
      <c r="M847" s="218"/>
      <c r="N847" s="218"/>
      <c r="O847" s="218"/>
      <c r="P847" s="218">
        <v>569852</v>
      </c>
      <c r="Q847" s="218">
        <f>SUM(K847:P847)</f>
        <v>569852</v>
      </c>
      <c r="R847" s="263" t="s">
        <v>38</v>
      </c>
      <c r="S847" s="266" t="s">
        <v>115</v>
      </c>
      <c r="T847" s="229"/>
    </row>
    <row r="848" spans="1:20" ht="26.1" hidden="1" customHeight="1">
      <c r="A848" s="208"/>
      <c r="B848" s="211"/>
      <c r="C848" s="211"/>
      <c r="D848" s="212"/>
      <c r="E848" s="210" t="str">
        <f>IFERROR(VLOOKUP($T848,공사현장대장!$A$5:$T$330,4),"")</f>
        <v/>
      </c>
      <c r="F848" s="212"/>
      <c r="G848" s="265"/>
      <c r="H848" s="265"/>
      <c r="I848" s="265"/>
      <c r="J848" s="265" t="str">
        <f>IFERROR(ROUND(VLOOKUP($T848,공사현장대장!$A$5:$T$330,9)/1000,0),"")</f>
        <v/>
      </c>
      <c r="K848" s="225"/>
      <c r="L848" s="209"/>
      <c r="M848" s="209"/>
      <c r="N848" s="209"/>
      <c r="O848" s="209"/>
      <c r="P848" s="209"/>
      <c r="Q848" s="209"/>
      <c r="R848" s="263" t="s">
        <v>38</v>
      </c>
      <c r="S848" s="266" t="s">
        <v>115</v>
      </c>
      <c r="T848" s="229"/>
    </row>
    <row r="849" spans="1:29" ht="26.1" hidden="1" customHeight="1">
      <c r="A849" s="208"/>
      <c r="B849" s="211"/>
      <c r="C849" s="211"/>
      <c r="D849" s="212"/>
      <c r="E849" s="210" t="str">
        <f>IFERROR(VLOOKUP($T849,공사현장대장!$A$5:$T$330,4),"")</f>
        <v/>
      </c>
      <c r="F849" s="212"/>
      <c r="G849" s="265"/>
      <c r="H849" s="265"/>
      <c r="I849" s="265"/>
      <c r="J849" s="265" t="str">
        <f>IFERROR(ROUND(VLOOKUP($T849,공사현장대장!$A$5:$T$330,9)/1000,0),"")</f>
        <v/>
      </c>
      <c r="K849" s="225"/>
      <c r="L849" s="209"/>
      <c r="M849" s="209"/>
      <c r="N849" s="209"/>
      <c r="O849" s="209"/>
      <c r="P849" s="209"/>
      <c r="Q849" s="209"/>
      <c r="R849" s="263" t="s">
        <v>38</v>
      </c>
      <c r="S849" s="266" t="s">
        <v>115</v>
      </c>
      <c r="T849" s="229"/>
    </row>
    <row r="850" spans="1:29" ht="26.1" hidden="1" customHeight="1">
      <c r="A850" s="208"/>
      <c r="B850" s="211"/>
      <c r="C850" s="211"/>
      <c r="D850" s="212"/>
      <c r="E850" s="210" t="str">
        <f>IFERROR(VLOOKUP($T850,공사현장대장!$A$5:$T$330,4),"")</f>
        <v/>
      </c>
      <c r="F850" s="212"/>
      <c r="G850" s="265"/>
      <c r="H850" s="265"/>
      <c r="I850" s="265"/>
      <c r="J850" s="265" t="str">
        <f>IFERROR(ROUND(VLOOKUP($T850,공사현장대장!$A$5:$T$330,9)/1000,0),"")</f>
        <v/>
      </c>
      <c r="K850" s="225"/>
      <c r="L850" s="209"/>
      <c r="M850" s="209"/>
      <c r="N850" s="209"/>
      <c r="O850" s="209"/>
      <c r="P850" s="209"/>
      <c r="Q850" s="209"/>
      <c r="R850" s="263" t="s">
        <v>38</v>
      </c>
      <c r="S850" s="266" t="s">
        <v>115</v>
      </c>
      <c r="T850" s="229"/>
    </row>
    <row r="851" spans="1:29" ht="26.1" hidden="1" customHeight="1">
      <c r="A851" s="324" t="s">
        <v>40</v>
      </c>
      <c r="B851" s="325"/>
      <c r="C851" s="325"/>
      <c r="D851" s="325"/>
      <c r="E851" s="326"/>
      <c r="F851" s="226"/>
      <c r="G851" s="267"/>
      <c r="H851" s="267"/>
      <c r="I851" s="267"/>
      <c r="J851" s="267"/>
      <c r="K851" s="227">
        <f t="shared" ref="K851:Q851" si="168">SUM(K847-SUM(K848:K850))</f>
        <v>0</v>
      </c>
      <c r="L851" s="227">
        <f t="shared" si="168"/>
        <v>0</v>
      </c>
      <c r="M851" s="227">
        <f t="shared" si="168"/>
        <v>0</v>
      </c>
      <c r="N851" s="227">
        <f t="shared" si="168"/>
        <v>0</v>
      </c>
      <c r="O851" s="227">
        <f t="shared" si="168"/>
        <v>0</v>
      </c>
      <c r="P851" s="227">
        <f t="shared" si="168"/>
        <v>569852</v>
      </c>
      <c r="Q851" s="227">
        <f t="shared" si="168"/>
        <v>569852</v>
      </c>
      <c r="R851" s="268" t="s">
        <v>38</v>
      </c>
      <c r="S851" s="269" t="s">
        <v>115</v>
      </c>
      <c r="T851" s="230"/>
    </row>
    <row r="852" spans="1:29" ht="26.1" hidden="1" customHeight="1">
      <c r="A852" s="213" t="s">
        <v>29</v>
      </c>
      <c r="B852" s="214" t="s">
        <v>384</v>
      </c>
      <c r="C852" s="214" t="s">
        <v>31</v>
      </c>
      <c r="D852" s="215" t="s">
        <v>385</v>
      </c>
      <c r="E852" s="216" t="s">
        <v>386</v>
      </c>
      <c r="F852" s="215" t="s">
        <v>387</v>
      </c>
      <c r="G852" s="262" t="s">
        <v>46</v>
      </c>
      <c r="H852" s="262" t="s">
        <v>54</v>
      </c>
      <c r="I852" s="262" t="s">
        <v>55</v>
      </c>
      <c r="J852" s="262">
        <f>SUM(J853:J855)</f>
        <v>0</v>
      </c>
      <c r="K852" s="217"/>
      <c r="L852" s="218">
        <v>261450</v>
      </c>
      <c r="M852" s="218"/>
      <c r="N852" s="218"/>
      <c r="O852" s="218"/>
      <c r="P852" s="218"/>
      <c r="Q852" s="218">
        <f>SUM(K852:P852)</f>
        <v>261450</v>
      </c>
      <c r="R852" s="263" t="s">
        <v>38</v>
      </c>
      <c r="S852" s="266" t="s">
        <v>115</v>
      </c>
      <c r="T852" s="229"/>
    </row>
    <row r="853" spans="1:29" ht="26.1" hidden="1" customHeight="1">
      <c r="A853" s="208"/>
      <c r="B853" s="211"/>
      <c r="C853" s="211"/>
      <c r="D853" s="212"/>
      <c r="E853" s="210" t="str">
        <f>IFERROR(VLOOKUP($T853,공사현장대장!$A$5:$T$330,4),"")</f>
        <v/>
      </c>
      <c r="F853" s="212"/>
      <c r="G853" s="265"/>
      <c r="H853" s="265"/>
      <c r="I853" s="265"/>
      <c r="J853" s="265" t="str">
        <f>IFERROR(ROUND(VLOOKUP($T853,공사현장대장!$A$5:$T$330,9)/1000,0),"")</f>
        <v/>
      </c>
      <c r="K853" s="225"/>
      <c r="L853" s="209"/>
      <c r="M853" s="209"/>
      <c r="N853" s="209"/>
      <c r="O853" s="209"/>
      <c r="P853" s="209"/>
      <c r="Q853" s="209"/>
      <c r="R853" s="263" t="s">
        <v>38</v>
      </c>
      <c r="S853" s="266" t="s">
        <v>115</v>
      </c>
      <c r="T853" s="229"/>
    </row>
    <row r="854" spans="1:29" ht="26.1" hidden="1" customHeight="1">
      <c r="A854" s="208"/>
      <c r="B854" s="211"/>
      <c r="C854" s="211"/>
      <c r="D854" s="212"/>
      <c r="E854" s="210" t="str">
        <f>IFERROR(VLOOKUP($T854,공사현장대장!$A$5:$T$330,4),"")</f>
        <v/>
      </c>
      <c r="F854" s="212"/>
      <c r="G854" s="265"/>
      <c r="H854" s="265"/>
      <c r="I854" s="265"/>
      <c r="J854" s="265" t="str">
        <f>IFERROR(ROUND(VLOOKUP($T854,공사현장대장!$A$5:$T$330,9)/1000,0),"")</f>
        <v/>
      </c>
      <c r="K854" s="225"/>
      <c r="L854" s="209"/>
      <c r="M854" s="209"/>
      <c r="N854" s="209"/>
      <c r="O854" s="209"/>
      <c r="P854" s="209"/>
      <c r="Q854" s="209"/>
      <c r="R854" s="263" t="s">
        <v>38</v>
      </c>
      <c r="S854" s="266" t="s">
        <v>115</v>
      </c>
      <c r="T854" s="229"/>
    </row>
    <row r="855" spans="1:29" ht="26.1" hidden="1" customHeight="1">
      <c r="A855" s="208"/>
      <c r="B855" s="211"/>
      <c r="C855" s="211"/>
      <c r="D855" s="212"/>
      <c r="E855" s="210" t="str">
        <f>IFERROR(VLOOKUP($T855,공사현장대장!$A$5:$T$330,4),"")</f>
        <v/>
      </c>
      <c r="F855" s="212"/>
      <c r="G855" s="265"/>
      <c r="H855" s="265"/>
      <c r="I855" s="265"/>
      <c r="J855" s="265" t="str">
        <f>IFERROR(ROUND(VLOOKUP($T855,공사현장대장!$A$5:$T$330,9)/1000,0),"")</f>
        <v/>
      </c>
      <c r="K855" s="225"/>
      <c r="L855" s="209"/>
      <c r="M855" s="209"/>
      <c r="N855" s="209"/>
      <c r="O855" s="209"/>
      <c r="P855" s="209"/>
      <c r="Q855" s="209"/>
      <c r="R855" s="263" t="s">
        <v>38</v>
      </c>
      <c r="S855" s="266" t="s">
        <v>115</v>
      </c>
      <c r="T855" s="229"/>
    </row>
    <row r="856" spans="1:29" ht="26.1" hidden="1" customHeight="1">
      <c r="A856" s="324" t="s">
        <v>40</v>
      </c>
      <c r="B856" s="325"/>
      <c r="C856" s="325"/>
      <c r="D856" s="325"/>
      <c r="E856" s="326"/>
      <c r="F856" s="226"/>
      <c r="G856" s="267"/>
      <c r="H856" s="267"/>
      <c r="I856" s="267"/>
      <c r="J856" s="267"/>
      <c r="K856" s="227">
        <f t="shared" ref="K856:Q856" si="169">SUM(K852-SUM(K853:K855))</f>
        <v>0</v>
      </c>
      <c r="L856" s="227">
        <f t="shared" si="169"/>
        <v>261450</v>
      </c>
      <c r="M856" s="227">
        <f t="shared" si="169"/>
        <v>0</v>
      </c>
      <c r="N856" s="227">
        <f t="shared" si="169"/>
        <v>0</v>
      </c>
      <c r="O856" s="227">
        <f t="shared" si="169"/>
        <v>0</v>
      </c>
      <c r="P856" s="227">
        <f t="shared" si="169"/>
        <v>0</v>
      </c>
      <c r="Q856" s="227">
        <f t="shared" si="169"/>
        <v>261450</v>
      </c>
      <c r="R856" s="268" t="s">
        <v>38</v>
      </c>
      <c r="S856" s="269" t="s">
        <v>115</v>
      </c>
      <c r="T856" s="230"/>
    </row>
    <row r="857" spans="1:29" ht="26.1" hidden="1" customHeight="1">
      <c r="A857" s="213" t="s">
        <v>29</v>
      </c>
      <c r="B857" s="214" t="s">
        <v>384</v>
      </c>
      <c r="C857" s="214" t="s">
        <v>31</v>
      </c>
      <c r="D857" s="215" t="s">
        <v>385</v>
      </c>
      <c r="E857" s="216" t="s">
        <v>388</v>
      </c>
      <c r="F857" s="215" t="s">
        <v>387</v>
      </c>
      <c r="G857" s="262" t="s">
        <v>46</v>
      </c>
      <c r="H857" s="262" t="s">
        <v>54</v>
      </c>
      <c r="I857" s="262" t="s">
        <v>55</v>
      </c>
      <c r="J857" s="262">
        <f>SUM(J858:J860)</f>
        <v>0</v>
      </c>
      <c r="K857" s="217"/>
      <c r="L857" s="218">
        <v>-261450</v>
      </c>
      <c r="M857" s="218"/>
      <c r="N857" s="218"/>
      <c r="O857" s="218"/>
      <c r="P857" s="218"/>
      <c r="Q857" s="218">
        <f>SUM(K857:P857)</f>
        <v>-261450</v>
      </c>
      <c r="R857" s="270" t="s">
        <v>41</v>
      </c>
      <c r="S857" s="266" t="s">
        <v>115</v>
      </c>
      <c r="T857" s="229"/>
      <c r="V857" s="241" t="str">
        <f>B857</f>
        <v>고</v>
      </c>
      <c r="W857" s="241" t="str">
        <f>C857</f>
        <v>공립</v>
      </c>
      <c r="X857" s="241" t="str">
        <f>D857</f>
        <v>강원생활과학고</v>
      </c>
      <c r="Y857" s="241" t="str">
        <f>E857</f>
        <v xml:space="preserve"> 다목적실 드라이비트개선</v>
      </c>
      <c r="Z857" s="241" t="str">
        <f>F857</f>
        <v>747㎡</v>
      </c>
      <c r="AA857" s="244">
        <f>Q857</f>
        <v>-261450</v>
      </c>
      <c r="AB857" s="271" t="str">
        <f>R857</f>
        <v>1회추경</v>
      </c>
      <c r="AC857" s="241">
        <v>420</v>
      </c>
    </row>
    <row r="858" spans="1:29" ht="26.1" hidden="1" customHeight="1">
      <c r="A858" s="208"/>
      <c r="B858" s="211"/>
      <c r="C858" s="211"/>
      <c r="D858" s="212"/>
      <c r="E858" s="210" t="str">
        <f>IFERROR(VLOOKUP($T858,공사현장대장!$A$5:$T$330,4),"")</f>
        <v/>
      </c>
      <c r="F858" s="212"/>
      <c r="G858" s="265"/>
      <c r="H858" s="265"/>
      <c r="I858" s="265"/>
      <c r="J858" s="265" t="str">
        <f>IFERROR(ROUND(VLOOKUP($T858,공사현장대장!$A$5:$T$330,9)/1000,0),"")</f>
        <v/>
      </c>
      <c r="K858" s="225"/>
      <c r="L858" s="209"/>
      <c r="M858" s="209"/>
      <c r="N858" s="209"/>
      <c r="O858" s="209"/>
      <c r="P858" s="209"/>
      <c r="Q858" s="209"/>
      <c r="R858" s="263" t="s">
        <v>41</v>
      </c>
      <c r="S858" s="266" t="s">
        <v>115</v>
      </c>
      <c r="T858" s="229"/>
      <c r="AA858" s="244"/>
      <c r="AB858" s="271"/>
    </row>
    <row r="859" spans="1:29" ht="26.1" hidden="1" customHeight="1">
      <c r="A859" s="208"/>
      <c r="B859" s="211"/>
      <c r="C859" s="211"/>
      <c r="D859" s="212"/>
      <c r="E859" s="210" t="str">
        <f>IFERROR(VLOOKUP($T859,공사현장대장!$A$5:$T$330,4),"")</f>
        <v/>
      </c>
      <c r="F859" s="212"/>
      <c r="G859" s="265"/>
      <c r="H859" s="265"/>
      <c r="I859" s="265"/>
      <c r="J859" s="265" t="str">
        <f>IFERROR(ROUND(VLOOKUP($T859,공사현장대장!$A$5:$T$330,9)/1000,0),"")</f>
        <v/>
      </c>
      <c r="K859" s="225"/>
      <c r="L859" s="209"/>
      <c r="M859" s="209"/>
      <c r="N859" s="209"/>
      <c r="O859" s="209"/>
      <c r="P859" s="209"/>
      <c r="Q859" s="209"/>
      <c r="R859" s="263" t="s">
        <v>41</v>
      </c>
      <c r="S859" s="266" t="s">
        <v>115</v>
      </c>
      <c r="T859" s="229"/>
      <c r="AA859" s="244"/>
      <c r="AB859" s="271"/>
    </row>
    <row r="860" spans="1:29" ht="26.1" hidden="1" customHeight="1">
      <c r="A860" s="208"/>
      <c r="B860" s="211"/>
      <c r="C860" s="211"/>
      <c r="D860" s="212"/>
      <c r="E860" s="210" t="str">
        <f>IFERROR(VLOOKUP($T860,공사현장대장!$A$5:$T$330,4),"")</f>
        <v/>
      </c>
      <c r="F860" s="212"/>
      <c r="G860" s="265"/>
      <c r="H860" s="265"/>
      <c r="I860" s="265"/>
      <c r="J860" s="265" t="str">
        <f>IFERROR(ROUND(VLOOKUP($T860,공사현장대장!$A$5:$T$330,9)/1000,0),"")</f>
        <v/>
      </c>
      <c r="K860" s="225"/>
      <c r="L860" s="209"/>
      <c r="M860" s="209"/>
      <c r="N860" s="209"/>
      <c r="O860" s="209"/>
      <c r="P860" s="209"/>
      <c r="Q860" s="209"/>
      <c r="R860" s="263" t="s">
        <v>41</v>
      </c>
      <c r="S860" s="266" t="s">
        <v>115</v>
      </c>
      <c r="T860" s="229"/>
      <c r="AA860" s="244"/>
      <c r="AB860" s="271"/>
    </row>
    <row r="861" spans="1:29" ht="26.1" hidden="1" customHeight="1">
      <c r="A861" s="324" t="s">
        <v>40</v>
      </c>
      <c r="B861" s="325"/>
      <c r="C861" s="325"/>
      <c r="D861" s="325"/>
      <c r="E861" s="326"/>
      <c r="F861" s="226"/>
      <c r="G861" s="267"/>
      <c r="H861" s="267"/>
      <c r="I861" s="267"/>
      <c r="J861" s="267"/>
      <c r="K861" s="227">
        <f t="shared" ref="K861:Q861" si="170">SUM(K857-SUM(K858:K860))</f>
        <v>0</v>
      </c>
      <c r="L861" s="227">
        <f t="shared" si="170"/>
        <v>-261450</v>
      </c>
      <c r="M861" s="227">
        <f t="shared" si="170"/>
        <v>0</v>
      </c>
      <c r="N861" s="227">
        <f t="shared" si="170"/>
        <v>0</v>
      </c>
      <c r="O861" s="227">
        <f t="shared" si="170"/>
        <v>0</v>
      </c>
      <c r="P861" s="227">
        <f t="shared" si="170"/>
        <v>0</v>
      </c>
      <c r="Q861" s="227">
        <f t="shared" si="170"/>
        <v>-261450</v>
      </c>
      <c r="R861" s="268" t="s">
        <v>41</v>
      </c>
      <c r="S861" s="269" t="s">
        <v>115</v>
      </c>
      <c r="T861" s="230"/>
      <c r="AA861" s="244"/>
      <c r="AB861" s="271"/>
    </row>
    <row r="862" spans="1:29" ht="26.1" hidden="1" customHeight="1">
      <c r="A862" s="213" t="s">
        <v>29</v>
      </c>
      <c r="B862" s="214" t="s">
        <v>384</v>
      </c>
      <c r="C862" s="214" t="s">
        <v>31</v>
      </c>
      <c r="D862" s="215" t="s">
        <v>385</v>
      </c>
      <c r="E862" s="216" t="s">
        <v>389</v>
      </c>
      <c r="F862" s="215" t="s">
        <v>390</v>
      </c>
      <c r="G862" s="262" t="s">
        <v>46</v>
      </c>
      <c r="H862" s="262" t="s">
        <v>361</v>
      </c>
      <c r="I862" s="262" t="s">
        <v>362</v>
      </c>
      <c r="J862" s="262">
        <f>SUM(J863:J865)</f>
        <v>0</v>
      </c>
      <c r="K862" s="217"/>
      <c r="L862" s="218">
        <v>629582</v>
      </c>
      <c r="M862" s="218"/>
      <c r="N862" s="218"/>
      <c r="O862" s="218"/>
      <c r="P862" s="218"/>
      <c r="Q862" s="218">
        <f>SUM(K862:P862)</f>
        <v>629582</v>
      </c>
      <c r="R862" s="263" t="s">
        <v>38</v>
      </c>
      <c r="S862" s="266" t="s">
        <v>115</v>
      </c>
      <c r="T862" s="229"/>
    </row>
    <row r="863" spans="1:29" ht="26.1" hidden="1" customHeight="1">
      <c r="A863" s="208"/>
      <c r="B863" s="211"/>
      <c r="C863" s="211"/>
      <c r="D863" s="212"/>
      <c r="E863" s="210" t="str">
        <f>IFERROR(VLOOKUP($T863,공사현장대장!$A$5:$T$330,4),"")</f>
        <v/>
      </c>
      <c r="F863" s="212"/>
      <c r="G863" s="265"/>
      <c r="H863" s="265"/>
      <c r="I863" s="265"/>
      <c r="J863" s="265" t="str">
        <f>IFERROR(ROUND(VLOOKUP($T863,공사현장대장!$A$5:$T$330,9)/1000,0),"")</f>
        <v/>
      </c>
      <c r="K863" s="225"/>
      <c r="L863" s="209"/>
      <c r="M863" s="209"/>
      <c r="N863" s="209"/>
      <c r="O863" s="209"/>
      <c r="P863" s="209"/>
      <c r="Q863" s="209"/>
      <c r="R863" s="263" t="s">
        <v>38</v>
      </c>
      <c r="S863" s="266" t="s">
        <v>115</v>
      </c>
      <c r="T863" s="229"/>
    </row>
    <row r="864" spans="1:29" ht="26.1" hidden="1" customHeight="1">
      <c r="A864" s="208"/>
      <c r="B864" s="211"/>
      <c r="C864" s="211"/>
      <c r="D864" s="212"/>
      <c r="E864" s="210" t="str">
        <f>IFERROR(VLOOKUP($T864,공사현장대장!$A$5:$T$330,4),"")</f>
        <v/>
      </c>
      <c r="F864" s="212"/>
      <c r="G864" s="265"/>
      <c r="H864" s="265"/>
      <c r="I864" s="265"/>
      <c r="J864" s="265" t="str">
        <f>IFERROR(ROUND(VLOOKUP($T864,공사현장대장!$A$5:$T$330,9)/1000,0),"")</f>
        <v/>
      </c>
      <c r="K864" s="225"/>
      <c r="L864" s="209"/>
      <c r="M864" s="209"/>
      <c r="N864" s="209"/>
      <c r="O864" s="209"/>
      <c r="P864" s="209"/>
      <c r="Q864" s="209"/>
      <c r="R864" s="263" t="s">
        <v>38</v>
      </c>
      <c r="S864" s="266" t="s">
        <v>115</v>
      </c>
      <c r="T864" s="229"/>
    </row>
    <row r="865" spans="1:20" ht="26.1" hidden="1" customHeight="1">
      <c r="A865" s="208"/>
      <c r="B865" s="211"/>
      <c r="C865" s="211"/>
      <c r="D865" s="212"/>
      <c r="E865" s="210" t="str">
        <f>IFERROR(VLOOKUP($T865,공사현장대장!$A$5:$T$330,4),"")</f>
        <v/>
      </c>
      <c r="F865" s="212"/>
      <c r="G865" s="265"/>
      <c r="H865" s="265"/>
      <c r="I865" s="265"/>
      <c r="J865" s="265" t="str">
        <f>IFERROR(ROUND(VLOOKUP($T865,공사현장대장!$A$5:$T$330,9)/1000,0),"")</f>
        <v/>
      </c>
      <c r="K865" s="225"/>
      <c r="L865" s="209"/>
      <c r="M865" s="209"/>
      <c r="N865" s="209"/>
      <c r="O865" s="209"/>
      <c r="P865" s="209"/>
      <c r="Q865" s="209"/>
      <c r="R865" s="263" t="s">
        <v>38</v>
      </c>
      <c r="S865" s="266" t="s">
        <v>115</v>
      </c>
      <c r="T865" s="229"/>
    </row>
    <row r="866" spans="1:20" ht="26.1" hidden="1" customHeight="1">
      <c r="A866" s="324" t="s">
        <v>40</v>
      </c>
      <c r="B866" s="325"/>
      <c r="C866" s="325"/>
      <c r="D866" s="325"/>
      <c r="E866" s="326"/>
      <c r="F866" s="226"/>
      <c r="G866" s="267"/>
      <c r="H866" s="267"/>
      <c r="I866" s="267"/>
      <c r="J866" s="267"/>
      <c r="K866" s="227">
        <f t="shared" ref="K866:Q866" si="171">SUM(K862-SUM(K863:K865))</f>
        <v>0</v>
      </c>
      <c r="L866" s="227">
        <f t="shared" si="171"/>
        <v>629582</v>
      </c>
      <c r="M866" s="227">
        <f t="shared" si="171"/>
        <v>0</v>
      </c>
      <c r="N866" s="227">
        <f t="shared" si="171"/>
        <v>0</v>
      </c>
      <c r="O866" s="227">
        <f t="shared" si="171"/>
        <v>0</v>
      </c>
      <c r="P866" s="227">
        <f t="shared" si="171"/>
        <v>0</v>
      </c>
      <c r="Q866" s="227">
        <f t="shared" si="171"/>
        <v>629582</v>
      </c>
      <c r="R866" s="268" t="s">
        <v>38</v>
      </c>
      <c r="S866" s="269" t="s">
        <v>115</v>
      </c>
      <c r="T866" s="230"/>
    </row>
    <row r="867" spans="1:20" ht="26.1" hidden="1" customHeight="1">
      <c r="A867" s="213" t="s">
        <v>29</v>
      </c>
      <c r="B867" s="214" t="s">
        <v>384</v>
      </c>
      <c r="C867" s="214" t="s">
        <v>31</v>
      </c>
      <c r="D867" s="215" t="s">
        <v>385</v>
      </c>
      <c r="E867" s="216" t="s">
        <v>391</v>
      </c>
      <c r="F867" s="215" t="s">
        <v>392</v>
      </c>
      <c r="G867" s="262" t="s">
        <v>46</v>
      </c>
      <c r="H867" s="262" t="s">
        <v>361</v>
      </c>
      <c r="I867" s="262" t="s">
        <v>362</v>
      </c>
      <c r="J867" s="262">
        <f>SUM(J868:J870)</f>
        <v>0</v>
      </c>
      <c r="K867" s="217"/>
      <c r="L867" s="218">
        <v>566794</v>
      </c>
      <c r="M867" s="218"/>
      <c r="N867" s="218"/>
      <c r="O867" s="218"/>
      <c r="P867" s="218"/>
      <c r="Q867" s="218">
        <f>SUM(K867:P867)</f>
        <v>566794</v>
      </c>
      <c r="R867" s="263" t="s">
        <v>38</v>
      </c>
      <c r="S867" s="266" t="s">
        <v>115</v>
      </c>
      <c r="T867" s="229"/>
    </row>
    <row r="868" spans="1:20" ht="26.1" hidden="1" customHeight="1">
      <c r="A868" s="208"/>
      <c r="B868" s="211"/>
      <c r="C868" s="211"/>
      <c r="D868" s="212"/>
      <c r="E868" s="210" t="str">
        <f>IFERROR(VLOOKUP($T868,공사현장대장!$A$5:$T$330,4),"")</f>
        <v/>
      </c>
      <c r="F868" s="212"/>
      <c r="G868" s="265"/>
      <c r="H868" s="265"/>
      <c r="I868" s="265"/>
      <c r="J868" s="265" t="str">
        <f>IFERROR(ROUND(VLOOKUP($T868,공사현장대장!$A$5:$T$330,9)/1000,0),"")</f>
        <v/>
      </c>
      <c r="K868" s="225"/>
      <c r="L868" s="209"/>
      <c r="M868" s="209"/>
      <c r="N868" s="209"/>
      <c r="O868" s="209"/>
      <c r="P868" s="209"/>
      <c r="Q868" s="209"/>
      <c r="R868" s="263" t="s">
        <v>38</v>
      </c>
      <c r="S868" s="266" t="s">
        <v>115</v>
      </c>
      <c r="T868" s="229"/>
    </row>
    <row r="869" spans="1:20" ht="26.1" hidden="1" customHeight="1">
      <c r="A869" s="208"/>
      <c r="B869" s="211"/>
      <c r="C869" s="211"/>
      <c r="D869" s="212"/>
      <c r="E869" s="210" t="str">
        <f>IFERROR(VLOOKUP($T869,공사현장대장!$A$5:$T$330,4),"")</f>
        <v/>
      </c>
      <c r="F869" s="212"/>
      <c r="G869" s="265"/>
      <c r="H869" s="265"/>
      <c r="I869" s="265"/>
      <c r="J869" s="265" t="str">
        <f>IFERROR(ROUND(VLOOKUP($T869,공사현장대장!$A$5:$T$330,9)/1000,0),"")</f>
        <v/>
      </c>
      <c r="K869" s="225"/>
      <c r="L869" s="209"/>
      <c r="M869" s="209"/>
      <c r="N869" s="209"/>
      <c r="O869" s="209"/>
      <c r="P869" s="209"/>
      <c r="Q869" s="209"/>
      <c r="R869" s="263" t="s">
        <v>38</v>
      </c>
      <c r="S869" s="266" t="s">
        <v>115</v>
      </c>
      <c r="T869" s="229"/>
    </row>
    <row r="870" spans="1:20" ht="26.1" hidden="1" customHeight="1">
      <c r="A870" s="208"/>
      <c r="B870" s="211"/>
      <c r="C870" s="211"/>
      <c r="D870" s="212"/>
      <c r="E870" s="210" t="str">
        <f>IFERROR(VLOOKUP($T870,공사현장대장!$A$5:$T$330,4),"")</f>
        <v/>
      </c>
      <c r="F870" s="212"/>
      <c r="G870" s="265"/>
      <c r="H870" s="265"/>
      <c r="I870" s="265"/>
      <c r="J870" s="265" t="str">
        <f>IFERROR(ROUND(VLOOKUP($T870,공사현장대장!$A$5:$T$330,9)/1000,0),"")</f>
        <v/>
      </c>
      <c r="K870" s="225"/>
      <c r="L870" s="209"/>
      <c r="M870" s="209"/>
      <c r="N870" s="209"/>
      <c r="O870" s="209"/>
      <c r="P870" s="209"/>
      <c r="Q870" s="209"/>
      <c r="R870" s="263" t="s">
        <v>38</v>
      </c>
      <c r="S870" s="266" t="s">
        <v>115</v>
      </c>
      <c r="T870" s="229"/>
    </row>
    <row r="871" spans="1:20" ht="26.1" hidden="1" customHeight="1">
      <c r="A871" s="324" t="s">
        <v>40</v>
      </c>
      <c r="B871" s="325"/>
      <c r="C871" s="325"/>
      <c r="D871" s="325"/>
      <c r="E871" s="326"/>
      <c r="F871" s="226"/>
      <c r="G871" s="267"/>
      <c r="H871" s="267"/>
      <c r="I871" s="267"/>
      <c r="J871" s="267"/>
      <c r="K871" s="227">
        <f t="shared" ref="K871:Q871" si="172">SUM(K867-SUM(K868:K870))</f>
        <v>0</v>
      </c>
      <c r="L871" s="227">
        <f t="shared" si="172"/>
        <v>566794</v>
      </c>
      <c r="M871" s="227">
        <f t="shared" si="172"/>
        <v>0</v>
      </c>
      <c r="N871" s="227">
        <f t="shared" si="172"/>
        <v>0</v>
      </c>
      <c r="O871" s="227">
        <f t="shared" si="172"/>
        <v>0</v>
      </c>
      <c r="P871" s="227">
        <f t="shared" si="172"/>
        <v>0</v>
      </c>
      <c r="Q871" s="227">
        <f t="shared" si="172"/>
        <v>566794</v>
      </c>
      <c r="R871" s="268" t="s">
        <v>38</v>
      </c>
      <c r="S871" s="269" t="s">
        <v>115</v>
      </c>
      <c r="T871" s="230"/>
    </row>
    <row r="872" spans="1:20" ht="26.1" hidden="1" customHeight="1">
      <c r="A872" s="213" t="s">
        <v>29</v>
      </c>
      <c r="B872" s="214" t="s">
        <v>384</v>
      </c>
      <c r="C872" s="214" t="s">
        <v>31</v>
      </c>
      <c r="D872" s="215" t="s">
        <v>385</v>
      </c>
      <c r="E872" s="216" t="s">
        <v>393</v>
      </c>
      <c r="F872" s="215" t="s">
        <v>394</v>
      </c>
      <c r="G872" s="262" t="s">
        <v>46</v>
      </c>
      <c r="H872" s="262" t="s">
        <v>47</v>
      </c>
      <c r="I872" s="262" t="s">
        <v>48</v>
      </c>
      <c r="J872" s="262">
        <f>SUM(J873:J875)</f>
        <v>0</v>
      </c>
      <c r="K872" s="217"/>
      <c r="L872" s="218"/>
      <c r="M872" s="218"/>
      <c r="N872" s="218"/>
      <c r="O872" s="218"/>
      <c r="P872" s="218">
        <v>12880</v>
      </c>
      <c r="Q872" s="218">
        <f>SUM(K872:P872)</f>
        <v>12880</v>
      </c>
      <c r="R872" s="263" t="s">
        <v>38</v>
      </c>
      <c r="S872" s="266" t="s">
        <v>115</v>
      </c>
      <c r="T872" s="229"/>
    </row>
    <row r="873" spans="1:20" ht="26.1" hidden="1" customHeight="1">
      <c r="A873" s="208"/>
      <c r="B873" s="211"/>
      <c r="C873" s="211"/>
      <c r="D873" s="212"/>
      <c r="E873" s="210" t="str">
        <f>IFERROR(VLOOKUP($T873,공사현장대장!$A$5:$T$330,4),"")</f>
        <v/>
      </c>
      <c r="F873" s="212"/>
      <c r="G873" s="265"/>
      <c r="H873" s="265"/>
      <c r="I873" s="265"/>
      <c r="J873" s="265" t="str">
        <f>IFERROR(ROUND(VLOOKUP($T873,공사현장대장!$A$5:$T$330,9)/1000,0),"")</f>
        <v/>
      </c>
      <c r="K873" s="225"/>
      <c r="L873" s="209"/>
      <c r="M873" s="209"/>
      <c r="N873" s="209"/>
      <c r="O873" s="209"/>
      <c r="P873" s="209"/>
      <c r="Q873" s="209"/>
      <c r="R873" s="263" t="s">
        <v>38</v>
      </c>
      <c r="S873" s="266" t="s">
        <v>115</v>
      </c>
      <c r="T873" s="229"/>
    </row>
    <row r="874" spans="1:20" ht="26.1" hidden="1" customHeight="1">
      <c r="A874" s="208"/>
      <c r="B874" s="211"/>
      <c r="C874" s="211"/>
      <c r="D874" s="212"/>
      <c r="E874" s="210" t="str">
        <f>IFERROR(VLOOKUP($T874,공사현장대장!$A$5:$T$330,4),"")</f>
        <v/>
      </c>
      <c r="F874" s="212"/>
      <c r="G874" s="265"/>
      <c r="H874" s="265"/>
      <c r="I874" s="265"/>
      <c r="J874" s="265" t="str">
        <f>IFERROR(ROUND(VLOOKUP($T874,공사현장대장!$A$5:$T$330,9)/1000,0),"")</f>
        <v/>
      </c>
      <c r="K874" s="225"/>
      <c r="L874" s="209"/>
      <c r="M874" s="209"/>
      <c r="N874" s="209"/>
      <c r="O874" s="209"/>
      <c r="P874" s="209"/>
      <c r="Q874" s="209"/>
      <c r="R874" s="263" t="s">
        <v>38</v>
      </c>
      <c r="S874" s="266" t="s">
        <v>115</v>
      </c>
      <c r="T874" s="229"/>
    </row>
    <row r="875" spans="1:20" ht="26.1" hidden="1" customHeight="1">
      <c r="A875" s="208"/>
      <c r="B875" s="211"/>
      <c r="C875" s="211"/>
      <c r="D875" s="212"/>
      <c r="E875" s="210" t="str">
        <f>IFERROR(VLOOKUP($T875,공사현장대장!$A$5:$T$330,4),"")</f>
        <v/>
      </c>
      <c r="F875" s="212"/>
      <c r="G875" s="265"/>
      <c r="H875" s="265"/>
      <c r="I875" s="265"/>
      <c r="J875" s="265" t="str">
        <f>IFERROR(ROUND(VLOOKUP($T875,공사현장대장!$A$5:$T$330,9)/1000,0),"")</f>
        <v/>
      </c>
      <c r="K875" s="225"/>
      <c r="L875" s="209"/>
      <c r="M875" s="209"/>
      <c r="N875" s="209"/>
      <c r="O875" s="209"/>
      <c r="P875" s="209"/>
      <c r="Q875" s="209"/>
      <c r="R875" s="263" t="s">
        <v>38</v>
      </c>
      <c r="S875" s="266" t="s">
        <v>115</v>
      </c>
      <c r="T875" s="229"/>
    </row>
    <row r="876" spans="1:20" ht="26.1" hidden="1" customHeight="1">
      <c r="A876" s="324" t="s">
        <v>40</v>
      </c>
      <c r="B876" s="325"/>
      <c r="C876" s="325"/>
      <c r="D876" s="325"/>
      <c r="E876" s="326"/>
      <c r="F876" s="226"/>
      <c r="G876" s="267"/>
      <c r="H876" s="267"/>
      <c r="I876" s="267"/>
      <c r="J876" s="267"/>
      <c r="K876" s="227">
        <f t="shared" ref="K876:Q876" si="173">SUM(K872-SUM(K873:K875))</f>
        <v>0</v>
      </c>
      <c r="L876" s="227">
        <f t="shared" si="173"/>
        <v>0</v>
      </c>
      <c r="M876" s="227">
        <f t="shared" si="173"/>
        <v>0</v>
      </c>
      <c r="N876" s="227">
        <f t="shared" si="173"/>
        <v>0</v>
      </c>
      <c r="O876" s="227">
        <f t="shared" si="173"/>
        <v>0</v>
      </c>
      <c r="P876" s="227">
        <f t="shared" si="173"/>
        <v>12880</v>
      </c>
      <c r="Q876" s="227">
        <f t="shared" si="173"/>
        <v>12880</v>
      </c>
      <c r="R876" s="268" t="s">
        <v>38</v>
      </c>
      <c r="S876" s="269" t="s">
        <v>115</v>
      </c>
      <c r="T876" s="230"/>
    </row>
    <row r="877" spans="1:20" ht="26.1" hidden="1" customHeight="1">
      <c r="A877" s="213" t="s">
        <v>29</v>
      </c>
      <c r="B877" s="214" t="s">
        <v>384</v>
      </c>
      <c r="C877" s="214" t="s">
        <v>31</v>
      </c>
      <c r="D877" s="215" t="s">
        <v>385</v>
      </c>
      <c r="E877" s="216" t="s">
        <v>125</v>
      </c>
      <c r="F877" s="215" t="s">
        <v>126</v>
      </c>
      <c r="G877" s="262" t="s">
        <v>127</v>
      </c>
      <c r="H877" s="262" t="s">
        <v>128</v>
      </c>
      <c r="I877" s="262" t="s">
        <v>125</v>
      </c>
      <c r="J877" s="262">
        <f>SUM(J878:J880)</f>
        <v>0</v>
      </c>
      <c r="K877" s="221"/>
      <c r="L877" s="222">
        <v>99747</v>
      </c>
      <c r="M877" s="222">
        <v>13035</v>
      </c>
      <c r="N877" s="222"/>
      <c r="O877" s="222"/>
      <c r="P877" s="222"/>
      <c r="Q877" s="223">
        <f>SUM(K877:P877)</f>
        <v>112782</v>
      </c>
      <c r="R877" s="273" t="s">
        <v>157</v>
      </c>
      <c r="S877" s="275"/>
      <c r="T877" s="231"/>
    </row>
    <row r="878" spans="1:20" ht="26.1" hidden="1" customHeight="1">
      <c r="A878" s="208"/>
      <c r="B878" s="211"/>
      <c r="C878" s="211"/>
      <c r="D878" s="212"/>
      <c r="E878" s="210" t="str">
        <f>IFERROR(VLOOKUP($T878,공사현장대장!$A$5:$T$330,4),"")</f>
        <v/>
      </c>
      <c r="F878" s="212"/>
      <c r="G878" s="265"/>
      <c r="H878" s="265"/>
      <c r="I878" s="265"/>
      <c r="J878" s="265" t="str">
        <f>IFERROR(ROUND(VLOOKUP($T878,공사현장대장!$A$5:$T$330,9)/1000,0),"")</f>
        <v/>
      </c>
      <c r="K878" s="225"/>
      <c r="L878" s="209"/>
      <c r="M878" s="209"/>
      <c r="N878" s="209"/>
      <c r="O878" s="209"/>
      <c r="P878" s="209"/>
      <c r="Q878" s="209"/>
      <c r="R878" s="263" t="s">
        <v>157</v>
      </c>
      <c r="S878" s="266"/>
      <c r="T878" s="229"/>
    </row>
    <row r="879" spans="1:20" ht="26.1" hidden="1" customHeight="1">
      <c r="A879" s="208"/>
      <c r="B879" s="211"/>
      <c r="C879" s="211"/>
      <c r="D879" s="212"/>
      <c r="E879" s="210" t="str">
        <f>IFERROR(VLOOKUP($T879,공사현장대장!$A$5:$T$330,4),"")</f>
        <v/>
      </c>
      <c r="F879" s="212"/>
      <c r="G879" s="265"/>
      <c r="H879" s="265"/>
      <c r="I879" s="265"/>
      <c r="J879" s="265" t="str">
        <f>IFERROR(ROUND(VLOOKUP($T879,공사현장대장!$A$5:$T$330,9)/1000,0),"")</f>
        <v/>
      </c>
      <c r="K879" s="225"/>
      <c r="L879" s="209"/>
      <c r="M879" s="209"/>
      <c r="N879" s="209"/>
      <c r="O879" s="209"/>
      <c r="P879" s="209"/>
      <c r="Q879" s="209"/>
      <c r="R879" s="263" t="s">
        <v>157</v>
      </c>
      <c r="S879" s="266"/>
      <c r="T879" s="229"/>
    </row>
    <row r="880" spans="1:20" ht="26.1" hidden="1" customHeight="1">
      <c r="A880" s="208"/>
      <c r="B880" s="211"/>
      <c r="C880" s="211"/>
      <c r="D880" s="212"/>
      <c r="E880" s="210" t="str">
        <f>IFERROR(VLOOKUP($T880,공사현장대장!$A$5:$T$330,4),"")</f>
        <v/>
      </c>
      <c r="F880" s="212"/>
      <c r="G880" s="265"/>
      <c r="H880" s="265"/>
      <c r="I880" s="265"/>
      <c r="J880" s="265" t="str">
        <f>IFERROR(ROUND(VLOOKUP($T880,공사현장대장!$A$5:$T$330,9)/1000,0),"")</f>
        <v/>
      </c>
      <c r="K880" s="225"/>
      <c r="L880" s="209"/>
      <c r="M880" s="209"/>
      <c r="N880" s="209"/>
      <c r="O880" s="209"/>
      <c r="P880" s="209"/>
      <c r="Q880" s="209"/>
      <c r="R880" s="263" t="s">
        <v>157</v>
      </c>
      <c r="S880" s="266"/>
      <c r="T880" s="229"/>
    </row>
    <row r="881" spans="1:20" ht="26.1" hidden="1" customHeight="1">
      <c r="A881" s="324" t="s">
        <v>40</v>
      </c>
      <c r="B881" s="325"/>
      <c r="C881" s="325"/>
      <c r="D881" s="325"/>
      <c r="E881" s="326"/>
      <c r="F881" s="226"/>
      <c r="G881" s="267"/>
      <c r="H881" s="267"/>
      <c r="I881" s="267"/>
      <c r="J881" s="267"/>
      <c r="K881" s="227">
        <f t="shared" ref="K881:Q881" si="174">SUM(K877-SUM(K878:K880))</f>
        <v>0</v>
      </c>
      <c r="L881" s="227">
        <f t="shared" si="174"/>
        <v>99747</v>
      </c>
      <c r="M881" s="227">
        <f t="shared" si="174"/>
        <v>13035</v>
      </c>
      <c r="N881" s="227">
        <f t="shared" si="174"/>
        <v>0</v>
      </c>
      <c r="O881" s="227">
        <f t="shared" si="174"/>
        <v>0</v>
      </c>
      <c r="P881" s="227">
        <f t="shared" si="174"/>
        <v>0</v>
      </c>
      <c r="Q881" s="227">
        <f t="shared" si="174"/>
        <v>112782</v>
      </c>
      <c r="R881" s="268" t="s">
        <v>157</v>
      </c>
      <c r="S881" s="269"/>
      <c r="T881" s="230"/>
    </row>
    <row r="882" spans="1:20" ht="26.1" hidden="1" customHeight="1">
      <c r="A882" s="213" t="s">
        <v>29</v>
      </c>
      <c r="B882" s="214" t="s">
        <v>384</v>
      </c>
      <c r="C882" s="214" t="s">
        <v>31</v>
      </c>
      <c r="D882" s="215" t="s">
        <v>395</v>
      </c>
      <c r="E882" s="216" t="s">
        <v>382</v>
      </c>
      <c r="F882" s="215" t="s">
        <v>396</v>
      </c>
      <c r="G882" s="262" t="s">
        <v>46</v>
      </c>
      <c r="H882" s="262" t="s">
        <v>361</v>
      </c>
      <c r="I882" s="262" t="s">
        <v>362</v>
      </c>
      <c r="J882" s="262">
        <f>SUM(J883:J885)</f>
        <v>0</v>
      </c>
      <c r="K882" s="217"/>
      <c r="L882" s="218">
        <v>502854</v>
      </c>
      <c r="M882" s="218"/>
      <c r="N882" s="218"/>
      <c r="O882" s="218"/>
      <c r="P882" s="218"/>
      <c r="Q882" s="218">
        <f>SUM(K882:P882)</f>
        <v>502854</v>
      </c>
      <c r="R882" s="263" t="s">
        <v>38</v>
      </c>
      <c r="S882" s="266" t="s">
        <v>84</v>
      </c>
      <c r="T882" s="229"/>
    </row>
    <row r="883" spans="1:20" ht="26.1" hidden="1" customHeight="1">
      <c r="A883" s="208"/>
      <c r="B883" s="211"/>
      <c r="C883" s="211"/>
      <c r="D883" s="212"/>
      <c r="E883" s="210" t="str">
        <f>IFERROR(VLOOKUP($T883,공사현장대장!$A$5:$T$330,4),"")</f>
        <v/>
      </c>
      <c r="F883" s="212"/>
      <c r="G883" s="265"/>
      <c r="H883" s="265"/>
      <c r="I883" s="265"/>
      <c r="J883" s="265" t="str">
        <f>IFERROR(ROUND(VLOOKUP($T883,공사현장대장!$A$5:$T$330,9)/1000,0),"")</f>
        <v/>
      </c>
      <c r="K883" s="225"/>
      <c r="L883" s="209"/>
      <c r="M883" s="209"/>
      <c r="N883" s="209"/>
      <c r="O883" s="209"/>
      <c r="P883" s="209"/>
      <c r="Q883" s="209"/>
      <c r="R883" s="263" t="s">
        <v>38</v>
      </c>
      <c r="S883" s="266" t="s">
        <v>84</v>
      </c>
      <c r="T883" s="229"/>
    </row>
    <row r="884" spans="1:20" ht="26.1" hidden="1" customHeight="1">
      <c r="A884" s="208"/>
      <c r="B884" s="211"/>
      <c r="C884" s="211"/>
      <c r="D884" s="212"/>
      <c r="E884" s="210" t="str">
        <f>IFERROR(VLOOKUP($T884,공사현장대장!$A$5:$T$330,4),"")</f>
        <v/>
      </c>
      <c r="F884" s="212"/>
      <c r="G884" s="265"/>
      <c r="H884" s="265"/>
      <c r="I884" s="265"/>
      <c r="J884" s="265" t="str">
        <f>IFERROR(ROUND(VLOOKUP($T884,공사현장대장!$A$5:$T$330,9)/1000,0),"")</f>
        <v/>
      </c>
      <c r="K884" s="225"/>
      <c r="L884" s="209"/>
      <c r="M884" s="209"/>
      <c r="N884" s="209"/>
      <c r="O884" s="209"/>
      <c r="P884" s="209"/>
      <c r="Q884" s="209"/>
      <c r="R884" s="263" t="s">
        <v>38</v>
      </c>
      <c r="S884" s="266" t="s">
        <v>84</v>
      </c>
      <c r="T884" s="229"/>
    </row>
    <row r="885" spans="1:20" ht="26.1" hidden="1" customHeight="1">
      <c r="A885" s="208"/>
      <c r="B885" s="211"/>
      <c r="C885" s="211"/>
      <c r="D885" s="212"/>
      <c r="E885" s="210" t="str">
        <f>IFERROR(VLOOKUP($T885,공사현장대장!$A$5:$T$330,4),"")</f>
        <v/>
      </c>
      <c r="F885" s="212"/>
      <c r="G885" s="265"/>
      <c r="H885" s="265"/>
      <c r="I885" s="265"/>
      <c r="J885" s="265" t="str">
        <f>IFERROR(ROUND(VLOOKUP($T885,공사현장대장!$A$5:$T$330,9)/1000,0),"")</f>
        <v/>
      </c>
      <c r="K885" s="225"/>
      <c r="L885" s="209"/>
      <c r="M885" s="209"/>
      <c r="N885" s="209"/>
      <c r="O885" s="209"/>
      <c r="P885" s="209"/>
      <c r="Q885" s="209"/>
      <c r="R885" s="263" t="s">
        <v>38</v>
      </c>
      <c r="S885" s="266" t="s">
        <v>84</v>
      </c>
      <c r="T885" s="229"/>
    </row>
    <row r="886" spans="1:20" ht="26.1" hidden="1" customHeight="1">
      <c r="A886" s="324" t="s">
        <v>40</v>
      </c>
      <c r="B886" s="325"/>
      <c r="C886" s="325"/>
      <c r="D886" s="325"/>
      <c r="E886" s="326"/>
      <c r="F886" s="226"/>
      <c r="G886" s="267"/>
      <c r="H886" s="267"/>
      <c r="I886" s="267"/>
      <c r="J886" s="267"/>
      <c r="K886" s="227">
        <f t="shared" ref="K886:Q886" si="175">SUM(K882-SUM(K883:K885))</f>
        <v>0</v>
      </c>
      <c r="L886" s="227">
        <f t="shared" si="175"/>
        <v>502854</v>
      </c>
      <c r="M886" s="227">
        <f t="shared" si="175"/>
        <v>0</v>
      </c>
      <c r="N886" s="227">
        <f t="shared" si="175"/>
        <v>0</v>
      </c>
      <c r="O886" s="227">
        <f t="shared" si="175"/>
        <v>0</v>
      </c>
      <c r="P886" s="227">
        <f t="shared" si="175"/>
        <v>0</v>
      </c>
      <c r="Q886" s="227">
        <f t="shared" si="175"/>
        <v>502854</v>
      </c>
      <c r="R886" s="268" t="s">
        <v>38</v>
      </c>
      <c r="S886" s="269" t="s">
        <v>84</v>
      </c>
      <c r="T886" s="230"/>
    </row>
    <row r="887" spans="1:20" ht="26.1" hidden="1" customHeight="1">
      <c r="A887" s="213" t="s">
        <v>29</v>
      </c>
      <c r="B887" s="214" t="s">
        <v>384</v>
      </c>
      <c r="C887" s="214" t="s">
        <v>351</v>
      </c>
      <c r="D887" s="215" t="s">
        <v>397</v>
      </c>
      <c r="E887" s="216" t="s">
        <v>398</v>
      </c>
      <c r="F887" s="215" t="s">
        <v>399</v>
      </c>
      <c r="G887" s="262" t="s">
        <v>46</v>
      </c>
      <c r="H887" s="262" t="s">
        <v>54</v>
      </c>
      <c r="I887" s="262" t="s">
        <v>55</v>
      </c>
      <c r="J887" s="262">
        <f>SUM(J888:J890)</f>
        <v>0</v>
      </c>
      <c r="K887" s="217"/>
      <c r="L887" s="218"/>
      <c r="M887" s="218"/>
      <c r="N887" s="218"/>
      <c r="O887" s="218"/>
      <c r="P887" s="218">
        <v>35000</v>
      </c>
      <c r="Q887" s="218">
        <f>SUM(K887:P887)</f>
        <v>35000</v>
      </c>
      <c r="R887" s="263" t="s">
        <v>38</v>
      </c>
      <c r="S887" s="266" t="s">
        <v>115</v>
      </c>
      <c r="T887" s="229"/>
    </row>
    <row r="888" spans="1:20" ht="26.1" hidden="1" customHeight="1">
      <c r="A888" s="208"/>
      <c r="B888" s="211"/>
      <c r="C888" s="211"/>
      <c r="D888" s="212"/>
      <c r="E888" s="210" t="str">
        <f>IFERROR(VLOOKUP($T888,공사현장대장!$A$5:$T$330,4),"")</f>
        <v/>
      </c>
      <c r="F888" s="212"/>
      <c r="G888" s="265"/>
      <c r="H888" s="265"/>
      <c r="I888" s="265"/>
      <c r="J888" s="265" t="str">
        <f>IFERROR(ROUND(VLOOKUP($T888,공사현장대장!$A$5:$T$330,9)/1000,0),"")</f>
        <v/>
      </c>
      <c r="K888" s="225"/>
      <c r="L888" s="209"/>
      <c r="M888" s="209"/>
      <c r="N888" s="209"/>
      <c r="O888" s="209"/>
      <c r="P888" s="209"/>
      <c r="Q888" s="209"/>
      <c r="R888" s="263" t="s">
        <v>38</v>
      </c>
      <c r="S888" s="266" t="s">
        <v>115</v>
      </c>
      <c r="T888" s="229"/>
    </row>
    <row r="889" spans="1:20" ht="26.1" hidden="1" customHeight="1">
      <c r="A889" s="208"/>
      <c r="B889" s="211"/>
      <c r="C889" s="211"/>
      <c r="D889" s="212"/>
      <c r="E889" s="210" t="str">
        <f>IFERROR(VLOOKUP($T889,공사현장대장!$A$5:$T$330,4),"")</f>
        <v/>
      </c>
      <c r="F889" s="212"/>
      <c r="G889" s="265"/>
      <c r="H889" s="265"/>
      <c r="I889" s="265"/>
      <c r="J889" s="265" t="str">
        <f>IFERROR(ROUND(VLOOKUP($T889,공사현장대장!$A$5:$T$330,9)/1000,0),"")</f>
        <v/>
      </c>
      <c r="K889" s="225"/>
      <c r="L889" s="209"/>
      <c r="M889" s="209"/>
      <c r="N889" s="209"/>
      <c r="O889" s="209"/>
      <c r="P889" s="209"/>
      <c r="Q889" s="209"/>
      <c r="R889" s="263" t="s">
        <v>38</v>
      </c>
      <c r="S889" s="266" t="s">
        <v>115</v>
      </c>
      <c r="T889" s="229"/>
    </row>
    <row r="890" spans="1:20" ht="26.1" hidden="1" customHeight="1">
      <c r="A890" s="208"/>
      <c r="B890" s="211"/>
      <c r="C890" s="211"/>
      <c r="D890" s="212"/>
      <c r="E890" s="210" t="str">
        <f>IFERROR(VLOOKUP($T890,공사현장대장!$A$5:$T$330,4),"")</f>
        <v/>
      </c>
      <c r="F890" s="212"/>
      <c r="G890" s="265"/>
      <c r="H890" s="265"/>
      <c r="I890" s="265"/>
      <c r="J890" s="265" t="str">
        <f>IFERROR(ROUND(VLOOKUP($T890,공사현장대장!$A$5:$T$330,9)/1000,0),"")</f>
        <v/>
      </c>
      <c r="K890" s="225"/>
      <c r="L890" s="209"/>
      <c r="M890" s="209"/>
      <c r="N890" s="209"/>
      <c r="O890" s="209"/>
      <c r="P890" s="209"/>
      <c r="Q890" s="209"/>
      <c r="R890" s="263" t="s">
        <v>38</v>
      </c>
      <c r="S890" s="266" t="s">
        <v>115</v>
      </c>
      <c r="T890" s="229"/>
    </row>
    <row r="891" spans="1:20" ht="26.1" hidden="1" customHeight="1">
      <c r="A891" s="324" t="s">
        <v>40</v>
      </c>
      <c r="B891" s="325"/>
      <c r="C891" s="325"/>
      <c r="D891" s="325"/>
      <c r="E891" s="326"/>
      <c r="F891" s="226"/>
      <c r="G891" s="267"/>
      <c r="H891" s="267"/>
      <c r="I891" s="267"/>
      <c r="J891" s="267"/>
      <c r="K891" s="227">
        <f t="shared" ref="K891:Q891" si="176">SUM(K887-SUM(K888:K890))</f>
        <v>0</v>
      </c>
      <c r="L891" s="227">
        <f t="shared" si="176"/>
        <v>0</v>
      </c>
      <c r="M891" s="227">
        <f t="shared" si="176"/>
        <v>0</v>
      </c>
      <c r="N891" s="227">
        <f t="shared" si="176"/>
        <v>0</v>
      </c>
      <c r="O891" s="227">
        <f t="shared" si="176"/>
        <v>0</v>
      </c>
      <c r="P891" s="227">
        <f t="shared" si="176"/>
        <v>35000</v>
      </c>
      <c r="Q891" s="227">
        <f t="shared" si="176"/>
        <v>35000</v>
      </c>
      <c r="R891" s="268" t="s">
        <v>38</v>
      </c>
      <c r="S891" s="269" t="s">
        <v>115</v>
      </c>
      <c r="T891" s="230"/>
    </row>
    <row r="892" spans="1:20" ht="26.1" hidden="1" customHeight="1">
      <c r="A892" s="213" t="s">
        <v>29</v>
      </c>
      <c r="B892" s="214" t="s">
        <v>384</v>
      </c>
      <c r="C892" s="214" t="s">
        <v>351</v>
      </c>
      <c r="D892" s="215" t="s">
        <v>397</v>
      </c>
      <c r="E892" s="216" t="s">
        <v>382</v>
      </c>
      <c r="F892" s="215" t="s">
        <v>400</v>
      </c>
      <c r="G892" s="262" t="s">
        <v>46</v>
      </c>
      <c r="H892" s="262" t="s">
        <v>361</v>
      </c>
      <c r="I892" s="262" t="s">
        <v>362</v>
      </c>
      <c r="J892" s="262">
        <f>SUM(J893:J895)</f>
        <v>0</v>
      </c>
      <c r="K892" s="217"/>
      <c r="L892" s="218"/>
      <c r="M892" s="218"/>
      <c r="N892" s="218"/>
      <c r="O892" s="218"/>
      <c r="P892" s="218">
        <v>339390</v>
      </c>
      <c r="Q892" s="218">
        <f>SUM(K892:P892)</f>
        <v>339390</v>
      </c>
      <c r="R892" s="263" t="s">
        <v>38</v>
      </c>
      <c r="S892" s="266" t="s">
        <v>115</v>
      </c>
      <c r="T892" s="229"/>
    </row>
    <row r="893" spans="1:20" ht="26.1" hidden="1" customHeight="1">
      <c r="A893" s="208"/>
      <c r="B893" s="211"/>
      <c r="C893" s="211"/>
      <c r="D893" s="212"/>
      <c r="E893" s="210" t="str">
        <f>IFERROR(VLOOKUP($T893,공사현장대장!$A$5:$T$330,4),"")</f>
        <v/>
      </c>
      <c r="F893" s="212"/>
      <c r="G893" s="265"/>
      <c r="H893" s="265"/>
      <c r="I893" s="265"/>
      <c r="J893" s="265" t="str">
        <f>IFERROR(ROUND(VLOOKUP($T893,공사현장대장!$A$5:$T$330,9)/1000,0),"")</f>
        <v/>
      </c>
      <c r="K893" s="225"/>
      <c r="L893" s="209"/>
      <c r="M893" s="209"/>
      <c r="N893" s="209"/>
      <c r="O893" s="209"/>
      <c r="P893" s="209"/>
      <c r="Q893" s="209"/>
      <c r="R893" s="263" t="s">
        <v>38</v>
      </c>
      <c r="S893" s="266" t="s">
        <v>115</v>
      </c>
      <c r="T893" s="229"/>
    </row>
    <row r="894" spans="1:20" ht="26.1" hidden="1" customHeight="1">
      <c r="A894" s="208"/>
      <c r="B894" s="211"/>
      <c r="C894" s="211"/>
      <c r="D894" s="212"/>
      <c r="E894" s="210" t="str">
        <f>IFERROR(VLOOKUP($T894,공사현장대장!$A$5:$T$330,4),"")</f>
        <v/>
      </c>
      <c r="F894" s="212"/>
      <c r="G894" s="265"/>
      <c r="H894" s="265"/>
      <c r="I894" s="265"/>
      <c r="J894" s="265" t="str">
        <f>IFERROR(ROUND(VLOOKUP($T894,공사현장대장!$A$5:$T$330,9)/1000,0),"")</f>
        <v/>
      </c>
      <c r="K894" s="225"/>
      <c r="L894" s="209"/>
      <c r="M894" s="209"/>
      <c r="N894" s="209"/>
      <c r="O894" s="209"/>
      <c r="P894" s="209"/>
      <c r="Q894" s="209"/>
      <c r="R894" s="263" t="s">
        <v>38</v>
      </c>
      <c r="S894" s="266" t="s">
        <v>115</v>
      </c>
      <c r="T894" s="229"/>
    </row>
    <row r="895" spans="1:20" ht="26.1" hidden="1" customHeight="1">
      <c r="A895" s="208"/>
      <c r="B895" s="211"/>
      <c r="C895" s="211"/>
      <c r="D895" s="212"/>
      <c r="E895" s="210" t="str">
        <f>IFERROR(VLOOKUP($T895,공사현장대장!$A$5:$T$330,4),"")</f>
        <v/>
      </c>
      <c r="F895" s="212"/>
      <c r="G895" s="265"/>
      <c r="H895" s="265"/>
      <c r="I895" s="265"/>
      <c r="J895" s="265" t="str">
        <f>IFERROR(ROUND(VLOOKUP($T895,공사현장대장!$A$5:$T$330,9)/1000,0),"")</f>
        <v/>
      </c>
      <c r="K895" s="225"/>
      <c r="L895" s="209"/>
      <c r="M895" s="209"/>
      <c r="N895" s="209"/>
      <c r="O895" s="209"/>
      <c r="P895" s="209"/>
      <c r="Q895" s="209"/>
      <c r="R895" s="263" t="s">
        <v>38</v>
      </c>
      <c r="S895" s="266" t="s">
        <v>115</v>
      </c>
      <c r="T895" s="229"/>
    </row>
    <row r="896" spans="1:20" ht="26.1" hidden="1" customHeight="1">
      <c r="A896" s="324" t="s">
        <v>40</v>
      </c>
      <c r="B896" s="325"/>
      <c r="C896" s="325"/>
      <c r="D896" s="325"/>
      <c r="E896" s="326"/>
      <c r="F896" s="226"/>
      <c r="G896" s="267"/>
      <c r="H896" s="267"/>
      <c r="I896" s="267"/>
      <c r="J896" s="267"/>
      <c r="K896" s="227">
        <f t="shared" ref="K896:Q896" si="177">SUM(K892-SUM(K893:K895))</f>
        <v>0</v>
      </c>
      <c r="L896" s="227">
        <f t="shared" si="177"/>
        <v>0</v>
      </c>
      <c r="M896" s="227">
        <f t="shared" si="177"/>
        <v>0</v>
      </c>
      <c r="N896" s="227">
        <f t="shared" si="177"/>
        <v>0</v>
      </c>
      <c r="O896" s="227">
        <f t="shared" si="177"/>
        <v>0</v>
      </c>
      <c r="P896" s="227">
        <f t="shared" si="177"/>
        <v>339390</v>
      </c>
      <c r="Q896" s="227">
        <f t="shared" si="177"/>
        <v>339390</v>
      </c>
      <c r="R896" s="268" t="s">
        <v>38</v>
      </c>
      <c r="S896" s="269" t="s">
        <v>115</v>
      </c>
      <c r="T896" s="230"/>
    </row>
    <row r="897" spans="1:20" ht="26.1" hidden="1" customHeight="1">
      <c r="A897" s="213" t="s">
        <v>29</v>
      </c>
      <c r="B897" s="214" t="s">
        <v>384</v>
      </c>
      <c r="C897" s="214" t="s">
        <v>351</v>
      </c>
      <c r="D897" s="215" t="s">
        <v>397</v>
      </c>
      <c r="E897" s="216" t="s">
        <v>401</v>
      </c>
      <c r="F897" s="215" t="s">
        <v>402</v>
      </c>
      <c r="G897" s="262" t="s">
        <v>46</v>
      </c>
      <c r="H897" s="262" t="s">
        <v>47</v>
      </c>
      <c r="I897" s="262" t="s">
        <v>48</v>
      </c>
      <c r="J897" s="262">
        <f>SUM(J898:J900)</f>
        <v>0</v>
      </c>
      <c r="K897" s="217"/>
      <c r="L897" s="218"/>
      <c r="M897" s="218"/>
      <c r="N897" s="218"/>
      <c r="O897" s="218"/>
      <c r="P897" s="218">
        <v>5080</v>
      </c>
      <c r="Q897" s="218">
        <f>SUM(K897:P897)</f>
        <v>5080</v>
      </c>
      <c r="R897" s="263" t="s">
        <v>38</v>
      </c>
      <c r="S897" s="266" t="s">
        <v>115</v>
      </c>
      <c r="T897" s="229"/>
    </row>
    <row r="898" spans="1:20" ht="26.1" hidden="1" customHeight="1">
      <c r="A898" s="208"/>
      <c r="B898" s="211"/>
      <c r="C898" s="211"/>
      <c r="D898" s="212"/>
      <c r="E898" s="210" t="str">
        <f>IFERROR(VLOOKUP($T898,공사현장대장!$A$5:$T$330,4),"")</f>
        <v/>
      </c>
      <c r="F898" s="212"/>
      <c r="G898" s="265"/>
      <c r="H898" s="265"/>
      <c r="I898" s="265"/>
      <c r="J898" s="265" t="str">
        <f>IFERROR(ROUND(VLOOKUP($T898,공사현장대장!$A$5:$T$330,9)/1000,0),"")</f>
        <v/>
      </c>
      <c r="K898" s="225"/>
      <c r="L898" s="209"/>
      <c r="M898" s="209"/>
      <c r="N898" s="209"/>
      <c r="O898" s="209"/>
      <c r="P898" s="209"/>
      <c r="Q898" s="209"/>
      <c r="R898" s="263" t="s">
        <v>38</v>
      </c>
      <c r="S898" s="266" t="s">
        <v>115</v>
      </c>
      <c r="T898" s="229"/>
    </row>
    <row r="899" spans="1:20" ht="26.1" hidden="1" customHeight="1">
      <c r="A899" s="208"/>
      <c r="B899" s="211"/>
      <c r="C899" s="211"/>
      <c r="D899" s="212"/>
      <c r="E899" s="210" t="str">
        <f>IFERROR(VLOOKUP($T899,공사현장대장!$A$5:$T$330,4),"")</f>
        <v/>
      </c>
      <c r="F899" s="212"/>
      <c r="G899" s="265"/>
      <c r="H899" s="265"/>
      <c r="I899" s="265"/>
      <c r="J899" s="265" t="str">
        <f>IFERROR(ROUND(VLOOKUP($T899,공사현장대장!$A$5:$T$330,9)/1000,0),"")</f>
        <v/>
      </c>
      <c r="K899" s="225"/>
      <c r="L899" s="209"/>
      <c r="M899" s="209"/>
      <c r="N899" s="209"/>
      <c r="O899" s="209"/>
      <c r="P899" s="209"/>
      <c r="Q899" s="209"/>
      <c r="R899" s="263" t="s">
        <v>38</v>
      </c>
      <c r="S899" s="266" t="s">
        <v>115</v>
      </c>
      <c r="T899" s="229"/>
    </row>
    <row r="900" spans="1:20" ht="26.1" hidden="1" customHeight="1">
      <c r="A900" s="208"/>
      <c r="B900" s="211"/>
      <c r="C900" s="211"/>
      <c r="D900" s="212"/>
      <c r="E900" s="210" t="str">
        <f>IFERROR(VLOOKUP($T900,공사현장대장!$A$5:$T$330,4),"")</f>
        <v/>
      </c>
      <c r="F900" s="212"/>
      <c r="G900" s="265"/>
      <c r="H900" s="265"/>
      <c r="I900" s="265"/>
      <c r="J900" s="265" t="str">
        <f>IFERROR(ROUND(VLOOKUP($T900,공사현장대장!$A$5:$T$330,9)/1000,0),"")</f>
        <v/>
      </c>
      <c r="K900" s="225"/>
      <c r="L900" s="209"/>
      <c r="M900" s="209"/>
      <c r="N900" s="209"/>
      <c r="O900" s="209"/>
      <c r="P900" s="209"/>
      <c r="Q900" s="209"/>
      <c r="R900" s="263" t="s">
        <v>38</v>
      </c>
      <c r="S900" s="266" t="s">
        <v>115</v>
      </c>
      <c r="T900" s="229"/>
    </row>
    <row r="901" spans="1:20" ht="26.1" hidden="1" customHeight="1">
      <c r="A901" s="324" t="s">
        <v>40</v>
      </c>
      <c r="B901" s="325"/>
      <c r="C901" s="325"/>
      <c r="D901" s="325"/>
      <c r="E901" s="326"/>
      <c r="F901" s="226"/>
      <c r="G901" s="267"/>
      <c r="H901" s="267"/>
      <c r="I901" s="267"/>
      <c r="J901" s="267"/>
      <c r="K901" s="227">
        <f t="shared" ref="K901:Q901" si="178">SUM(K897-SUM(K898:K900))</f>
        <v>0</v>
      </c>
      <c r="L901" s="227">
        <f t="shared" si="178"/>
        <v>0</v>
      </c>
      <c r="M901" s="227">
        <f t="shared" si="178"/>
        <v>0</v>
      </c>
      <c r="N901" s="227">
        <f t="shared" si="178"/>
        <v>0</v>
      </c>
      <c r="O901" s="227">
        <f t="shared" si="178"/>
        <v>0</v>
      </c>
      <c r="P901" s="227">
        <f t="shared" si="178"/>
        <v>5080</v>
      </c>
      <c r="Q901" s="227">
        <f t="shared" si="178"/>
        <v>5080</v>
      </c>
      <c r="R901" s="268" t="s">
        <v>38</v>
      </c>
      <c r="S901" s="269" t="s">
        <v>115</v>
      </c>
      <c r="T901" s="230"/>
    </row>
    <row r="902" spans="1:20" ht="26.1" customHeight="1">
      <c r="A902" s="213" t="s">
        <v>29</v>
      </c>
      <c r="B902" s="214" t="s">
        <v>384</v>
      </c>
      <c r="C902" s="214" t="s">
        <v>31</v>
      </c>
      <c r="D902" s="215" t="s">
        <v>403</v>
      </c>
      <c r="E902" s="216" t="s">
        <v>404</v>
      </c>
      <c r="F902" s="215" t="s">
        <v>405</v>
      </c>
      <c r="G902" s="262" t="s">
        <v>46</v>
      </c>
      <c r="H902" s="262" t="s">
        <v>54</v>
      </c>
      <c r="I902" s="262" t="s">
        <v>55</v>
      </c>
      <c r="J902" s="262">
        <f>SUM(J903:J905)</f>
        <v>0</v>
      </c>
      <c r="K902" s="217"/>
      <c r="L902" s="218">
        <v>157850</v>
      </c>
      <c r="M902" s="218"/>
      <c r="N902" s="218"/>
      <c r="O902" s="218"/>
      <c r="P902" s="218"/>
      <c r="Q902" s="218">
        <f>SUM(K902:P902)</f>
        <v>157850</v>
      </c>
      <c r="R902" s="263" t="s">
        <v>38</v>
      </c>
      <c r="S902" s="266" t="s">
        <v>49</v>
      </c>
      <c r="T902" s="229"/>
    </row>
    <row r="903" spans="1:20" ht="26.1" customHeight="1">
      <c r="A903" s="208"/>
      <c r="B903" s="211"/>
      <c r="C903" s="211"/>
      <c r="D903" s="212"/>
      <c r="E903" s="210" t="str">
        <f>IFERROR(VLOOKUP($T903,공사현장대장!$A$5:$T$330,4),"")</f>
        <v/>
      </c>
      <c r="F903" s="212"/>
      <c r="G903" s="265"/>
      <c r="H903" s="265"/>
      <c r="I903" s="265"/>
      <c r="J903" s="265" t="str">
        <f>IFERROR(ROUND(VLOOKUP($T903,공사현장대장!$A$5:$T$330,9)/1000,0),"")</f>
        <v/>
      </c>
      <c r="K903" s="225"/>
      <c r="L903" s="209"/>
      <c r="M903" s="209"/>
      <c r="N903" s="209"/>
      <c r="O903" s="209"/>
      <c r="P903" s="209"/>
      <c r="Q903" s="209"/>
      <c r="R903" s="263" t="s">
        <v>38</v>
      </c>
      <c r="S903" s="266" t="s">
        <v>49</v>
      </c>
      <c r="T903" s="229"/>
    </row>
    <row r="904" spans="1:20" ht="26.1" customHeight="1">
      <c r="A904" s="208"/>
      <c r="B904" s="211"/>
      <c r="C904" s="211"/>
      <c r="D904" s="212"/>
      <c r="E904" s="210" t="str">
        <f>IFERROR(VLOOKUP($T904,공사현장대장!$A$5:$T$330,4),"")</f>
        <v/>
      </c>
      <c r="F904" s="212"/>
      <c r="G904" s="265"/>
      <c r="H904" s="265"/>
      <c r="I904" s="265"/>
      <c r="J904" s="265" t="str">
        <f>IFERROR(ROUND(VLOOKUP($T904,공사현장대장!$A$5:$T$330,9)/1000,0),"")</f>
        <v/>
      </c>
      <c r="K904" s="225"/>
      <c r="L904" s="209"/>
      <c r="M904" s="209"/>
      <c r="N904" s="209"/>
      <c r="O904" s="209"/>
      <c r="P904" s="209"/>
      <c r="Q904" s="209"/>
      <c r="R904" s="263" t="s">
        <v>38</v>
      </c>
      <c r="S904" s="266" t="s">
        <v>49</v>
      </c>
      <c r="T904" s="229"/>
    </row>
    <row r="905" spans="1:20" ht="26.1" customHeight="1">
      <c r="A905" s="208"/>
      <c r="B905" s="211"/>
      <c r="C905" s="211"/>
      <c r="D905" s="212"/>
      <c r="E905" s="210" t="str">
        <f>IFERROR(VLOOKUP($T905,공사현장대장!$A$5:$T$330,4),"")</f>
        <v/>
      </c>
      <c r="F905" s="212"/>
      <c r="G905" s="265"/>
      <c r="H905" s="265"/>
      <c r="I905" s="265"/>
      <c r="J905" s="265" t="str">
        <f>IFERROR(ROUND(VLOOKUP($T905,공사현장대장!$A$5:$T$330,9)/1000,0),"")</f>
        <v/>
      </c>
      <c r="K905" s="225"/>
      <c r="L905" s="209"/>
      <c r="M905" s="209"/>
      <c r="N905" s="209"/>
      <c r="O905" s="209"/>
      <c r="P905" s="209"/>
      <c r="Q905" s="209"/>
      <c r="R905" s="263" t="s">
        <v>38</v>
      </c>
      <c r="S905" s="266" t="s">
        <v>49</v>
      </c>
      <c r="T905" s="229"/>
    </row>
    <row r="906" spans="1:20" ht="26.1" customHeight="1">
      <c r="A906" s="324" t="s">
        <v>40</v>
      </c>
      <c r="B906" s="325"/>
      <c r="C906" s="325"/>
      <c r="D906" s="325"/>
      <c r="E906" s="326"/>
      <c r="F906" s="226"/>
      <c r="G906" s="267"/>
      <c r="H906" s="267"/>
      <c r="I906" s="267"/>
      <c r="J906" s="267"/>
      <c r="K906" s="227">
        <f t="shared" ref="K906:Q906" si="179">SUM(K902-SUM(K903:K905))</f>
        <v>0</v>
      </c>
      <c r="L906" s="227">
        <f t="shared" si="179"/>
        <v>157850</v>
      </c>
      <c r="M906" s="227">
        <f t="shared" si="179"/>
        <v>0</v>
      </c>
      <c r="N906" s="227">
        <f t="shared" si="179"/>
        <v>0</v>
      </c>
      <c r="O906" s="227">
        <f t="shared" si="179"/>
        <v>0</v>
      </c>
      <c r="P906" s="227">
        <f t="shared" si="179"/>
        <v>0</v>
      </c>
      <c r="Q906" s="227">
        <f t="shared" si="179"/>
        <v>157850</v>
      </c>
      <c r="R906" s="268" t="s">
        <v>38</v>
      </c>
      <c r="S906" s="269" t="s">
        <v>49</v>
      </c>
      <c r="T906" s="230"/>
    </row>
    <row r="907" spans="1:20" ht="26.1" customHeight="1">
      <c r="A907" s="213" t="s">
        <v>29</v>
      </c>
      <c r="B907" s="214" t="s">
        <v>384</v>
      </c>
      <c r="C907" s="214" t="s">
        <v>31</v>
      </c>
      <c r="D907" s="215" t="s">
        <v>403</v>
      </c>
      <c r="E907" s="216" t="s">
        <v>406</v>
      </c>
      <c r="F907" s="215" t="s">
        <v>407</v>
      </c>
      <c r="G907" s="262" t="s">
        <v>46</v>
      </c>
      <c r="H907" s="262" t="s">
        <v>54</v>
      </c>
      <c r="I907" s="262" t="s">
        <v>55</v>
      </c>
      <c r="J907" s="262">
        <f>SUM(J908:J910)</f>
        <v>0</v>
      </c>
      <c r="K907" s="217"/>
      <c r="L907" s="218">
        <v>229250</v>
      </c>
      <c r="M907" s="218"/>
      <c r="N907" s="218"/>
      <c r="O907" s="218"/>
      <c r="P907" s="218"/>
      <c r="Q907" s="218">
        <f>SUM(K907:P907)</f>
        <v>229250</v>
      </c>
      <c r="R907" s="274" t="s">
        <v>87</v>
      </c>
      <c r="S907" s="266" t="s">
        <v>49</v>
      </c>
      <c r="T907" s="229"/>
    </row>
    <row r="908" spans="1:20" ht="26.1" customHeight="1">
      <c r="A908" s="208"/>
      <c r="B908" s="211"/>
      <c r="C908" s="211"/>
      <c r="D908" s="212"/>
      <c r="E908" s="210" t="str">
        <f>IFERROR(VLOOKUP($T908,공사현장대장!$A$5:$T$330,4),"")</f>
        <v/>
      </c>
      <c r="F908" s="212"/>
      <c r="G908" s="265"/>
      <c r="H908" s="265"/>
      <c r="I908" s="265"/>
      <c r="J908" s="265" t="str">
        <f>IFERROR(ROUND(VLOOKUP($T908,공사현장대장!$A$5:$T$330,9)/1000,0),"")</f>
        <v/>
      </c>
      <c r="K908" s="225"/>
      <c r="L908" s="209"/>
      <c r="M908" s="209"/>
      <c r="N908" s="209"/>
      <c r="O908" s="209"/>
      <c r="P908" s="209"/>
      <c r="Q908" s="209"/>
      <c r="R908" s="263" t="s">
        <v>87</v>
      </c>
      <c r="S908" s="266" t="s">
        <v>49</v>
      </c>
      <c r="T908" s="229"/>
    </row>
    <row r="909" spans="1:20" ht="26.1" customHeight="1">
      <c r="A909" s="208"/>
      <c r="B909" s="211"/>
      <c r="C909" s="211"/>
      <c r="D909" s="212"/>
      <c r="E909" s="210" t="str">
        <f>IFERROR(VLOOKUP($T909,공사현장대장!$A$5:$T$330,4),"")</f>
        <v/>
      </c>
      <c r="F909" s="212"/>
      <c r="G909" s="265"/>
      <c r="H909" s="265"/>
      <c r="I909" s="265"/>
      <c r="J909" s="265" t="str">
        <f>IFERROR(ROUND(VLOOKUP($T909,공사현장대장!$A$5:$T$330,9)/1000,0),"")</f>
        <v/>
      </c>
      <c r="K909" s="225"/>
      <c r="L909" s="209"/>
      <c r="M909" s="209"/>
      <c r="N909" s="209"/>
      <c r="O909" s="209"/>
      <c r="P909" s="209"/>
      <c r="Q909" s="209"/>
      <c r="R909" s="263" t="s">
        <v>87</v>
      </c>
      <c r="S909" s="266" t="s">
        <v>49</v>
      </c>
      <c r="T909" s="229"/>
    </row>
    <row r="910" spans="1:20" ht="26.1" customHeight="1">
      <c r="A910" s="208"/>
      <c r="B910" s="211"/>
      <c r="C910" s="211"/>
      <c r="D910" s="212"/>
      <c r="E910" s="210" t="str">
        <f>IFERROR(VLOOKUP($T910,공사현장대장!$A$5:$T$330,4),"")</f>
        <v/>
      </c>
      <c r="F910" s="212"/>
      <c r="G910" s="265"/>
      <c r="H910" s="265"/>
      <c r="I910" s="265"/>
      <c r="J910" s="265" t="str">
        <f>IFERROR(ROUND(VLOOKUP($T910,공사현장대장!$A$5:$T$330,9)/1000,0),"")</f>
        <v/>
      </c>
      <c r="K910" s="225"/>
      <c r="L910" s="209"/>
      <c r="M910" s="209"/>
      <c r="N910" s="209"/>
      <c r="O910" s="209"/>
      <c r="P910" s="209"/>
      <c r="Q910" s="209"/>
      <c r="R910" s="263" t="s">
        <v>87</v>
      </c>
      <c r="S910" s="266" t="s">
        <v>49</v>
      </c>
      <c r="T910" s="229"/>
    </row>
    <row r="911" spans="1:20" ht="26.1" customHeight="1">
      <c r="A911" s="324" t="s">
        <v>40</v>
      </c>
      <c r="B911" s="325"/>
      <c r="C911" s="325"/>
      <c r="D911" s="325"/>
      <c r="E911" s="326"/>
      <c r="F911" s="226"/>
      <c r="G911" s="267"/>
      <c r="H911" s="267"/>
      <c r="I911" s="267"/>
      <c r="J911" s="267"/>
      <c r="K911" s="227">
        <f t="shared" ref="K911:Q911" si="180">SUM(K907-SUM(K908:K910))</f>
        <v>0</v>
      </c>
      <c r="L911" s="227">
        <f t="shared" si="180"/>
        <v>229250</v>
      </c>
      <c r="M911" s="227">
        <f t="shared" si="180"/>
        <v>0</v>
      </c>
      <c r="N911" s="227">
        <f t="shared" si="180"/>
        <v>0</v>
      </c>
      <c r="O911" s="227">
        <f t="shared" si="180"/>
        <v>0</v>
      </c>
      <c r="P911" s="227">
        <f t="shared" si="180"/>
        <v>0</v>
      </c>
      <c r="Q911" s="227">
        <f t="shared" si="180"/>
        <v>229250</v>
      </c>
      <c r="R911" s="268" t="s">
        <v>87</v>
      </c>
      <c r="S911" s="269" t="s">
        <v>49</v>
      </c>
      <c r="T911" s="230"/>
    </row>
    <row r="912" spans="1:20" ht="26.1" customHeight="1">
      <c r="A912" s="213" t="s">
        <v>29</v>
      </c>
      <c r="B912" s="214" t="s">
        <v>384</v>
      </c>
      <c r="C912" s="214" t="s">
        <v>31</v>
      </c>
      <c r="D912" s="215" t="s">
        <v>403</v>
      </c>
      <c r="E912" s="216" t="s">
        <v>88</v>
      </c>
      <c r="F912" s="215" t="s">
        <v>408</v>
      </c>
      <c r="G912" s="262" t="s">
        <v>46</v>
      </c>
      <c r="H912" s="262" t="s">
        <v>54</v>
      </c>
      <c r="I912" s="262" t="s">
        <v>55</v>
      </c>
      <c r="J912" s="262">
        <f>SUM(J913:J915)</f>
        <v>0</v>
      </c>
      <c r="K912" s="217"/>
      <c r="L912" s="218">
        <v>108150</v>
      </c>
      <c r="M912" s="218"/>
      <c r="N912" s="218"/>
      <c r="O912" s="218"/>
      <c r="P912" s="218"/>
      <c r="Q912" s="218">
        <f>SUM(K912:P912)</f>
        <v>108150</v>
      </c>
      <c r="R912" s="263" t="s">
        <v>38</v>
      </c>
      <c r="S912" s="266" t="s">
        <v>49</v>
      </c>
      <c r="T912" s="229"/>
    </row>
    <row r="913" spans="1:20" ht="26.1" customHeight="1">
      <c r="A913" s="208"/>
      <c r="B913" s="211"/>
      <c r="C913" s="211"/>
      <c r="D913" s="212"/>
      <c r="E913" s="210" t="str">
        <f>IFERROR(VLOOKUP($T913,공사현장대장!$A$5:$T$330,4),"")</f>
        <v/>
      </c>
      <c r="F913" s="212"/>
      <c r="G913" s="265"/>
      <c r="H913" s="265"/>
      <c r="I913" s="265"/>
      <c r="J913" s="265" t="str">
        <f>IFERROR(ROUND(VLOOKUP($T913,공사현장대장!$A$5:$T$330,9)/1000,0),"")</f>
        <v/>
      </c>
      <c r="K913" s="225"/>
      <c r="L913" s="209"/>
      <c r="M913" s="209"/>
      <c r="N913" s="209"/>
      <c r="O913" s="209"/>
      <c r="P913" s="209"/>
      <c r="Q913" s="209"/>
      <c r="R913" s="263" t="s">
        <v>38</v>
      </c>
      <c r="S913" s="266" t="s">
        <v>49</v>
      </c>
      <c r="T913" s="229"/>
    </row>
    <row r="914" spans="1:20" ht="26.1" customHeight="1">
      <c r="A914" s="208"/>
      <c r="B914" s="211"/>
      <c r="C914" s="211"/>
      <c r="D914" s="212"/>
      <c r="E914" s="210" t="str">
        <f>IFERROR(VLOOKUP($T914,공사현장대장!$A$5:$T$330,4),"")</f>
        <v/>
      </c>
      <c r="F914" s="212"/>
      <c r="G914" s="265"/>
      <c r="H914" s="265"/>
      <c r="I914" s="265"/>
      <c r="J914" s="265" t="str">
        <f>IFERROR(ROUND(VLOOKUP($T914,공사현장대장!$A$5:$T$330,9)/1000,0),"")</f>
        <v/>
      </c>
      <c r="K914" s="225"/>
      <c r="L914" s="209"/>
      <c r="M914" s="209"/>
      <c r="N914" s="209"/>
      <c r="O914" s="209"/>
      <c r="P914" s="209"/>
      <c r="Q914" s="209"/>
      <c r="R914" s="263" t="s">
        <v>38</v>
      </c>
      <c r="S914" s="266" t="s">
        <v>49</v>
      </c>
      <c r="T914" s="229"/>
    </row>
    <row r="915" spans="1:20" ht="26.1" customHeight="1">
      <c r="A915" s="208"/>
      <c r="B915" s="211"/>
      <c r="C915" s="211"/>
      <c r="D915" s="212"/>
      <c r="E915" s="210" t="str">
        <f>IFERROR(VLOOKUP($T915,공사현장대장!$A$5:$T$330,4),"")</f>
        <v/>
      </c>
      <c r="F915" s="212"/>
      <c r="G915" s="265"/>
      <c r="H915" s="265"/>
      <c r="I915" s="265"/>
      <c r="J915" s="265" t="str">
        <f>IFERROR(ROUND(VLOOKUP($T915,공사현장대장!$A$5:$T$330,9)/1000,0),"")</f>
        <v/>
      </c>
      <c r="K915" s="225"/>
      <c r="L915" s="209"/>
      <c r="M915" s="209"/>
      <c r="N915" s="209"/>
      <c r="O915" s="209"/>
      <c r="P915" s="209"/>
      <c r="Q915" s="209"/>
      <c r="R915" s="263" t="s">
        <v>38</v>
      </c>
      <c r="S915" s="266" t="s">
        <v>49</v>
      </c>
      <c r="T915" s="229"/>
    </row>
    <row r="916" spans="1:20" ht="26.1" customHeight="1">
      <c r="A916" s="324" t="s">
        <v>40</v>
      </c>
      <c r="B916" s="325"/>
      <c r="C916" s="325"/>
      <c r="D916" s="325"/>
      <c r="E916" s="326"/>
      <c r="F916" s="226"/>
      <c r="G916" s="267"/>
      <c r="H916" s="267"/>
      <c r="I916" s="267"/>
      <c r="J916" s="267"/>
      <c r="K916" s="227">
        <f t="shared" ref="K916:Q916" si="181">SUM(K912-SUM(K913:K915))</f>
        <v>0</v>
      </c>
      <c r="L916" s="227">
        <f t="shared" si="181"/>
        <v>108150</v>
      </c>
      <c r="M916" s="227">
        <f t="shared" si="181"/>
        <v>0</v>
      </c>
      <c r="N916" s="227">
        <f t="shared" si="181"/>
        <v>0</v>
      </c>
      <c r="O916" s="227">
        <f t="shared" si="181"/>
        <v>0</v>
      </c>
      <c r="P916" s="227">
        <f t="shared" si="181"/>
        <v>0</v>
      </c>
      <c r="Q916" s="227">
        <f t="shared" si="181"/>
        <v>108150</v>
      </c>
      <c r="R916" s="268" t="s">
        <v>38</v>
      </c>
      <c r="S916" s="269" t="s">
        <v>49</v>
      </c>
      <c r="T916" s="230"/>
    </row>
    <row r="917" spans="1:20" ht="26.1" customHeight="1">
      <c r="A917" s="213" t="s">
        <v>29</v>
      </c>
      <c r="B917" s="214" t="s">
        <v>384</v>
      </c>
      <c r="C917" s="214" t="s">
        <v>31</v>
      </c>
      <c r="D917" s="215" t="s">
        <v>403</v>
      </c>
      <c r="E917" s="216" t="s">
        <v>90</v>
      </c>
      <c r="F917" s="215" t="s">
        <v>409</v>
      </c>
      <c r="G917" s="262" t="s">
        <v>46</v>
      </c>
      <c r="H917" s="262" t="s">
        <v>54</v>
      </c>
      <c r="I917" s="262" t="s">
        <v>55</v>
      </c>
      <c r="J917" s="262">
        <f>SUM(J918:J920)</f>
        <v>0</v>
      </c>
      <c r="K917" s="217"/>
      <c r="L917" s="218">
        <v>57050</v>
      </c>
      <c r="M917" s="218"/>
      <c r="N917" s="218"/>
      <c r="O917" s="218"/>
      <c r="P917" s="218"/>
      <c r="Q917" s="218">
        <f>SUM(K917:P917)</f>
        <v>57050</v>
      </c>
      <c r="R917" s="274" t="s">
        <v>87</v>
      </c>
      <c r="S917" s="266" t="s">
        <v>49</v>
      </c>
      <c r="T917" s="229"/>
    </row>
    <row r="918" spans="1:20" ht="26.1" customHeight="1">
      <c r="A918" s="208"/>
      <c r="B918" s="211"/>
      <c r="C918" s="211"/>
      <c r="D918" s="212"/>
      <c r="E918" s="210" t="str">
        <f>IFERROR(VLOOKUP($T918,공사현장대장!$A$5:$T$330,4),"")</f>
        <v/>
      </c>
      <c r="F918" s="212"/>
      <c r="G918" s="265"/>
      <c r="H918" s="265"/>
      <c r="I918" s="265"/>
      <c r="J918" s="265" t="str">
        <f>IFERROR(ROUND(VLOOKUP($T918,공사현장대장!$A$5:$T$330,9)/1000,0),"")</f>
        <v/>
      </c>
      <c r="K918" s="225"/>
      <c r="L918" s="209"/>
      <c r="M918" s="209"/>
      <c r="N918" s="209"/>
      <c r="O918" s="209"/>
      <c r="P918" s="209"/>
      <c r="Q918" s="209"/>
      <c r="R918" s="263" t="s">
        <v>87</v>
      </c>
      <c r="S918" s="266" t="s">
        <v>49</v>
      </c>
      <c r="T918" s="229"/>
    </row>
    <row r="919" spans="1:20" ht="26.1" customHeight="1">
      <c r="A919" s="208"/>
      <c r="B919" s="211"/>
      <c r="C919" s="211"/>
      <c r="D919" s="212"/>
      <c r="E919" s="210" t="str">
        <f>IFERROR(VLOOKUP($T919,공사현장대장!$A$5:$T$330,4),"")</f>
        <v/>
      </c>
      <c r="F919" s="212"/>
      <c r="G919" s="265"/>
      <c r="H919" s="265"/>
      <c r="I919" s="265"/>
      <c r="J919" s="265" t="str">
        <f>IFERROR(ROUND(VLOOKUP($T919,공사현장대장!$A$5:$T$330,9)/1000,0),"")</f>
        <v/>
      </c>
      <c r="K919" s="225"/>
      <c r="L919" s="209"/>
      <c r="M919" s="209"/>
      <c r="N919" s="209"/>
      <c r="O919" s="209"/>
      <c r="P919" s="209"/>
      <c r="Q919" s="209"/>
      <c r="R919" s="263" t="s">
        <v>87</v>
      </c>
      <c r="S919" s="266" t="s">
        <v>49</v>
      </c>
      <c r="T919" s="229"/>
    </row>
    <row r="920" spans="1:20" ht="26.1" customHeight="1">
      <c r="A920" s="208"/>
      <c r="B920" s="211"/>
      <c r="C920" s="211"/>
      <c r="D920" s="212"/>
      <c r="E920" s="210" t="str">
        <f>IFERROR(VLOOKUP($T920,공사현장대장!$A$5:$T$330,4),"")</f>
        <v/>
      </c>
      <c r="F920" s="212"/>
      <c r="G920" s="265"/>
      <c r="H920" s="265"/>
      <c r="I920" s="265"/>
      <c r="J920" s="265" t="str">
        <f>IFERROR(ROUND(VLOOKUP($T920,공사현장대장!$A$5:$T$330,9)/1000,0),"")</f>
        <v/>
      </c>
      <c r="K920" s="225"/>
      <c r="L920" s="209"/>
      <c r="M920" s="209"/>
      <c r="N920" s="209"/>
      <c r="O920" s="209"/>
      <c r="P920" s="209"/>
      <c r="Q920" s="209"/>
      <c r="R920" s="263" t="s">
        <v>87</v>
      </c>
      <c r="S920" s="266" t="s">
        <v>49</v>
      </c>
      <c r="T920" s="229"/>
    </row>
    <row r="921" spans="1:20" ht="26.1" customHeight="1">
      <c r="A921" s="324" t="s">
        <v>40</v>
      </c>
      <c r="B921" s="325"/>
      <c r="C921" s="325"/>
      <c r="D921" s="325"/>
      <c r="E921" s="326"/>
      <c r="F921" s="226"/>
      <c r="G921" s="267"/>
      <c r="H921" s="267"/>
      <c r="I921" s="267"/>
      <c r="J921" s="267"/>
      <c r="K921" s="227">
        <f t="shared" ref="K921:Q921" si="182">SUM(K917-SUM(K918:K920))</f>
        <v>0</v>
      </c>
      <c r="L921" s="227">
        <f t="shared" si="182"/>
        <v>57050</v>
      </c>
      <c r="M921" s="227">
        <f t="shared" si="182"/>
        <v>0</v>
      </c>
      <c r="N921" s="227">
        <f t="shared" si="182"/>
        <v>0</v>
      </c>
      <c r="O921" s="227">
        <f t="shared" si="182"/>
        <v>0</v>
      </c>
      <c r="P921" s="227">
        <f t="shared" si="182"/>
        <v>0</v>
      </c>
      <c r="Q921" s="227">
        <f t="shared" si="182"/>
        <v>57050</v>
      </c>
      <c r="R921" s="268" t="s">
        <v>87</v>
      </c>
      <c r="S921" s="269" t="s">
        <v>49</v>
      </c>
      <c r="T921" s="230"/>
    </row>
    <row r="922" spans="1:20" ht="26.1" customHeight="1">
      <c r="A922" s="213" t="s">
        <v>29</v>
      </c>
      <c r="B922" s="214" t="s">
        <v>384</v>
      </c>
      <c r="C922" s="214" t="s">
        <v>31</v>
      </c>
      <c r="D922" s="215" t="s">
        <v>403</v>
      </c>
      <c r="E922" s="216" t="s">
        <v>142</v>
      </c>
      <c r="F922" s="215" t="s">
        <v>410</v>
      </c>
      <c r="G922" s="262" t="s">
        <v>46</v>
      </c>
      <c r="H922" s="262" t="s">
        <v>54</v>
      </c>
      <c r="I922" s="262" t="s">
        <v>121</v>
      </c>
      <c r="J922" s="262">
        <f>SUM(J923:J925)</f>
        <v>0</v>
      </c>
      <c r="K922" s="217"/>
      <c r="L922" s="218">
        <v>282326</v>
      </c>
      <c r="M922" s="218"/>
      <c r="N922" s="218"/>
      <c r="O922" s="218"/>
      <c r="P922" s="218"/>
      <c r="Q922" s="218">
        <f>SUM(K922:P922)</f>
        <v>282326</v>
      </c>
      <c r="R922" s="263" t="s">
        <v>38</v>
      </c>
      <c r="S922" s="266" t="s">
        <v>49</v>
      </c>
      <c r="T922" s="229"/>
    </row>
    <row r="923" spans="1:20" ht="26.1" customHeight="1">
      <c r="A923" s="208"/>
      <c r="B923" s="211"/>
      <c r="C923" s="211"/>
      <c r="D923" s="212"/>
      <c r="E923" s="210" t="str">
        <f>IFERROR(VLOOKUP($T923,공사현장대장!$A$5:$T$330,4),"")</f>
        <v/>
      </c>
      <c r="F923" s="212"/>
      <c r="G923" s="265"/>
      <c r="H923" s="265"/>
      <c r="I923" s="265"/>
      <c r="J923" s="265" t="str">
        <f>IFERROR(ROUND(VLOOKUP($T923,공사현장대장!$A$5:$T$330,9)/1000,0),"")</f>
        <v/>
      </c>
      <c r="K923" s="225"/>
      <c r="L923" s="209"/>
      <c r="M923" s="209"/>
      <c r="N923" s="209"/>
      <c r="O923" s="209"/>
      <c r="P923" s="209"/>
      <c r="Q923" s="209"/>
      <c r="R923" s="263" t="s">
        <v>38</v>
      </c>
      <c r="S923" s="266" t="s">
        <v>49</v>
      </c>
      <c r="T923" s="229"/>
    </row>
    <row r="924" spans="1:20" ht="26.1" customHeight="1">
      <c r="A924" s="208"/>
      <c r="B924" s="211"/>
      <c r="C924" s="211"/>
      <c r="D924" s="212"/>
      <c r="E924" s="210" t="str">
        <f>IFERROR(VLOOKUP($T924,공사현장대장!$A$5:$T$330,4),"")</f>
        <v/>
      </c>
      <c r="F924" s="212"/>
      <c r="G924" s="265"/>
      <c r="H924" s="265"/>
      <c r="I924" s="265"/>
      <c r="J924" s="265" t="str">
        <f>IFERROR(ROUND(VLOOKUP($T924,공사현장대장!$A$5:$T$330,9)/1000,0),"")</f>
        <v/>
      </c>
      <c r="K924" s="225"/>
      <c r="L924" s="209"/>
      <c r="M924" s="209"/>
      <c r="N924" s="209"/>
      <c r="O924" s="209"/>
      <c r="P924" s="209"/>
      <c r="Q924" s="209"/>
      <c r="R924" s="263" t="s">
        <v>38</v>
      </c>
      <c r="S924" s="266" t="s">
        <v>49</v>
      </c>
      <c r="T924" s="229"/>
    </row>
    <row r="925" spans="1:20" ht="26.1" customHeight="1">
      <c r="A925" s="208"/>
      <c r="B925" s="211"/>
      <c r="C925" s="211"/>
      <c r="D925" s="212"/>
      <c r="E925" s="210" t="str">
        <f>IFERROR(VLOOKUP($T925,공사현장대장!$A$5:$T$330,4),"")</f>
        <v/>
      </c>
      <c r="F925" s="212"/>
      <c r="G925" s="265"/>
      <c r="H925" s="265"/>
      <c r="I925" s="265"/>
      <c r="J925" s="265" t="str">
        <f>IFERROR(ROUND(VLOOKUP($T925,공사현장대장!$A$5:$T$330,9)/1000,0),"")</f>
        <v/>
      </c>
      <c r="K925" s="225"/>
      <c r="L925" s="209"/>
      <c r="M925" s="209"/>
      <c r="N925" s="209"/>
      <c r="O925" s="209"/>
      <c r="P925" s="209"/>
      <c r="Q925" s="209"/>
      <c r="R925" s="263" t="s">
        <v>38</v>
      </c>
      <c r="S925" s="266" t="s">
        <v>49</v>
      </c>
      <c r="T925" s="229"/>
    </row>
    <row r="926" spans="1:20" ht="26.1" customHeight="1">
      <c r="A926" s="324" t="s">
        <v>40</v>
      </c>
      <c r="B926" s="325"/>
      <c r="C926" s="325"/>
      <c r="D926" s="325"/>
      <c r="E926" s="326"/>
      <c r="F926" s="226"/>
      <c r="G926" s="267"/>
      <c r="H926" s="267"/>
      <c r="I926" s="267"/>
      <c r="J926" s="267"/>
      <c r="K926" s="227">
        <f t="shared" ref="K926:Q926" si="183">SUM(K922-SUM(K923:K925))</f>
        <v>0</v>
      </c>
      <c r="L926" s="227">
        <f t="shared" si="183"/>
        <v>282326</v>
      </c>
      <c r="M926" s="227">
        <f t="shared" si="183"/>
        <v>0</v>
      </c>
      <c r="N926" s="227">
        <f t="shared" si="183"/>
        <v>0</v>
      </c>
      <c r="O926" s="227">
        <f t="shared" si="183"/>
        <v>0</v>
      </c>
      <c r="P926" s="227">
        <f t="shared" si="183"/>
        <v>0</v>
      </c>
      <c r="Q926" s="227">
        <f t="shared" si="183"/>
        <v>282326</v>
      </c>
      <c r="R926" s="268" t="s">
        <v>38</v>
      </c>
      <c r="S926" s="269" t="s">
        <v>49</v>
      </c>
      <c r="T926" s="230"/>
    </row>
    <row r="927" spans="1:20" ht="26.1" customHeight="1">
      <c r="A927" s="213" t="s">
        <v>29</v>
      </c>
      <c r="B927" s="214" t="s">
        <v>384</v>
      </c>
      <c r="C927" s="214" t="s">
        <v>31</v>
      </c>
      <c r="D927" s="215" t="s">
        <v>403</v>
      </c>
      <c r="E927" s="216" t="s">
        <v>411</v>
      </c>
      <c r="F927" s="215" t="s">
        <v>412</v>
      </c>
      <c r="G927" s="262" t="s">
        <v>46</v>
      </c>
      <c r="H927" s="262" t="s">
        <v>54</v>
      </c>
      <c r="I927" s="262" t="s">
        <v>121</v>
      </c>
      <c r="J927" s="262">
        <f>SUM(J928:J930)</f>
        <v>0</v>
      </c>
      <c r="K927" s="217"/>
      <c r="L927" s="218">
        <v>107776</v>
      </c>
      <c r="M927" s="218"/>
      <c r="N927" s="218"/>
      <c r="O927" s="218"/>
      <c r="P927" s="218"/>
      <c r="Q927" s="218">
        <f>SUM(K927:P927)</f>
        <v>107776</v>
      </c>
      <c r="R927" s="263" t="s">
        <v>38</v>
      </c>
      <c r="S927" s="266" t="s">
        <v>49</v>
      </c>
      <c r="T927" s="229"/>
    </row>
    <row r="928" spans="1:20" ht="26.1" customHeight="1">
      <c r="A928" s="208"/>
      <c r="B928" s="211"/>
      <c r="C928" s="211"/>
      <c r="D928" s="212"/>
      <c r="E928" s="210" t="str">
        <f>IFERROR(VLOOKUP($T928,공사현장대장!$A$5:$T$330,4),"")</f>
        <v/>
      </c>
      <c r="F928" s="212"/>
      <c r="G928" s="265"/>
      <c r="H928" s="265"/>
      <c r="I928" s="265"/>
      <c r="J928" s="265" t="str">
        <f>IFERROR(ROUND(VLOOKUP($T928,공사현장대장!$A$5:$T$330,9)/1000,0),"")</f>
        <v/>
      </c>
      <c r="K928" s="225"/>
      <c r="L928" s="209"/>
      <c r="M928" s="209"/>
      <c r="N928" s="209"/>
      <c r="O928" s="209"/>
      <c r="P928" s="209"/>
      <c r="Q928" s="209"/>
      <c r="R928" s="263" t="s">
        <v>38</v>
      </c>
      <c r="S928" s="266" t="s">
        <v>49</v>
      </c>
      <c r="T928" s="229"/>
    </row>
    <row r="929" spans="1:29" ht="26.1" customHeight="1">
      <c r="A929" s="208"/>
      <c r="B929" s="211"/>
      <c r="C929" s="211"/>
      <c r="D929" s="212"/>
      <c r="E929" s="210" t="str">
        <f>IFERROR(VLOOKUP($T929,공사현장대장!$A$5:$T$330,4),"")</f>
        <v/>
      </c>
      <c r="F929" s="212"/>
      <c r="G929" s="265"/>
      <c r="H929" s="265"/>
      <c r="I929" s="265"/>
      <c r="J929" s="265" t="str">
        <f>IFERROR(ROUND(VLOOKUP($T929,공사현장대장!$A$5:$T$330,9)/1000,0),"")</f>
        <v/>
      </c>
      <c r="K929" s="225"/>
      <c r="L929" s="209"/>
      <c r="M929" s="209"/>
      <c r="N929" s="209"/>
      <c r="O929" s="209"/>
      <c r="P929" s="209"/>
      <c r="Q929" s="209"/>
      <c r="R929" s="263" t="s">
        <v>38</v>
      </c>
      <c r="S929" s="266" t="s">
        <v>49</v>
      </c>
      <c r="T929" s="229"/>
    </row>
    <row r="930" spans="1:29" ht="26.1" customHeight="1">
      <c r="A930" s="208"/>
      <c r="B930" s="211"/>
      <c r="C930" s="211"/>
      <c r="D930" s="212"/>
      <c r="E930" s="210" t="str">
        <f>IFERROR(VLOOKUP($T930,공사현장대장!$A$5:$T$330,4),"")</f>
        <v/>
      </c>
      <c r="F930" s="212"/>
      <c r="G930" s="265"/>
      <c r="H930" s="265"/>
      <c r="I930" s="265"/>
      <c r="J930" s="265" t="str">
        <f>IFERROR(ROUND(VLOOKUP($T930,공사현장대장!$A$5:$T$330,9)/1000,0),"")</f>
        <v/>
      </c>
      <c r="K930" s="225"/>
      <c r="L930" s="209"/>
      <c r="M930" s="209"/>
      <c r="N930" s="209"/>
      <c r="O930" s="209"/>
      <c r="P930" s="209"/>
      <c r="Q930" s="209"/>
      <c r="R930" s="263" t="s">
        <v>38</v>
      </c>
      <c r="S930" s="266" t="s">
        <v>49</v>
      </c>
      <c r="T930" s="229"/>
    </row>
    <row r="931" spans="1:29" ht="26.1" customHeight="1">
      <c r="A931" s="324" t="s">
        <v>40</v>
      </c>
      <c r="B931" s="325"/>
      <c r="C931" s="325"/>
      <c r="D931" s="325"/>
      <c r="E931" s="326"/>
      <c r="F931" s="226"/>
      <c r="G931" s="267"/>
      <c r="H931" s="267"/>
      <c r="I931" s="267"/>
      <c r="J931" s="267"/>
      <c r="K931" s="227">
        <f t="shared" ref="K931:Q931" si="184">SUM(K927-SUM(K928:K930))</f>
        <v>0</v>
      </c>
      <c r="L931" s="227">
        <f t="shared" si="184"/>
        <v>107776</v>
      </c>
      <c r="M931" s="227">
        <f t="shared" si="184"/>
        <v>0</v>
      </c>
      <c r="N931" s="227">
        <f t="shared" si="184"/>
        <v>0</v>
      </c>
      <c r="O931" s="227">
        <f t="shared" si="184"/>
        <v>0</v>
      </c>
      <c r="P931" s="227">
        <f t="shared" si="184"/>
        <v>0</v>
      </c>
      <c r="Q931" s="227">
        <f t="shared" si="184"/>
        <v>107776</v>
      </c>
      <c r="R931" s="268" t="s">
        <v>38</v>
      </c>
      <c r="S931" s="269" t="s">
        <v>49</v>
      </c>
      <c r="T931" s="230"/>
    </row>
    <row r="932" spans="1:29" ht="26.1" hidden="1" customHeight="1">
      <c r="A932" s="213" t="s">
        <v>29</v>
      </c>
      <c r="B932" s="214" t="s">
        <v>384</v>
      </c>
      <c r="C932" s="214" t="s">
        <v>31</v>
      </c>
      <c r="D932" s="215" t="s">
        <v>403</v>
      </c>
      <c r="E932" s="216" t="s">
        <v>144</v>
      </c>
      <c r="F932" s="215" t="s">
        <v>410</v>
      </c>
      <c r="G932" s="262" t="s">
        <v>46</v>
      </c>
      <c r="H932" s="262" t="s">
        <v>145</v>
      </c>
      <c r="I932" s="262" t="s">
        <v>99</v>
      </c>
      <c r="J932" s="262">
        <f>SUM(J933:J935)</f>
        <v>0</v>
      </c>
      <c r="K932" s="217"/>
      <c r="L932" s="218">
        <v>81026</v>
      </c>
      <c r="M932" s="218"/>
      <c r="N932" s="218"/>
      <c r="O932" s="218"/>
      <c r="P932" s="218"/>
      <c r="Q932" s="218">
        <f>SUM(K932:P932)</f>
        <v>81026</v>
      </c>
      <c r="R932" s="263" t="s">
        <v>38</v>
      </c>
      <c r="S932" s="266" t="s">
        <v>100</v>
      </c>
      <c r="T932" s="229"/>
    </row>
    <row r="933" spans="1:29" ht="26.1" hidden="1" customHeight="1">
      <c r="A933" s="208"/>
      <c r="B933" s="211"/>
      <c r="C933" s="211"/>
      <c r="D933" s="212"/>
      <c r="E933" s="210" t="str">
        <f>IFERROR(VLOOKUP($T933,공사현장대장!$A$5:$T$330,4),"")</f>
        <v/>
      </c>
      <c r="F933" s="212"/>
      <c r="G933" s="265"/>
      <c r="H933" s="265"/>
      <c r="I933" s="265"/>
      <c r="J933" s="265" t="str">
        <f>IFERROR(ROUND(VLOOKUP($T933,공사현장대장!$A$5:$T$330,9)/1000,0),"")</f>
        <v/>
      </c>
      <c r="K933" s="225"/>
      <c r="L933" s="209"/>
      <c r="M933" s="209"/>
      <c r="N933" s="209"/>
      <c r="O933" s="209"/>
      <c r="P933" s="209"/>
      <c r="Q933" s="209"/>
      <c r="R933" s="263" t="s">
        <v>38</v>
      </c>
      <c r="S933" s="266" t="s">
        <v>100</v>
      </c>
      <c r="T933" s="229"/>
    </row>
    <row r="934" spans="1:29" ht="26.1" hidden="1" customHeight="1">
      <c r="A934" s="208"/>
      <c r="B934" s="211"/>
      <c r="C934" s="211"/>
      <c r="D934" s="212"/>
      <c r="E934" s="210" t="str">
        <f>IFERROR(VLOOKUP($T934,공사현장대장!$A$5:$T$330,4),"")</f>
        <v/>
      </c>
      <c r="F934" s="212"/>
      <c r="G934" s="265"/>
      <c r="H934" s="265"/>
      <c r="I934" s="265"/>
      <c r="J934" s="265" t="str">
        <f>IFERROR(ROUND(VLOOKUP($T934,공사현장대장!$A$5:$T$330,9)/1000,0),"")</f>
        <v/>
      </c>
      <c r="K934" s="225"/>
      <c r="L934" s="209"/>
      <c r="M934" s="209"/>
      <c r="N934" s="209"/>
      <c r="O934" s="209"/>
      <c r="P934" s="209"/>
      <c r="Q934" s="209"/>
      <c r="R934" s="263" t="s">
        <v>38</v>
      </c>
      <c r="S934" s="266" t="s">
        <v>100</v>
      </c>
      <c r="T934" s="229"/>
    </row>
    <row r="935" spans="1:29" ht="26.1" hidden="1" customHeight="1">
      <c r="A935" s="208"/>
      <c r="B935" s="211"/>
      <c r="C935" s="211"/>
      <c r="D935" s="212"/>
      <c r="E935" s="210" t="str">
        <f>IFERROR(VLOOKUP($T935,공사현장대장!$A$5:$T$330,4),"")</f>
        <v/>
      </c>
      <c r="F935" s="212"/>
      <c r="G935" s="265"/>
      <c r="H935" s="265"/>
      <c r="I935" s="265"/>
      <c r="J935" s="265" t="str">
        <f>IFERROR(ROUND(VLOOKUP($T935,공사현장대장!$A$5:$T$330,9)/1000,0),"")</f>
        <v/>
      </c>
      <c r="K935" s="225"/>
      <c r="L935" s="209"/>
      <c r="M935" s="209"/>
      <c r="N935" s="209"/>
      <c r="O935" s="209"/>
      <c r="P935" s="209"/>
      <c r="Q935" s="209"/>
      <c r="R935" s="263" t="s">
        <v>38</v>
      </c>
      <c r="S935" s="266" t="s">
        <v>100</v>
      </c>
      <c r="T935" s="229"/>
    </row>
    <row r="936" spans="1:29" ht="26.1" hidden="1" customHeight="1">
      <c r="A936" s="324" t="s">
        <v>40</v>
      </c>
      <c r="B936" s="325"/>
      <c r="C936" s="325"/>
      <c r="D936" s="325"/>
      <c r="E936" s="326"/>
      <c r="F936" s="226"/>
      <c r="G936" s="267"/>
      <c r="H936" s="267"/>
      <c r="I936" s="267"/>
      <c r="J936" s="267"/>
      <c r="K936" s="227">
        <f t="shared" ref="K936:Q936" si="185">SUM(K932-SUM(K933:K935))</f>
        <v>0</v>
      </c>
      <c r="L936" s="227">
        <f t="shared" si="185"/>
        <v>81026</v>
      </c>
      <c r="M936" s="227">
        <f t="shared" si="185"/>
        <v>0</v>
      </c>
      <c r="N936" s="227">
        <f t="shared" si="185"/>
        <v>0</v>
      </c>
      <c r="O936" s="227">
        <f t="shared" si="185"/>
        <v>0</v>
      </c>
      <c r="P936" s="227">
        <f t="shared" si="185"/>
        <v>0</v>
      </c>
      <c r="Q936" s="227">
        <f t="shared" si="185"/>
        <v>81026</v>
      </c>
      <c r="R936" s="268" t="s">
        <v>38</v>
      </c>
      <c r="S936" s="269" t="s">
        <v>100</v>
      </c>
      <c r="T936" s="230"/>
    </row>
    <row r="937" spans="1:29" ht="26.1" customHeight="1">
      <c r="A937" s="213" t="s">
        <v>29</v>
      </c>
      <c r="B937" s="214" t="s">
        <v>384</v>
      </c>
      <c r="C937" s="214" t="s">
        <v>31</v>
      </c>
      <c r="D937" s="215" t="s">
        <v>403</v>
      </c>
      <c r="E937" s="216" t="s">
        <v>413</v>
      </c>
      <c r="F937" s="215" t="s">
        <v>414</v>
      </c>
      <c r="G937" s="262" t="s">
        <v>46</v>
      </c>
      <c r="H937" s="262" t="s">
        <v>47</v>
      </c>
      <c r="I937" s="262" t="s">
        <v>48</v>
      </c>
      <c r="J937" s="262">
        <f>SUM(J938:J940)</f>
        <v>0</v>
      </c>
      <c r="K937" s="217"/>
      <c r="L937" s="218"/>
      <c r="M937" s="218"/>
      <c r="N937" s="218"/>
      <c r="O937" s="218"/>
      <c r="P937" s="218">
        <v>14511</v>
      </c>
      <c r="Q937" s="218">
        <f>SUM(K937:P937)</f>
        <v>14511</v>
      </c>
      <c r="R937" s="270" t="s">
        <v>41</v>
      </c>
      <c r="S937" s="266" t="s">
        <v>49</v>
      </c>
      <c r="T937" s="229"/>
      <c r="V937" s="241" t="str">
        <f>B937</f>
        <v>고</v>
      </c>
      <c r="W937" s="241" t="str">
        <f>C937</f>
        <v>공립</v>
      </c>
      <c r="X937" s="241" t="str">
        <f>D937</f>
        <v>홍천고</v>
      </c>
      <c r="Y937" s="241" t="str">
        <f>E937</f>
        <v xml:space="preserve"> 매점(1동) 샌드위치패널해소</v>
      </c>
      <c r="Z937" s="241" t="str">
        <f>F937</f>
        <v>21㎡</v>
      </c>
      <c r="AA937" s="244">
        <f>Q937</f>
        <v>14511</v>
      </c>
      <c r="AB937" s="271" t="str">
        <f>R937</f>
        <v>1회추경</v>
      </c>
      <c r="AC937" s="241">
        <v>620</v>
      </c>
    </row>
    <row r="938" spans="1:29" ht="26.1" customHeight="1">
      <c r="A938" s="208"/>
      <c r="B938" s="211"/>
      <c r="C938" s="211"/>
      <c r="D938" s="212"/>
      <c r="E938" s="210" t="str">
        <f>IFERROR(VLOOKUP($T938,공사현장대장!$A$5:$T$330,4),"")</f>
        <v/>
      </c>
      <c r="F938" s="212"/>
      <c r="G938" s="265"/>
      <c r="H938" s="265"/>
      <c r="I938" s="265"/>
      <c r="J938" s="265" t="str">
        <f>IFERROR(ROUND(VLOOKUP($T938,공사현장대장!$A$5:$T$330,9)/1000,0),"")</f>
        <v/>
      </c>
      <c r="K938" s="225"/>
      <c r="L938" s="209"/>
      <c r="M938" s="209"/>
      <c r="N938" s="209"/>
      <c r="O938" s="209"/>
      <c r="P938" s="209"/>
      <c r="Q938" s="209"/>
      <c r="R938" s="263" t="s">
        <v>41</v>
      </c>
      <c r="S938" s="266" t="s">
        <v>49</v>
      </c>
      <c r="T938" s="229"/>
      <c r="AA938" s="244"/>
      <c r="AB938" s="271"/>
    </row>
    <row r="939" spans="1:29" ht="26.1" customHeight="1">
      <c r="A939" s="208"/>
      <c r="B939" s="211"/>
      <c r="C939" s="211"/>
      <c r="D939" s="212"/>
      <c r="E939" s="210" t="str">
        <f>IFERROR(VLOOKUP($T939,공사현장대장!$A$5:$T$330,4),"")</f>
        <v/>
      </c>
      <c r="F939" s="212"/>
      <c r="G939" s="265"/>
      <c r="H939" s="265"/>
      <c r="I939" s="265"/>
      <c r="J939" s="265" t="str">
        <f>IFERROR(ROUND(VLOOKUP($T939,공사현장대장!$A$5:$T$330,9)/1000,0),"")</f>
        <v/>
      </c>
      <c r="K939" s="225"/>
      <c r="L939" s="209"/>
      <c r="M939" s="209"/>
      <c r="N939" s="209"/>
      <c r="O939" s="209"/>
      <c r="P939" s="209"/>
      <c r="Q939" s="209"/>
      <c r="R939" s="263" t="s">
        <v>41</v>
      </c>
      <c r="S939" s="266" t="s">
        <v>49</v>
      </c>
      <c r="T939" s="229"/>
      <c r="AA939" s="244"/>
      <c r="AB939" s="271"/>
    </row>
    <row r="940" spans="1:29" ht="26.1" customHeight="1">
      <c r="A940" s="208"/>
      <c r="B940" s="211"/>
      <c r="C940" s="211"/>
      <c r="D940" s="212"/>
      <c r="E940" s="210" t="str">
        <f>IFERROR(VLOOKUP($T940,공사현장대장!$A$5:$T$330,4),"")</f>
        <v/>
      </c>
      <c r="F940" s="212"/>
      <c r="G940" s="265"/>
      <c r="H940" s="265"/>
      <c r="I940" s="265"/>
      <c r="J940" s="265" t="str">
        <f>IFERROR(ROUND(VLOOKUP($T940,공사현장대장!$A$5:$T$330,9)/1000,0),"")</f>
        <v/>
      </c>
      <c r="K940" s="225"/>
      <c r="L940" s="209"/>
      <c r="M940" s="209"/>
      <c r="N940" s="209"/>
      <c r="O940" s="209"/>
      <c r="P940" s="209"/>
      <c r="Q940" s="209"/>
      <c r="R940" s="263" t="s">
        <v>41</v>
      </c>
      <c r="S940" s="266" t="s">
        <v>49</v>
      </c>
      <c r="T940" s="229"/>
      <c r="AA940" s="244"/>
      <c r="AB940" s="271"/>
    </row>
    <row r="941" spans="1:29" ht="26.1" customHeight="1">
      <c r="A941" s="324" t="s">
        <v>40</v>
      </c>
      <c r="B941" s="325"/>
      <c r="C941" s="325"/>
      <c r="D941" s="325"/>
      <c r="E941" s="326"/>
      <c r="F941" s="226"/>
      <c r="G941" s="267"/>
      <c r="H941" s="267"/>
      <c r="I941" s="267"/>
      <c r="J941" s="267"/>
      <c r="K941" s="227">
        <f t="shared" ref="K941:Q941" si="186">SUM(K937-SUM(K938:K940))</f>
        <v>0</v>
      </c>
      <c r="L941" s="227">
        <f t="shared" si="186"/>
        <v>0</v>
      </c>
      <c r="M941" s="227">
        <f t="shared" si="186"/>
        <v>0</v>
      </c>
      <c r="N941" s="227">
        <f t="shared" si="186"/>
        <v>0</v>
      </c>
      <c r="O941" s="227">
        <f t="shared" si="186"/>
        <v>0</v>
      </c>
      <c r="P941" s="227">
        <f t="shared" si="186"/>
        <v>14511</v>
      </c>
      <c r="Q941" s="227">
        <f t="shared" si="186"/>
        <v>14511</v>
      </c>
      <c r="R941" s="268" t="s">
        <v>41</v>
      </c>
      <c r="S941" s="269" t="s">
        <v>49</v>
      </c>
      <c r="T941" s="230"/>
      <c r="AA941" s="244"/>
      <c r="AB941" s="271"/>
    </row>
    <row r="942" spans="1:29" ht="26.1" customHeight="1">
      <c r="A942" s="213" t="s">
        <v>29</v>
      </c>
      <c r="B942" s="214" t="s">
        <v>384</v>
      </c>
      <c r="C942" s="214" t="s">
        <v>31</v>
      </c>
      <c r="D942" s="215" t="s">
        <v>415</v>
      </c>
      <c r="E942" s="216" t="s">
        <v>416</v>
      </c>
      <c r="F942" s="215" t="s">
        <v>417</v>
      </c>
      <c r="G942" s="262" t="s">
        <v>46</v>
      </c>
      <c r="H942" s="262" t="s">
        <v>54</v>
      </c>
      <c r="I942" s="262" t="s">
        <v>55</v>
      </c>
      <c r="J942" s="262">
        <f>SUM(J943:J945)</f>
        <v>0</v>
      </c>
      <c r="K942" s="217"/>
      <c r="L942" s="218">
        <v>223300</v>
      </c>
      <c r="M942" s="218"/>
      <c r="N942" s="218"/>
      <c r="O942" s="218"/>
      <c r="P942" s="218"/>
      <c r="Q942" s="218">
        <f>SUM(K942:P942)</f>
        <v>223300</v>
      </c>
      <c r="R942" s="263" t="s">
        <v>38</v>
      </c>
      <c r="S942" s="266" t="s">
        <v>49</v>
      </c>
      <c r="T942" s="229"/>
    </row>
    <row r="943" spans="1:29" ht="26.1" customHeight="1">
      <c r="A943" s="208"/>
      <c r="B943" s="211"/>
      <c r="C943" s="211"/>
      <c r="D943" s="212"/>
      <c r="E943" s="210" t="str">
        <f>IFERROR(VLOOKUP($T943,공사현장대장!$A$5:$T$330,4),"")</f>
        <v/>
      </c>
      <c r="F943" s="212"/>
      <c r="G943" s="265"/>
      <c r="H943" s="265"/>
      <c r="I943" s="265"/>
      <c r="J943" s="265" t="str">
        <f>IFERROR(ROUND(VLOOKUP($T943,공사현장대장!$A$5:$T$330,9)/1000,0),"")</f>
        <v/>
      </c>
      <c r="K943" s="225"/>
      <c r="L943" s="209"/>
      <c r="M943" s="209"/>
      <c r="N943" s="209"/>
      <c r="O943" s="209"/>
      <c r="P943" s="209"/>
      <c r="Q943" s="209"/>
      <c r="R943" s="263" t="s">
        <v>38</v>
      </c>
      <c r="S943" s="266" t="s">
        <v>49</v>
      </c>
      <c r="T943" s="229"/>
    </row>
    <row r="944" spans="1:29" ht="26.1" customHeight="1">
      <c r="A944" s="208"/>
      <c r="B944" s="211"/>
      <c r="C944" s="211"/>
      <c r="D944" s="212"/>
      <c r="E944" s="210" t="str">
        <f>IFERROR(VLOOKUP($T944,공사현장대장!$A$5:$T$330,4),"")</f>
        <v/>
      </c>
      <c r="F944" s="212"/>
      <c r="G944" s="265"/>
      <c r="H944" s="265"/>
      <c r="I944" s="265"/>
      <c r="J944" s="265" t="str">
        <f>IFERROR(ROUND(VLOOKUP($T944,공사현장대장!$A$5:$T$330,9)/1000,0),"")</f>
        <v/>
      </c>
      <c r="K944" s="225"/>
      <c r="L944" s="209"/>
      <c r="M944" s="209"/>
      <c r="N944" s="209"/>
      <c r="O944" s="209"/>
      <c r="P944" s="209"/>
      <c r="Q944" s="209"/>
      <c r="R944" s="263" t="s">
        <v>38</v>
      </c>
      <c r="S944" s="266" t="s">
        <v>49</v>
      </c>
      <c r="T944" s="229"/>
    </row>
    <row r="945" spans="1:20" ht="26.1" customHeight="1">
      <c r="A945" s="208"/>
      <c r="B945" s="211"/>
      <c r="C945" s="211"/>
      <c r="D945" s="212"/>
      <c r="E945" s="210" t="str">
        <f>IFERROR(VLOOKUP($T945,공사현장대장!$A$5:$T$330,4),"")</f>
        <v/>
      </c>
      <c r="F945" s="212"/>
      <c r="G945" s="265"/>
      <c r="H945" s="265"/>
      <c r="I945" s="265"/>
      <c r="J945" s="265" t="str">
        <f>IFERROR(ROUND(VLOOKUP($T945,공사현장대장!$A$5:$T$330,9)/1000,0),"")</f>
        <v/>
      </c>
      <c r="K945" s="225"/>
      <c r="L945" s="209"/>
      <c r="M945" s="209"/>
      <c r="N945" s="209"/>
      <c r="O945" s="209"/>
      <c r="P945" s="209"/>
      <c r="Q945" s="209"/>
      <c r="R945" s="263" t="s">
        <v>38</v>
      </c>
      <c r="S945" s="266" t="s">
        <v>49</v>
      </c>
      <c r="T945" s="229"/>
    </row>
    <row r="946" spans="1:20" ht="26.1" customHeight="1">
      <c r="A946" s="324" t="s">
        <v>40</v>
      </c>
      <c r="B946" s="325"/>
      <c r="C946" s="325"/>
      <c r="D946" s="325"/>
      <c r="E946" s="326"/>
      <c r="F946" s="226"/>
      <c r="G946" s="267"/>
      <c r="H946" s="267"/>
      <c r="I946" s="267"/>
      <c r="J946" s="267"/>
      <c r="K946" s="227">
        <f t="shared" ref="K946:Q946" si="187">SUM(K942-SUM(K943:K945))</f>
        <v>0</v>
      </c>
      <c r="L946" s="227">
        <f t="shared" si="187"/>
        <v>223300</v>
      </c>
      <c r="M946" s="227">
        <f t="shared" si="187"/>
        <v>0</v>
      </c>
      <c r="N946" s="227">
        <f t="shared" si="187"/>
        <v>0</v>
      </c>
      <c r="O946" s="227">
        <f t="shared" si="187"/>
        <v>0</v>
      </c>
      <c r="P946" s="227">
        <f t="shared" si="187"/>
        <v>0</v>
      </c>
      <c r="Q946" s="227">
        <f t="shared" si="187"/>
        <v>223300</v>
      </c>
      <c r="R946" s="268" t="s">
        <v>38</v>
      </c>
      <c r="S946" s="269" t="s">
        <v>49</v>
      </c>
      <c r="T946" s="230"/>
    </row>
    <row r="947" spans="1:20" ht="26.1" customHeight="1">
      <c r="A947" s="213" t="s">
        <v>29</v>
      </c>
      <c r="B947" s="214" t="s">
        <v>384</v>
      </c>
      <c r="C947" s="214" t="s">
        <v>31</v>
      </c>
      <c r="D947" s="215" t="s">
        <v>415</v>
      </c>
      <c r="E947" s="216" t="s">
        <v>418</v>
      </c>
      <c r="F947" s="215" t="s">
        <v>419</v>
      </c>
      <c r="G947" s="262" t="s">
        <v>46</v>
      </c>
      <c r="H947" s="262" t="s">
        <v>54</v>
      </c>
      <c r="I947" s="262" t="s">
        <v>55</v>
      </c>
      <c r="J947" s="262">
        <f>SUM(J948:J950)</f>
        <v>0</v>
      </c>
      <c r="K947" s="217"/>
      <c r="L947" s="218">
        <v>158550</v>
      </c>
      <c r="M947" s="218"/>
      <c r="N947" s="218"/>
      <c r="O947" s="218"/>
      <c r="P947" s="218"/>
      <c r="Q947" s="218">
        <f>SUM(K947:P947)</f>
        <v>158550</v>
      </c>
      <c r="R947" s="274" t="s">
        <v>87</v>
      </c>
      <c r="S947" s="266" t="s">
        <v>49</v>
      </c>
      <c r="T947" s="229"/>
    </row>
    <row r="948" spans="1:20" ht="26.1" customHeight="1">
      <c r="A948" s="208"/>
      <c r="B948" s="211"/>
      <c r="C948" s="211"/>
      <c r="D948" s="212"/>
      <c r="E948" s="210" t="str">
        <f>IFERROR(VLOOKUP($T948,공사현장대장!$A$5:$T$330,4),"")</f>
        <v/>
      </c>
      <c r="F948" s="212"/>
      <c r="G948" s="265"/>
      <c r="H948" s="265"/>
      <c r="I948" s="265"/>
      <c r="J948" s="265" t="str">
        <f>IFERROR(ROUND(VLOOKUP($T948,공사현장대장!$A$5:$T$330,9)/1000,0),"")</f>
        <v/>
      </c>
      <c r="K948" s="225"/>
      <c r="L948" s="209"/>
      <c r="M948" s="209"/>
      <c r="N948" s="209"/>
      <c r="O948" s="209"/>
      <c r="P948" s="209"/>
      <c r="Q948" s="209"/>
      <c r="R948" s="263" t="s">
        <v>87</v>
      </c>
      <c r="S948" s="266" t="s">
        <v>49</v>
      </c>
      <c r="T948" s="229"/>
    </row>
    <row r="949" spans="1:20" ht="26.1" customHeight="1">
      <c r="A949" s="208"/>
      <c r="B949" s="211"/>
      <c r="C949" s="211"/>
      <c r="D949" s="212"/>
      <c r="E949" s="210" t="str">
        <f>IFERROR(VLOOKUP($T949,공사현장대장!$A$5:$T$330,4),"")</f>
        <v/>
      </c>
      <c r="F949" s="212"/>
      <c r="G949" s="265"/>
      <c r="H949" s="265"/>
      <c r="I949" s="265"/>
      <c r="J949" s="265" t="str">
        <f>IFERROR(ROUND(VLOOKUP($T949,공사현장대장!$A$5:$T$330,9)/1000,0),"")</f>
        <v/>
      </c>
      <c r="K949" s="225"/>
      <c r="L949" s="209"/>
      <c r="M949" s="209"/>
      <c r="N949" s="209"/>
      <c r="O949" s="209"/>
      <c r="P949" s="209"/>
      <c r="Q949" s="209"/>
      <c r="R949" s="263" t="s">
        <v>87</v>
      </c>
      <c r="S949" s="266" t="s">
        <v>49</v>
      </c>
      <c r="T949" s="229"/>
    </row>
    <row r="950" spans="1:20" ht="26.1" customHeight="1">
      <c r="A950" s="208"/>
      <c r="B950" s="211"/>
      <c r="C950" s="211"/>
      <c r="D950" s="212"/>
      <c r="E950" s="210" t="str">
        <f>IFERROR(VLOOKUP($T950,공사현장대장!$A$5:$T$330,4),"")</f>
        <v/>
      </c>
      <c r="F950" s="212"/>
      <c r="G950" s="265"/>
      <c r="H950" s="265"/>
      <c r="I950" s="265"/>
      <c r="J950" s="265" t="str">
        <f>IFERROR(ROUND(VLOOKUP($T950,공사현장대장!$A$5:$T$330,9)/1000,0),"")</f>
        <v/>
      </c>
      <c r="K950" s="225"/>
      <c r="L950" s="209"/>
      <c r="M950" s="209"/>
      <c r="N950" s="209"/>
      <c r="O950" s="209"/>
      <c r="P950" s="209"/>
      <c r="Q950" s="209"/>
      <c r="R950" s="263" t="s">
        <v>87</v>
      </c>
      <c r="S950" s="266" t="s">
        <v>49</v>
      </c>
      <c r="T950" s="229"/>
    </row>
    <row r="951" spans="1:20" ht="26.1" customHeight="1">
      <c r="A951" s="324" t="s">
        <v>40</v>
      </c>
      <c r="B951" s="325"/>
      <c r="C951" s="325"/>
      <c r="D951" s="325"/>
      <c r="E951" s="326"/>
      <c r="F951" s="226"/>
      <c r="G951" s="267"/>
      <c r="H951" s="267"/>
      <c r="I951" s="267"/>
      <c r="J951" s="267"/>
      <c r="K951" s="227">
        <f t="shared" ref="K951:Q951" si="188">SUM(K947-SUM(K948:K950))</f>
        <v>0</v>
      </c>
      <c r="L951" s="227">
        <f t="shared" si="188"/>
        <v>158550</v>
      </c>
      <c r="M951" s="227">
        <f t="shared" si="188"/>
        <v>0</v>
      </c>
      <c r="N951" s="227">
        <f t="shared" si="188"/>
        <v>0</v>
      </c>
      <c r="O951" s="227">
        <f t="shared" si="188"/>
        <v>0</v>
      </c>
      <c r="P951" s="227">
        <f t="shared" si="188"/>
        <v>0</v>
      </c>
      <c r="Q951" s="227">
        <f t="shared" si="188"/>
        <v>158550</v>
      </c>
      <c r="R951" s="268" t="s">
        <v>87</v>
      </c>
      <c r="S951" s="269" t="s">
        <v>49</v>
      </c>
      <c r="T951" s="230"/>
    </row>
    <row r="952" spans="1:20" ht="26.1" customHeight="1">
      <c r="A952" s="213" t="s">
        <v>29</v>
      </c>
      <c r="B952" s="214" t="s">
        <v>384</v>
      </c>
      <c r="C952" s="214" t="s">
        <v>31</v>
      </c>
      <c r="D952" s="215" t="s">
        <v>415</v>
      </c>
      <c r="E952" s="216" t="s">
        <v>420</v>
      </c>
      <c r="F952" s="215" t="s">
        <v>421</v>
      </c>
      <c r="G952" s="262" t="s">
        <v>46</v>
      </c>
      <c r="H952" s="262" t="s">
        <v>54</v>
      </c>
      <c r="I952" s="262" t="s">
        <v>55</v>
      </c>
      <c r="J952" s="262">
        <f>SUM(J953:J955)</f>
        <v>0</v>
      </c>
      <c r="K952" s="217"/>
      <c r="L952" s="218"/>
      <c r="M952" s="218"/>
      <c r="N952" s="218"/>
      <c r="O952" s="218"/>
      <c r="P952" s="218">
        <v>23800</v>
      </c>
      <c r="Q952" s="218">
        <f>SUM(K952:P952)</f>
        <v>23800</v>
      </c>
      <c r="R952" s="263" t="s">
        <v>38</v>
      </c>
      <c r="S952" s="266" t="s">
        <v>49</v>
      </c>
      <c r="T952" s="229"/>
    </row>
    <row r="953" spans="1:20" ht="26.1" customHeight="1">
      <c r="A953" s="208"/>
      <c r="B953" s="211"/>
      <c r="C953" s="211"/>
      <c r="D953" s="212"/>
      <c r="E953" s="210" t="str">
        <f>IFERROR(VLOOKUP($T953,공사현장대장!$A$5:$T$330,4),"")</f>
        <v/>
      </c>
      <c r="F953" s="212"/>
      <c r="G953" s="265"/>
      <c r="H953" s="265"/>
      <c r="I953" s="265"/>
      <c r="J953" s="265" t="str">
        <f>IFERROR(ROUND(VLOOKUP($T953,공사현장대장!$A$5:$T$330,9)/1000,0),"")</f>
        <v/>
      </c>
      <c r="K953" s="225"/>
      <c r="L953" s="209"/>
      <c r="M953" s="209"/>
      <c r="N953" s="209"/>
      <c r="O953" s="209"/>
      <c r="P953" s="209"/>
      <c r="Q953" s="209"/>
      <c r="R953" s="263" t="s">
        <v>38</v>
      </c>
      <c r="S953" s="266" t="s">
        <v>49</v>
      </c>
      <c r="T953" s="229"/>
    </row>
    <row r="954" spans="1:20" ht="26.1" customHeight="1">
      <c r="A954" s="208"/>
      <c r="B954" s="211"/>
      <c r="C954" s="211"/>
      <c r="D954" s="212"/>
      <c r="E954" s="210" t="str">
        <f>IFERROR(VLOOKUP($T954,공사현장대장!$A$5:$T$330,4),"")</f>
        <v/>
      </c>
      <c r="F954" s="212"/>
      <c r="G954" s="265"/>
      <c r="H954" s="265"/>
      <c r="I954" s="265"/>
      <c r="J954" s="265" t="str">
        <f>IFERROR(ROUND(VLOOKUP($T954,공사현장대장!$A$5:$T$330,9)/1000,0),"")</f>
        <v/>
      </c>
      <c r="K954" s="225"/>
      <c r="L954" s="209"/>
      <c r="M954" s="209"/>
      <c r="N954" s="209"/>
      <c r="O954" s="209"/>
      <c r="P954" s="209"/>
      <c r="Q954" s="209"/>
      <c r="R954" s="263" t="s">
        <v>38</v>
      </c>
      <c r="S954" s="266" t="s">
        <v>49</v>
      </c>
      <c r="T954" s="229"/>
    </row>
    <row r="955" spans="1:20" ht="26.1" customHeight="1">
      <c r="A955" s="208"/>
      <c r="B955" s="211"/>
      <c r="C955" s="211"/>
      <c r="D955" s="212"/>
      <c r="E955" s="210" t="str">
        <f>IFERROR(VLOOKUP($T955,공사현장대장!$A$5:$T$330,4),"")</f>
        <v/>
      </c>
      <c r="F955" s="212"/>
      <c r="G955" s="265"/>
      <c r="H955" s="265"/>
      <c r="I955" s="265"/>
      <c r="J955" s="265" t="str">
        <f>IFERROR(ROUND(VLOOKUP($T955,공사현장대장!$A$5:$T$330,9)/1000,0),"")</f>
        <v/>
      </c>
      <c r="K955" s="225"/>
      <c r="L955" s="209"/>
      <c r="M955" s="209"/>
      <c r="N955" s="209"/>
      <c r="O955" s="209"/>
      <c r="P955" s="209"/>
      <c r="Q955" s="209"/>
      <c r="R955" s="263" t="s">
        <v>38</v>
      </c>
      <c r="S955" s="266" t="s">
        <v>49</v>
      </c>
      <c r="T955" s="229"/>
    </row>
    <row r="956" spans="1:20" ht="26.1" customHeight="1">
      <c r="A956" s="324" t="s">
        <v>40</v>
      </c>
      <c r="B956" s="325"/>
      <c r="C956" s="325"/>
      <c r="D956" s="325"/>
      <c r="E956" s="326"/>
      <c r="F956" s="226"/>
      <c r="G956" s="267"/>
      <c r="H956" s="267"/>
      <c r="I956" s="267"/>
      <c r="J956" s="267"/>
      <c r="K956" s="227">
        <f t="shared" ref="K956:Q956" si="189">SUM(K952-SUM(K953:K955))</f>
        <v>0</v>
      </c>
      <c r="L956" s="227">
        <f t="shared" si="189"/>
        <v>0</v>
      </c>
      <c r="M956" s="227">
        <f t="shared" si="189"/>
        <v>0</v>
      </c>
      <c r="N956" s="227">
        <f t="shared" si="189"/>
        <v>0</v>
      </c>
      <c r="O956" s="227">
        <f t="shared" si="189"/>
        <v>0</v>
      </c>
      <c r="P956" s="227">
        <f t="shared" si="189"/>
        <v>23800</v>
      </c>
      <c r="Q956" s="227">
        <f t="shared" si="189"/>
        <v>23800</v>
      </c>
      <c r="R956" s="268" t="s">
        <v>38</v>
      </c>
      <c r="S956" s="269" t="s">
        <v>49</v>
      </c>
      <c r="T956" s="230"/>
    </row>
    <row r="957" spans="1:20" ht="26.1" customHeight="1">
      <c r="A957" s="213" t="s">
        <v>29</v>
      </c>
      <c r="B957" s="214" t="s">
        <v>384</v>
      </c>
      <c r="C957" s="214" t="s">
        <v>31</v>
      </c>
      <c r="D957" s="215" t="s">
        <v>415</v>
      </c>
      <c r="E957" s="216" t="s">
        <v>422</v>
      </c>
      <c r="F957" s="215" t="s">
        <v>423</v>
      </c>
      <c r="G957" s="262" t="s">
        <v>46</v>
      </c>
      <c r="H957" s="262" t="s">
        <v>54</v>
      </c>
      <c r="I957" s="262" t="s">
        <v>55</v>
      </c>
      <c r="J957" s="262">
        <f>SUM(J958:J960)</f>
        <v>0</v>
      </c>
      <c r="K957" s="217"/>
      <c r="L957" s="218">
        <v>236950</v>
      </c>
      <c r="M957" s="218"/>
      <c r="N957" s="218"/>
      <c r="O957" s="218"/>
      <c r="P957" s="218"/>
      <c r="Q957" s="218">
        <f>SUM(K957:P957)</f>
        <v>236950</v>
      </c>
      <c r="R957" s="263" t="s">
        <v>38</v>
      </c>
      <c r="S957" s="266" t="s">
        <v>49</v>
      </c>
      <c r="T957" s="229"/>
    </row>
    <row r="958" spans="1:20" ht="26.1" customHeight="1">
      <c r="A958" s="208"/>
      <c r="B958" s="211"/>
      <c r="C958" s="211"/>
      <c r="D958" s="212"/>
      <c r="E958" s="210" t="str">
        <f>IFERROR(VLOOKUP($T958,공사현장대장!$A$5:$T$330,4),"")</f>
        <v/>
      </c>
      <c r="F958" s="212"/>
      <c r="G958" s="265"/>
      <c r="H958" s="265"/>
      <c r="I958" s="265"/>
      <c r="J958" s="265" t="str">
        <f>IFERROR(ROUND(VLOOKUP($T958,공사현장대장!$A$5:$T$330,9)/1000,0),"")</f>
        <v/>
      </c>
      <c r="K958" s="225"/>
      <c r="L958" s="209"/>
      <c r="M958" s="209"/>
      <c r="N958" s="209"/>
      <c r="O958" s="209"/>
      <c r="P958" s="209"/>
      <c r="Q958" s="209"/>
      <c r="R958" s="263" t="s">
        <v>38</v>
      </c>
      <c r="S958" s="266" t="s">
        <v>49</v>
      </c>
      <c r="T958" s="229"/>
    </row>
    <row r="959" spans="1:20" ht="26.1" customHeight="1">
      <c r="A959" s="208"/>
      <c r="B959" s="211"/>
      <c r="C959" s="211"/>
      <c r="D959" s="212"/>
      <c r="E959" s="210" t="str">
        <f>IFERROR(VLOOKUP($T959,공사현장대장!$A$5:$T$330,4),"")</f>
        <v/>
      </c>
      <c r="F959" s="212"/>
      <c r="G959" s="265"/>
      <c r="H959" s="265"/>
      <c r="I959" s="265"/>
      <c r="J959" s="265" t="str">
        <f>IFERROR(ROUND(VLOOKUP($T959,공사현장대장!$A$5:$T$330,9)/1000,0),"")</f>
        <v/>
      </c>
      <c r="K959" s="225"/>
      <c r="L959" s="209"/>
      <c r="M959" s="209"/>
      <c r="N959" s="209"/>
      <c r="O959" s="209"/>
      <c r="P959" s="209"/>
      <c r="Q959" s="209"/>
      <c r="R959" s="263" t="s">
        <v>38</v>
      </c>
      <c r="S959" s="266" t="s">
        <v>49</v>
      </c>
      <c r="T959" s="229"/>
    </row>
    <row r="960" spans="1:20" ht="26.1" customHeight="1">
      <c r="A960" s="208"/>
      <c r="B960" s="211"/>
      <c r="C960" s="211"/>
      <c r="D960" s="212"/>
      <c r="E960" s="210" t="str">
        <f>IFERROR(VLOOKUP($T960,공사현장대장!$A$5:$T$330,4),"")</f>
        <v/>
      </c>
      <c r="F960" s="212"/>
      <c r="G960" s="265"/>
      <c r="H960" s="265"/>
      <c r="I960" s="265"/>
      <c r="J960" s="265" t="str">
        <f>IFERROR(ROUND(VLOOKUP($T960,공사현장대장!$A$5:$T$330,9)/1000,0),"")</f>
        <v/>
      </c>
      <c r="K960" s="225"/>
      <c r="L960" s="209"/>
      <c r="M960" s="209"/>
      <c r="N960" s="209"/>
      <c r="O960" s="209"/>
      <c r="P960" s="209"/>
      <c r="Q960" s="209"/>
      <c r="R960" s="263" t="s">
        <v>38</v>
      </c>
      <c r="S960" s="266" t="s">
        <v>49</v>
      </c>
      <c r="T960" s="229"/>
    </row>
    <row r="961" spans="1:20" ht="26.1" customHeight="1">
      <c r="A961" s="324" t="s">
        <v>40</v>
      </c>
      <c r="B961" s="325"/>
      <c r="C961" s="325"/>
      <c r="D961" s="325"/>
      <c r="E961" s="326"/>
      <c r="F961" s="226"/>
      <c r="G961" s="267"/>
      <c r="H961" s="267"/>
      <c r="I961" s="267"/>
      <c r="J961" s="267"/>
      <c r="K961" s="227">
        <f t="shared" ref="K961:Q961" si="190">SUM(K957-SUM(K958:K960))</f>
        <v>0</v>
      </c>
      <c r="L961" s="227">
        <f t="shared" si="190"/>
        <v>236950</v>
      </c>
      <c r="M961" s="227">
        <f t="shared" si="190"/>
        <v>0</v>
      </c>
      <c r="N961" s="227">
        <f t="shared" si="190"/>
        <v>0</v>
      </c>
      <c r="O961" s="227">
        <f t="shared" si="190"/>
        <v>0</v>
      </c>
      <c r="P961" s="227">
        <f t="shared" si="190"/>
        <v>0</v>
      </c>
      <c r="Q961" s="227">
        <f t="shared" si="190"/>
        <v>236950</v>
      </c>
      <c r="R961" s="268" t="s">
        <v>38</v>
      </c>
      <c r="S961" s="269" t="s">
        <v>49</v>
      </c>
      <c r="T961" s="230"/>
    </row>
    <row r="962" spans="1:20" ht="26.1" customHeight="1">
      <c r="A962" s="213" t="s">
        <v>29</v>
      </c>
      <c r="B962" s="214" t="s">
        <v>384</v>
      </c>
      <c r="C962" s="214" t="s">
        <v>31</v>
      </c>
      <c r="D962" s="215" t="s">
        <v>415</v>
      </c>
      <c r="E962" s="216" t="s">
        <v>424</v>
      </c>
      <c r="F962" s="215" t="s">
        <v>250</v>
      </c>
      <c r="G962" s="262" t="s">
        <v>46</v>
      </c>
      <c r="H962" s="262" t="s">
        <v>54</v>
      </c>
      <c r="I962" s="262" t="s">
        <v>55</v>
      </c>
      <c r="J962" s="262">
        <f>SUM(J963:J965)</f>
        <v>0</v>
      </c>
      <c r="K962" s="217"/>
      <c r="L962" s="218">
        <v>53550</v>
      </c>
      <c r="M962" s="218"/>
      <c r="N962" s="218"/>
      <c r="O962" s="218"/>
      <c r="P962" s="218"/>
      <c r="Q962" s="218">
        <f>SUM(K962:P962)</f>
        <v>53550</v>
      </c>
      <c r="R962" s="274" t="s">
        <v>87</v>
      </c>
      <c r="S962" s="266" t="s">
        <v>49</v>
      </c>
      <c r="T962" s="229"/>
    </row>
    <row r="963" spans="1:20" ht="26.1" customHeight="1">
      <c r="A963" s="208"/>
      <c r="B963" s="211"/>
      <c r="C963" s="211"/>
      <c r="D963" s="212"/>
      <c r="E963" s="210" t="str">
        <f>IFERROR(VLOOKUP($T963,공사현장대장!$A$5:$T$330,4),"")</f>
        <v/>
      </c>
      <c r="F963" s="212"/>
      <c r="G963" s="265"/>
      <c r="H963" s="265"/>
      <c r="I963" s="265"/>
      <c r="J963" s="265" t="str">
        <f>IFERROR(ROUND(VLOOKUP($T963,공사현장대장!$A$5:$T$330,9)/1000,0),"")</f>
        <v/>
      </c>
      <c r="K963" s="225"/>
      <c r="L963" s="209"/>
      <c r="M963" s="209"/>
      <c r="N963" s="209"/>
      <c r="O963" s="209"/>
      <c r="P963" s="209"/>
      <c r="Q963" s="209"/>
      <c r="R963" s="263" t="s">
        <v>87</v>
      </c>
      <c r="S963" s="266" t="s">
        <v>49</v>
      </c>
      <c r="T963" s="229"/>
    </row>
    <row r="964" spans="1:20" ht="26.1" customHeight="1">
      <c r="A964" s="208"/>
      <c r="B964" s="211"/>
      <c r="C964" s="211"/>
      <c r="D964" s="212"/>
      <c r="E964" s="210" t="str">
        <f>IFERROR(VLOOKUP($T964,공사현장대장!$A$5:$T$330,4),"")</f>
        <v/>
      </c>
      <c r="F964" s="212"/>
      <c r="G964" s="265"/>
      <c r="H964" s="265"/>
      <c r="I964" s="265"/>
      <c r="J964" s="265" t="str">
        <f>IFERROR(ROUND(VLOOKUP($T964,공사현장대장!$A$5:$T$330,9)/1000,0),"")</f>
        <v/>
      </c>
      <c r="K964" s="225"/>
      <c r="L964" s="209"/>
      <c r="M964" s="209"/>
      <c r="N964" s="209"/>
      <c r="O964" s="209"/>
      <c r="P964" s="209"/>
      <c r="Q964" s="209"/>
      <c r="R964" s="263" t="s">
        <v>87</v>
      </c>
      <c r="S964" s="266" t="s">
        <v>49</v>
      </c>
      <c r="T964" s="229"/>
    </row>
    <row r="965" spans="1:20" ht="26.1" customHeight="1">
      <c r="A965" s="208"/>
      <c r="B965" s="211"/>
      <c r="C965" s="211"/>
      <c r="D965" s="212"/>
      <c r="E965" s="210" t="str">
        <f>IFERROR(VLOOKUP($T965,공사현장대장!$A$5:$T$330,4),"")</f>
        <v/>
      </c>
      <c r="F965" s="212"/>
      <c r="G965" s="265"/>
      <c r="H965" s="265"/>
      <c r="I965" s="265"/>
      <c r="J965" s="265" t="str">
        <f>IFERROR(ROUND(VLOOKUP($T965,공사현장대장!$A$5:$T$330,9)/1000,0),"")</f>
        <v/>
      </c>
      <c r="K965" s="225"/>
      <c r="L965" s="209"/>
      <c r="M965" s="209"/>
      <c r="N965" s="209"/>
      <c r="O965" s="209"/>
      <c r="P965" s="209"/>
      <c r="Q965" s="209"/>
      <c r="R965" s="263" t="s">
        <v>87</v>
      </c>
      <c r="S965" s="266" t="s">
        <v>49</v>
      </c>
      <c r="T965" s="229"/>
    </row>
    <row r="966" spans="1:20" ht="26.1" customHeight="1">
      <c r="A966" s="324" t="s">
        <v>40</v>
      </c>
      <c r="B966" s="325"/>
      <c r="C966" s="325"/>
      <c r="D966" s="325"/>
      <c r="E966" s="326"/>
      <c r="F966" s="226"/>
      <c r="G966" s="267"/>
      <c r="H966" s="267"/>
      <c r="I966" s="267"/>
      <c r="J966" s="267"/>
      <c r="K966" s="227">
        <f t="shared" ref="K966:Q966" si="191">SUM(K962-SUM(K963:K965))</f>
        <v>0</v>
      </c>
      <c r="L966" s="227">
        <f t="shared" si="191"/>
        <v>53550</v>
      </c>
      <c r="M966" s="227">
        <f t="shared" si="191"/>
        <v>0</v>
      </c>
      <c r="N966" s="227">
        <f t="shared" si="191"/>
        <v>0</v>
      </c>
      <c r="O966" s="227">
        <f t="shared" si="191"/>
        <v>0</v>
      </c>
      <c r="P966" s="227">
        <f t="shared" si="191"/>
        <v>0</v>
      </c>
      <c r="Q966" s="227">
        <f t="shared" si="191"/>
        <v>53550</v>
      </c>
      <c r="R966" s="268" t="s">
        <v>87</v>
      </c>
      <c r="S966" s="269" t="s">
        <v>49</v>
      </c>
      <c r="T966" s="230"/>
    </row>
    <row r="967" spans="1:20" ht="26.1" customHeight="1">
      <c r="A967" s="213" t="s">
        <v>29</v>
      </c>
      <c r="B967" s="214" t="s">
        <v>384</v>
      </c>
      <c r="C967" s="214" t="s">
        <v>31</v>
      </c>
      <c r="D967" s="215" t="s">
        <v>415</v>
      </c>
      <c r="E967" s="216" t="s">
        <v>425</v>
      </c>
      <c r="F967" s="215" t="s">
        <v>426</v>
      </c>
      <c r="G967" s="262" t="s">
        <v>46</v>
      </c>
      <c r="H967" s="262" t="s">
        <v>361</v>
      </c>
      <c r="I967" s="262" t="s">
        <v>362</v>
      </c>
      <c r="J967" s="262">
        <f>SUM(J968:J970)</f>
        <v>0</v>
      </c>
      <c r="K967" s="217"/>
      <c r="L967" s="218">
        <v>532044</v>
      </c>
      <c r="M967" s="218"/>
      <c r="N967" s="218"/>
      <c r="O967" s="218"/>
      <c r="P967" s="218"/>
      <c r="Q967" s="218">
        <f>SUM(K967:P967)</f>
        <v>532044</v>
      </c>
      <c r="R967" s="263" t="s">
        <v>38</v>
      </c>
      <c r="S967" s="266" t="s">
        <v>49</v>
      </c>
      <c r="T967" s="229"/>
    </row>
    <row r="968" spans="1:20" ht="26.1" customHeight="1">
      <c r="A968" s="208"/>
      <c r="B968" s="211"/>
      <c r="C968" s="211"/>
      <c r="D968" s="212"/>
      <c r="E968" s="210" t="str">
        <f>IFERROR(VLOOKUP($T968,공사현장대장!$A$5:$T$330,4),"")</f>
        <v/>
      </c>
      <c r="F968" s="212"/>
      <c r="G968" s="265"/>
      <c r="H968" s="265"/>
      <c r="I968" s="265"/>
      <c r="J968" s="265" t="str">
        <f>IFERROR(ROUND(VLOOKUP($T968,공사현장대장!$A$5:$T$330,9)/1000,0),"")</f>
        <v/>
      </c>
      <c r="K968" s="225"/>
      <c r="L968" s="209"/>
      <c r="M968" s="209"/>
      <c r="N968" s="209"/>
      <c r="O968" s="209"/>
      <c r="P968" s="209"/>
      <c r="Q968" s="209"/>
      <c r="R968" s="263" t="s">
        <v>38</v>
      </c>
      <c r="S968" s="266" t="s">
        <v>49</v>
      </c>
      <c r="T968" s="229"/>
    </row>
    <row r="969" spans="1:20" ht="26.1" customHeight="1">
      <c r="A969" s="208"/>
      <c r="B969" s="211"/>
      <c r="C969" s="211"/>
      <c r="D969" s="212"/>
      <c r="E969" s="210" t="str">
        <f>IFERROR(VLOOKUP($T969,공사현장대장!$A$5:$T$330,4),"")</f>
        <v/>
      </c>
      <c r="F969" s="212"/>
      <c r="G969" s="265"/>
      <c r="H969" s="265"/>
      <c r="I969" s="265"/>
      <c r="J969" s="265" t="str">
        <f>IFERROR(ROUND(VLOOKUP($T969,공사현장대장!$A$5:$T$330,9)/1000,0),"")</f>
        <v/>
      </c>
      <c r="K969" s="225"/>
      <c r="L969" s="209"/>
      <c r="M969" s="209"/>
      <c r="N969" s="209"/>
      <c r="O969" s="209"/>
      <c r="P969" s="209"/>
      <c r="Q969" s="209"/>
      <c r="R969" s="263" t="s">
        <v>38</v>
      </c>
      <c r="S969" s="266" t="s">
        <v>49</v>
      </c>
      <c r="T969" s="229"/>
    </row>
    <row r="970" spans="1:20" ht="26.1" customHeight="1">
      <c r="A970" s="208"/>
      <c r="B970" s="211"/>
      <c r="C970" s="211"/>
      <c r="D970" s="212"/>
      <c r="E970" s="210" t="str">
        <f>IFERROR(VLOOKUP($T970,공사현장대장!$A$5:$T$330,4),"")</f>
        <v/>
      </c>
      <c r="F970" s="212"/>
      <c r="G970" s="265"/>
      <c r="H970" s="265"/>
      <c r="I970" s="265"/>
      <c r="J970" s="265" t="str">
        <f>IFERROR(ROUND(VLOOKUP($T970,공사현장대장!$A$5:$T$330,9)/1000,0),"")</f>
        <v/>
      </c>
      <c r="K970" s="225"/>
      <c r="L970" s="209"/>
      <c r="M970" s="209"/>
      <c r="N970" s="209"/>
      <c r="O970" s="209"/>
      <c r="P970" s="209"/>
      <c r="Q970" s="209"/>
      <c r="R970" s="263" t="s">
        <v>38</v>
      </c>
      <c r="S970" s="266" t="s">
        <v>49</v>
      </c>
      <c r="T970" s="229"/>
    </row>
    <row r="971" spans="1:20" ht="26.1" customHeight="1">
      <c r="A971" s="324" t="s">
        <v>40</v>
      </c>
      <c r="B971" s="325"/>
      <c r="C971" s="325"/>
      <c r="D971" s="325"/>
      <c r="E971" s="326"/>
      <c r="F971" s="226"/>
      <c r="G971" s="267"/>
      <c r="H971" s="267"/>
      <c r="I971" s="267"/>
      <c r="J971" s="267"/>
      <c r="K971" s="227">
        <f t="shared" ref="K971:Q971" si="192">SUM(K967-SUM(K968:K970))</f>
        <v>0</v>
      </c>
      <c r="L971" s="227">
        <f t="shared" si="192"/>
        <v>532044</v>
      </c>
      <c r="M971" s="227">
        <f t="shared" si="192"/>
        <v>0</v>
      </c>
      <c r="N971" s="227">
        <f t="shared" si="192"/>
        <v>0</v>
      </c>
      <c r="O971" s="227">
        <f t="shared" si="192"/>
        <v>0</v>
      </c>
      <c r="P971" s="227">
        <f t="shared" si="192"/>
        <v>0</v>
      </c>
      <c r="Q971" s="227">
        <f t="shared" si="192"/>
        <v>532044</v>
      </c>
      <c r="R971" s="268" t="s">
        <v>38</v>
      </c>
      <c r="S971" s="269" t="s">
        <v>49</v>
      </c>
      <c r="T971" s="230"/>
    </row>
    <row r="972" spans="1:20" ht="26.1" customHeight="1">
      <c r="A972" s="213" t="s">
        <v>29</v>
      </c>
      <c r="B972" s="214" t="s">
        <v>384</v>
      </c>
      <c r="C972" s="214" t="s">
        <v>31</v>
      </c>
      <c r="D972" s="215" t="s">
        <v>415</v>
      </c>
      <c r="E972" s="216" t="s">
        <v>427</v>
      </c>
      <c r="F972" s="215" t="s">
        <v>428</v>
      </c>
      <c r="G972" s="262" t="s">
        <v>46</v>
      </c>
      <c r="H972" s="262" t="s">
        <v>361</v>
      </c>
      <c r="I972" s="262" t="s">
        <v>362</v>
      </c>
      <c r="J972" s="262">
        <f>SUM(J973:J975)</f>
        <v>0</v>
      </c>
      <c r="K972" s="217"/>
      <c r="L972" s="218">
        <v>893166</v>
      </c>
      <c r="M972" s="218"/>
      <c r="N972" s="218"/>
      <c r="O972" s="218"/>
      <c r="P972" s="218"/>
      <c r="Q972" s="218">
        <f>SUM(K972:P972)</f>
        <v>893166</v>
      </c>
      <c r="R972" s="263" t="s">
        <v>38</v>
      </c>
      <c r="S972" s="266" t="s">
        <v>49</v>
      </c>
      <c r="T972" s="229"/>
    </row>
    <row r="973" spans="1:20" ht="26.1" customHeight="1">
      <c r="A973" s="208"/>
      <c r="B973" s="211"/>
      <c r="C973" s="211"/>
      <c r="D973" s="212"/>
      <c r="E973" s="210" t="str">
        <f>IFERROR(VLOOKUP($T973,공사현장대장!$A$5:$T$330,4),"")</f>
        <v/>
      </c>
      <c r="F973" s="212"/>
      <c r="G973" s="265"/>
      <c r="H973" s="265"/>
      <c r="I973" s="265"/>
      <c r="J973" s="265" t="str">
        <f>IFERROR(ROUND(VLOOKUP($T973,공사현장대장!$A$5:$T$330,9)/1000,0),"")</f>
        <v/>
      </c>
      <c r="K973" s="225"/>
      <c r="L973" s="209"/>
      <c r="M973" s="209"/>
      <c r="N973" s="209"/>
      <c r="O973" s="209"/>
      <c r="P973" s="209"/>
      <c r="Q973" s="209"/>
      <c r="R973" s="263" t="s">
        <v>38</v>
      </c>
      <c r="S973" s="266" t="s">
        <v>49</v>
      </c>
      <c r="T973" s="229"/>
    </row>
    <row r="974" spans="1:20" ht="26.1" customHeight="1">
      <c r="A974" s="208"/>
      <c r="B974" s="211"/>
      <c r="C974" s="211"/>
      <c r="D974" s="212"/>
      <c r="E974" s="210" t="str">
        <f>IFERROR(VLOOKUP($T974,공사현장대장!$A$5:$T$330,4),"")</f>
        <v/>
      </c>
      <c r="F974" s="212"/>
      <c r="G974" s="265"/>
      <c r="H974" s="265"/>
      <c r="I974" s="265"/>
      <c r="J974" s="265" t="str">
        <f>IFERROR(ROUND(VLOOKUP($T974,공사현장대장!$A$5:$T$330,9)/1000,0),"")</f>
        <v/>
      </c>
      <c r="K974" s="225"/>
      <c r="L974" s="209"/>
      <c r="M974" s="209"/>
      <c r="N974" s="209"/>
      <c r="O974" s="209"/>
      <c r="P974" s="209"/>
      <c r="Q974" s="209"/>
      <c r="R974" s="263" t="s">
        <v>38</v>
      </c>
      <c r="S974" s="266" t="s">
        <v>49</v>
      </c>
      <c r="T974" s="229"/>
    </row>
    <row r="975" spans="1:20" ht="26.1" customHeight="1">
      <c r="A975" s="208"/>
      <c r="B975" s="211"/>
      <c r="C975" s="211"/>
      <c r="D975" s="212"/>
      <c r="E975" s="210" t="str">
        <f>IFERROR(VLOOKUP($T975,공사현장대장!$A$5:$T$330,4),"")</f>
        <v/>
      </c>
      <c r="F975" s="212"/>
      <c r="G975" s="265"/>
      <c r="H975" s="265"/>
      <c r="I975" s="265"/>
      <c r="J975" s="265" t="str">
        <f>IFERROR(ROUND(VLOOKUP($T975,공사현장대장!$A$5:$T$330,9)/1000,0),"")</f>
        <v/>
      </c>
      <c r="K975" s="225"/>
      <c r="L975" s="209"/>
      <c r="M975" s="209"/>
      <c r="N975" s="209"/>
      <c r="O975" s="209"/>
      <c r="P975" s="209"/>
      <c r="Q975" s="209"/>
      <c r="R975" s="263" t="s">
        <v>38</v>
      </c>
      <c r="S975" s="266" t="s">
        <v>49</v>
      </c>
      <c r="T975" s="229"/>
    </row>
    <row r="976" spans="1:20" ht="26.1" customHeight="1">
      <c r="A976" s="324" t="s">
        <v>40</v>
      </c>
      <c r="B976" s="325"/>
      <c r="C976" s="325"/>
      <c r="D976" s="325"/>
      <c r="E976" s="326"/>
      <c r="F976" s="226"/>
      <c r="G976" s="267"/>
      <c r="H976" s="267"/>
      <c r="I976" s="267"/>
      <c r="J976" s="267"/>
      <c r="K976" s="227">
        <f t="shared" ref="K976:Q976" si="193">SUM(K972-SUM(K973:K975))</f>
        <v>0</v>
      </c>
      <c r="L976" s="227">
        <f t="shared" si="193"/>
        <v>893166</v>
      </c>
      <c r="M976" s="227">
        <f t="shared" si="193"/>
        <v>0</v>
      </c>
      <c r="N976" s="227">
        <f t="shared" si="193"/>
        <v>0</v>
      </c>
      <c r="O976" s="227">
        <f t="shared" si="193"/>
        <v>0</v>
      </c>
      <c r="P976" s="227">
        <f t="shared" si="193"/>
        <v>0</v>
      </c>
      <c r="Q976" s="227">
        <f t="shared" si="193"/>
        <v>893166</v>
      </c>
      <c r="R976" s="268" t="s">
        <v>38</v>
      </c>
      <c r="S976" s="269" t="s">
        <v>49</v>
      </c>
      <c r="T976" s="230"/>
    </row>
    <row r="977" spans="1:29" ht="26.1" customHeight="1">
      <c r="A977" s="213" t="s">
        <v>29</v>
      </c>
      <c r="B977" s="214" t="s">
        <v>384</v>
      </c>
      <c r="C977" s="214" t="s">
        <v>31</v>
      </c>
      <c r="D977" s="215" t="s">
        <v>415</v>
      </c>
      <c r="E977" s="216" t="s">
        <v>63</v>
      </c>
      <c r="F977" s="215" t="s">
        <v>429</v>
      </c>
      <c r="G977" s="262" t="s">
        <v>46</v>
      </c>
      <c r="H977" s="262" t="s">
        <v>65</v>
      </c>
      <c r="I977" s="262" t="s">
        <v>66</v>
      </c>
      <c r="J977" s="262">
        <f>SUM(J978:J980)</f>
        <v>0</v>
      </c>
      <c r="K977" s="218"/>
      <c r="L977" s="218">
        <v>28410</v>
      </c>
      <c r="M977" s="218"/>
      <c r="N977" s="218"/>
      <c r="O977" s="218"/>
      <c r="P977" s="218"/>
      <c r="Q977" s="218">
        <f>SUM(K977:P977)</f>
        <v>28410</v>
      </c>
      <c r="R977" s="263" t="s">
        <v>38</v>
      </c>
      <c r="S977" s="266" t="s">
        <v>49</v>
      </c>
      <c r="T977" s="229"/>
      <c r="V977" s="241" t="s">
        <v>430</v>
      </c>
    </row>
    <row r="978" spans="1:29" ht="26.1" customHeight="1">
      <c r="A978" s="208"/>
      <c r="B978" s="211"/>
      <c r="C978" s="211"/>
      <c r="D978" s="212"/>
      <c r="E978" s="210" t="str">
        <f>IFERROR(VLOOKUP($T978,공사현장대장!$A$5:$T$330,4),"")</f>
        <v/>
      </c>
      <c r="F978" s="212"/>
      <c r="G978" s="265"/>
      <c r="H978" s="265"/>
      <c r="I978" s="265"/>
      <c r="J978" s="265" t="str">
        <f>IFERROR(ROUND(VLOOKUP($T978,공사현장대장!$A$5:$T$330,9)/1000,0),"")</f>
        <v/>
      </c>
      <c r="K978" s="225"/>
      <c r="L978" s="209"/>
      <c r="M978" s="209"/>
      <c r="N978" s="209"/>
      <c r="O978" s="209"/>
      <c r="P978" s="209"/>
      <c r="Q978" s="209"/>
      <c r="R978" s="263" t="s">
        <v>38</v>
      </c>
      <c r="S978" s="266" t="s">
        <v>49</v>
      </c>
      <c r="T978" s="229"/>
    </row>
    <row r="979" spans="1:29" ht="26.1" customHeight="1">
      <c r="A979" s="208"/>
      <c r="B979" s="211"/>
      <c r="C979" s="211"/>
      <c r="D979" s="212"/>
      <c r="E979" s="210" t="str">
        <f>IFERROR(VLOOKUP($T979,공사현장대장!$A$5:$T$330,4),"")</f>
        <v/>
      </c>
      <c r="F979" s="212"/>
      <c r="G979" s="265"/>
      <c r="H979" s="265"/>
      <c r="I979" s="265"/>
      <c r="J979" s="265" t="str">
        <f>IFERROR(ROUND(VLOOKUP($T979,공사현장대장!$A$5:$T$330,9)/1000,0),"")</f>
        <v/>
      </c>
      <c r="K979" s="225"/>
      <c r="L979" s="209"/>
      <c r="M979" s="209"/>
      <c r="N979" s="209"/>
      <c r="O979" s="209"/>
      <c r="P979" s="209"/>
      <c r="Q979" s="209"/>
      <c r="R979" s="263" t="s">
        <v>38</v>
      </c>
      <c r="S979" s="266" t="s">
        <v>49</v>
      </c>
      <c r="T979" s="229"/>
    </row>
    <row r="980" spans="1:29" ht="26.1" customHeight="1">
      <c r="A980" s="208"/>
      <c r="B980" s="211"/>
      <c r="C980" s="211"/>
      <c r="D980" s="212"/>
      <c r="E980" s="210" t="str">
        <f>IFERROR(VLOOKUP($T980,공사현장대장!$A$5:$T$330,4),"")</f>
        <v/>
      </c>
      <c r="F980" s="212"/>
      <c r="G980" s="265"/>
      <c r="H980" s="265"/>
      <c r="I980" s="265"/>
      <c r="J980" s="265" t="str">
        <f>IFERROR(ROUND(VLOOKUP($T980,공사현장대장!$A$5:$T$330,9)/1000,0),"")</f>
        <v/>
      </c>
      <c r="K980" s="225"/>
      <c r="L980" s="209"/>
      <c r="M980" s="209"/>
      <c r="N980" s="209"/>
      <c r="O980" s="209"/>
      <c r="P980" s="209"/>
      <c r="Q980" s="209"/>
      <c r="R980" s="263" t="s">
        <v>38</v>
      </c>
      <c r="S980" s="266" t="s">
        <v>49</v>
      </c>
      <c r="T980" s="229"/>
    </row>
    <row r="981" spans="1:29" ht="26.1" customHeight="1">
      <c r="A981" s="324" t="s">
        <v>40</v>
      </c>
      <c r="B981" s="325"/>
      <c r="C981" s="325"/>
      <c r="D981" s="325"/>
      <c r="E981" s="326"/>
      <c r="F981" s="226"/>
      <c r="G981" s="267"/>
      <c r="H981" s="267"/>
      <c r="I981" s="267"/>
      <c r="J981" s="267"/>
      <c r="K981" s="227">
        <f t="shared" ref="K981:Q981" si="194">SUM(K977-SUM(K978:K980))</f>
        <v>0</v>
      </c>
      <c r="L981" s="227">
        <f t="shared" si="194"/>
        <v>28410</v>
      </c>
      <c r="M981" s="227">
        <f t="shared" si="194"/>
        <v>0</v>
      </c>
      <c r="N981" s="227">
        <f t="shared" si="194"/>
        <v>0</v>
      </c>
      <c r="O981" s="227">
        <f t="shared" si="194"/>
        <v>0</v>
      </c>
      <c r="P981" s="227">
        <f t="shared" si="194"/>
        <v>0</v>
      </c>
      <c r="Q981" s="227">
        <f t="shared" si="194"/>
        <v>28410</v>
      </c>
      <c r="R981" s="268" t="s">
        <v>38</v>
      </c>
      <c r="S981" s="269" t="s">
        <v>49</v>
      </c>
      <c r="T981" s="230"/>
    </row>
    <row r="982" spans="1:29" ht="26.1" customHeight="1">
      <c r="A982" s="213" t="s">
        <v>29</v>
      </c>
      <c r="B982" s="214" t="s">
        <v>384</v>
      </c>
      <c r="C982" s="214" t="s">
        <v>31</v>
      </c>
      <c r="D982" s="215" t="s">
        <v>415</v>
      </c>
      <c r="E982" s="216" t="s">
        <v>67</v>
      </c>
      <c r="F982" s="215" t="s">
        <v>429</v>
      </c>
      <c r="G982" s="262" t="s">
        <v>46</v>
      </c>
      <c r="H982" s="262" t="s">
        <v>65</v>
      </c>
      <c r="I982" s="262" t="s">
        <v>66</v>
      </c>
      <c r="J982" s="262">
        <f>SUM(J983:J985)</f>
        <v>0</v>
      </c>
      <c r="K982" s="217"/>
      <c r="L982" s="218">
        <v>587924</v>
      </c>
      <c r="M982" s="218"/>
      <c r="N982" s="218"/>
      <c r="O982" s="218"/>
      <c r="P982" s="218"/>
      <c r="Q982" s="218">
        <f>SUM(K982:P982)</f>
        <v>587924</v>
      </c>
      <c r="R982" s="270" t="s">
        <v>41</v>
      </c>
      <c r="S982" s="266" t="s">
        <v>49</v>
      </c>
      <c r="T982" s="229"/>
      <c r="V982" s="241" t="str">
        <f>B982</f>
        <v>고</v>
      </c>
      <c r="W982" s="241" t="str">
        <f>C982</f>
        <v>공립</v>
      </c>
      <c r="X982" s="241" t="str">
        <f>D982</f>
        <v>홍천농고</v>
      </c>
      <c r="Y982" s="241" t="str">
        <f>E982</f>
        <v xml:space="preserve"> 다목적실 보수</v>
      </c>
      <c r="Z982" s="241" t="str">
        <f>F982</f>
        <v>723㎡</v>
      </c>
      <c r="AA982" s="244">
        <f>Q982</f>
        <v>587924</v>
      </c>
      <c r="AB982" s="271" t="str">
        <f>R982</f>
        <v>1회추경</v>
      </c>
      <c r="AC982" s="241">
        <v>420</v>
      </c>
    </row>
    <row r="983" spans="1:29" ht="26.1" customHeight="1">
      <c r="A983" s="208"/>
      <c r="B983" s="211"/>
      <c r="C983" s="211"/>
      <c r="D983" s="212"/>
      <c r="E983" s="210" t="str">
        <f>IFERROR(VLOOKUP($T983,공사현장대장!$A$5:$T$330,4),"")</f>
        <v/>
      </c>
      <c r="F983" s="212"/>
      <c r="G983" s="265"/>
      <c r="H983" s="265"/>
      <c r="I983" s="265"/>
      <c r="J983" s="265" t="str">
        <f>IFERROR(ROUND(VLOOKUP($T983,공사현장대장!$A$5:$T$330,9)/1000,0),"")</f>
        <v/>
      </c>
      <c r="K983" s="225"/>
      <c r="L983" s="209"/>
      <c r="M983" s="209"/>
      <c r="N983" s="209"/>
      <c r="O983" s="209"/>
      <c r="P983" s="209"/>
      <c r="Q983" s="209"/>
      <c r="R983" s="263" t="s">
        <v>41</v>
      </c>
      <c r="S983" s="266" t="s">
        <v>49</v>
      </c>
      <c r="T983" s="229"/>
      <c r="AA983" s="244"/>
      <c r="AB983" s="271"/>
    </row>
    <row r="984" spans="1:29" ht="26.1" customHeight="1">
      <c r="A984" s="208"/>
      <c r="B984" s="211"/>
      <c r="C984" s="211"/>
      <c r="D984" s="212"/>
      <c r="E984" s="210" t="str">
        <f>IFERROR(VLOOKUP($T984,공사현장대장!$A$5:$T$330,4),"")</f>
        <v/>
      </c>
      <c r="F984" s="212"/>
      <c r="G984" s="265"/>
      <c r="H984" s="265"/>
      <c r="I984" s="265"/>
      <c r="J984" s="265" t="str">
        <f>IFERROR(ROUND(VLOOKUP($T984,공사현장대장!$A$5:$T$330,9)/1000,0),"")</f>
        <v/>
      </c>
      <c r="K984" s="225"/>
      <c r="L984" s="209"/>
      <c r="M984" s="209"/>
      <c r="N984" s="209"/>
      <c r="O984" s="209"/>
      <c r="P984" s="209"/>
      <c r="Q984" s="209"/>
      <c r="R984" s="263" t="s">
        <v>41</v>
      </c>
      <c r="S984" s="266" t="s">
        <v>49</v>
      </c>
      <c r="T984" s="229"/>
      <c r="AA984" s="244"/>
      <c r="AB984" s="271"/>
    </row>
    <row r="985" spans="1:29" ht="26.1" customHeight="1">
      <c r="A985" s="208"/>
      <c r="B985" s="211"/>
      <c r="C985" s="211"/>
      <c r="D985" s="212"/>
      <c r="E985" s="210" t="str">
        <f>IFERROR(VLOOKUP($T985,공사현장대장!$A$5:$T$330,4),"")</f>
        <v/>
      </c>
      <c r="F985" s="212"/>
      <c r="G985" s="265"/>
      <c r="H985" s="265"/>
      <c r="I985" s="265"/>
      <c r="J985" s="265" t="str">
        <f>IFERROR(ROUND(VLOOKUP($T985,공사현장대장!$A$5:$T$330,9)/1000,0),"")</f>
        <v/>
      </c>
      <c r="K985" s="225"/>
      <c r="L985" s="209"/>
      <c r="M985" s="209"/>
      <c r="N985" s="209"/>
      <c r="O985" s="209"/>
      <c r="P985" s="209"/>
      <c r="Q985" s="209"/>
      <c r="R985" s="263" t="s">
        <v>41</v>
      </c>
      <c r="S985" s="266" t="s">
        <v>49</v>
      </c>
      <c r="T985" s="229"/>
      <c r="AA985" s="244"/>
      <c r="AB985" s="271"/>
    </row>
    <row r="986" spans="1:29" ht="26.1" customHeight="1">
      <c r="A986" s="324" t="s">
        <v>40</v>
      </c>
      <c r="B986" s="325"/>
      <c r="C986" s="325"/>
      <c r="D986" s="325"/>
      <c r="E986" s="326"/>
      <c r="F986" s="226"/>
      <c r="G986" s="267"/>
      <c r="H986" s="267"/>
      <c r="I986" s="267"/>
      <c r="J986" s="267"/>
      <c r="K986" s="227">
        <f t="shared" ref="K986:Q986" si="195">SUM(K982-SUM(K983:K985))</f>
        <v>0</v>
      </c>
      <c r="L986" s="227">
        <f t="shared" si="195"/>
        <v>587924</v>
      </c>
      <c r="M986" s="227">
        <f t="shared" si="195"/>
        <v>0</v>
      </c>
      <c r="N986" s="227">
        <f t="shared" si="195"/>
        <v>0</v>
      </c>
      <c r="O986" s="227">
        <f t="shared" si="195"/>
        <v>0</v>
      </c>
      <c r="P986" s="227">
        <f t="shared" si="195"/>
        <v>0</v>
      </c>
      <c r="Q986" s="227">
        <f t="shared" si="195"/>
        <v>587924</v>
      </c>
      <c r="R986" s="268" t="s">
        <v>41</v>
      </c>
      <c r="S986" s="269" t="s">
        <v>49</v>
      </c>
      <c r="T986" s="230"/>
      <c r="AA986" s="244"/>
      <c r="AB986" s="271"/>
    </row>
    <row r="987" spans="1:29" ht="26.1" customHeight="1">
      <c r="A987" s="213" t="s">
        <v>29</v>
      </c>
      <c r="B987" s="214" t="s">
        <v>384</v>
      </c>
      <c r="C987" s="214" t="s">
        <v>31</v>
      </c>
      <c r="D987" s="215" t="s">
        <v>415</v>
      </c>
      <c r="E987" s="216" t="s">
        <v>431</v>
      </c>
      <c r="F987" s="215" t="s">
        <v>432</v>
      </c>
      <c r="G987" s="262" t="s">
        <v>46</v>
      </c>
      <c r="H987" s="262" t="s">
        <v>433</v>
      </c>
      <c r="I987" s="262" t="s">
        <v>434</v>
      </c>
      <c r="J987" s="262">
        <f>SUM(J988:J990)</f>
        <v>0</v>
      </c>
      <c r="K987" s="217"/>
      <c r="L987" s="218">
        <v>411900</v>
      </c>
      <c r="M987" s="218">
        <v>41190</v>
      </c>
      <c r="N987" s="218"/>
      <c r="O987" s="218"/>
      <c r="P987" s="218"/>
      <c r="Q987" s="218">
        <f>SUM(K987:P987)</f>
        <v>453090</v>
      </c>
      <c r="R987" s="263" t="s">
        <v>38</v>
      </c>
      <c r="S987" s="266" t="s">
        <v>49</v>
      </c>
      <c r="T987" s="229"/>
      <c r="V987" s="241">
        <v>20595</v>
      </c>
      <c r="W987" s="244">
        <f>V987+Q987</f>
        <v>473685</v>
      </c>
    </row>
    <row r="988" spans="1:29" ht="26.1" customHeight="1">
      <c r="A988" s="208"/>
      <c r="B988" s="211"/>
      <c r="C988" s="211"/>
      <c r="D988" s="212"/>
      <c r="E988" s="210" t="str">
        <f>IFERROR(VLOOKUP($T988,공사현장대장!$A$5:$T$330,4),"")</f>
        <v/>
      </c>
      <c r="F988" s="212"/>
      <c r="G988" s="265"/>
      <c r="H988" s="265"/>
      <c r="I988" s="265"/>
      <c r="J988" s="265" t="str">
        <f>IFERROR(ROUND(VLOOKUP($T988,공사현장대장!$A$5:$T$330,9)/1000,0),"")</f>
        <v/>
      </c>
      <c r="K988" s="225"/>
      <c r="L988" s="209"/>
      <c r="M988" s="209"/>
      <c r="N988" s="209"/>
      <c r="O988" s="209"/>
      <c r="P988" s="209"/>
      <c r="Q988" s="209"/>
      <c r="R988" s="263" t="s">
        <v>38</v>
      </c>
      <c r="S988" s="266" t="s">
        <v>49</v>
      </c>
      <c r="T988" s="229"/>
      <c r="W988" s="244"/>
    </row>
    <row r="989" spans="1:29" ht="26.1" customHeight="1">
      <c r="A989" s="208"/>
      <c r="B989" s="211"/>
      <c r="C989" s="211"/>
      <c r="D989" s="212"/>
      <c r="E989" s="210" t="str">
        <f>IFERROR(VLOOKUP($T989,공사현장대장!$A$5:$T$330,4),"")</f>
        <v/>
      </c>
      <c r="F989" s="212"/>
      <c r="G989" s="265"/>
      <c r="H989" s="265"/>
      <c r="I989" s="265"/>
      <c r="J989" s="265" t="str">
        <f>IFERROR(ROUND(VLOOKUP($T989,공사현장대장!$A$5:$T$330,9)/1000,0),"")</f>
        <v/>
      </c>
      <c r="K989" s="225"/>
      <c r="L989" s="209"/>
      <c r="M989" s="209"/>
      <c r="N989" s="209"/>
      <c r="O989" s="209"/>
      <c r="P989" s="209"/>
      <c r="Q989" s="209"/>
      <c r="R989" s="263" t="s">
        <v>38</v>
      </c>
      <c r="S989" s="266" t="s">
        <v>49</v>
      </c>
      <c r="T989" s="229"/>
      <c r="W989" s="244"/>
    </row>
    <row r="990" spans="1:29" ht="26.1" customHeight="1">
      <c r="A990" s="208"/>
      <c r="B990" s="211"/>
      <c r="C990" s="211"/>
      <c r="D990" s="212"/>
      <c r="E990" s="210" t="str">
        <f>IFERROR(VLOOKUP($T990,공사현장대장!$A$5:$T$330,4),"")</f>
        <v/>
      </c>
      <c r="F990" s="212"/>
      <c r="G990" s="265"/>
      <c r="H990" s="265"/>
      <c r="I990" s="265"/>
      <c r="J990" s="265" t="str">
        <f>IFERROR(ROUND(VLOOKUP($T990,공사현장대장!$A$5:$T$330,9)/1000,0),"")</f>
        <v/>
      </c>
      <c r="K990" s="225"/>
      <c r="L990" s="209"/>
      <c r="M990" s="209"/>
      <c r="N990" s="209"/>
      <c r="O990" s="209"/>
      <c r="P990" s="209"/>
      <c r="Q990" s="209"/>
      <c r="R990" s="263" t="s">
        <v>38</v>
      </c>
      <c r="S990" s="266" t="s">
        <v>49</v>
      </c>
      <c r="T990" s="229"/>
      <c r="W990" s="244"/>
    </row>
    <row r="991" spans="1:29" ht="26.1" customHeight="1">
      <c r="A991" s="324" t="s">
        <v>40</v>
      </c>
      <c r="B991" s="325"/>
      <c r="C991" s="325"/>
      <c r="D991" s="325"/>
      <c r="E991" s="326"/>
      <c r="F991" s="226"/>
      <c r="G991" s="267"/>
      <c r="H991" s="267"/>
      <c r="I991" s="267"/>
      <c r="J991" s="267"/>
      <c r="K991" s="227">
        <f t="shared" ref="K991:Q991" si="196">SUM(K987-SUM(K988:K990))</f>
        <v>0</v>
      </c>
      <c r="L991" s="227">
        <f t="shared" si="196"/>
        <v>411900</v>
      </c>
      <c r="M991" s="227">
        <f t="shared" si="196"/>
        <v>41190</v>
      </c>
      <c r="N991" s="227">
        <f t="shared" si="196"/>
        <v>0</v>
      </c>
      <c r="O991" s="227">
        <f t="shared" si="196"/>
        <v>0</v>
      </c>
      <c r="P991" s="227">
        <f t="shared" si="196"/>
        <v>0</v>
      </c>
      <c r="Q991" s="227">
        <f t="shared" si="196"/>
        <v>453090</v>
      </c>
      <c r="R991" s="268" t="s">
        <v>38</v>
      </c>
      <c r="S991" s="269" t="s">
        <v>49</v>
      </c>
      <c r="T991" s="230"/>
      <c r="W991" s="244"/>
    </row>
    <row r="992" spans="1:29" ht="26.1" customHeight="1">
      <c r="A992" s="213" t="s">
        <v>29</v>
      </c>
      <c r="B992" s="214" t="s">
        <v>384</v>
      </c>
      <c r="C992" s="214" t="s">
        <v>31</v>
      </c>
      <c r="D992" s="215" t="s">
        <v>415</v>
      </c>
      <c r="E992" s="216" t="s">
        <v>435</v>
      </c>
      <c r="F992" s="215" t="s">
        <v>436</v>
      </c>
      <c r="G992" s="262" t="s">
        <v>46</v>
      </c>
      <c r="H992" s="262" t="s">
        <v>433</v>
      </c>
      <c r="I992" s="262" t="s">
        <v>437</v>
      </c>
      <c r="J992" s="262">
        <f>SUM(J993:J995)</f>
        <v>0</v>
      </c>
      <c r="K992" s="217"/>
      <c r="L992" s="218">
        <v>502300</v>
      </c>
      <c r="M992" s="218">
        <v>50230</v>
      </c>
      <c r="N992" s="218"/>
      <c r="O992" s="218"/>
      <c r="P992" s="218"/>
      <c r="Q992" s="218">
        <f>SUM(K992:P992)</f>
        <v>552530</v>
      </c>
      <c r="R992" s="263" t="s">
        <v>38</v>
      </c>
      <c r="S992" s="266" t="s">
        <v>49</v>
      </c>
      <c r="T992" s="229"/>
      <c r="V992" s="241">
        <v>25115</v>
      </c>
      <c r="W992" s="244">
        <f>V992+Q992</f>
        <v>577645</v>
      </c>
    </row>
    <row r="993" spans="1:29" ht="26.1" customHeight="1">
      <c r="A993" s="208"/>
      <c r="B993" s="211"/>
      <c r="C993" s="211"/>
      <c r="D993" s="212"/>
      <c r="E993" s="210" t="str">
        <f>IFERROR(VLOOKUP($T993,공사현장대장!$A$5:$T$330,4),"")</f>
        <v/>
      </c>
      <c r="F993" s="212"/>
      <c r="G993" s="265"/>
      <c r="H993" s="265"/>
      <c r="I993" s="265"/>
      <c r="J993" s="265" t="str">
        <f>IFERROR(ROUND(VLOOKUP($T993,공사현장대장!$A$5:$T$330,9)/1000,0),"")</f>
        <v/>
      </c>
      <c r="K993" s="225"/>
      <c r="L993" s="209"/>
      <c r="M993" s="209"/>
      <c r="N993" s="209"/>
      <c r="O993" s="209"/>
      <c r="P993" s="209"/>
      <c r="Q993" s="209"/>
      <c r="R993" s="263" t="s">
        <v>38</v>
      </c>
      <c r="S993" s="266" t="s">
        <v>49</v>
      </c>
      <c r="T993" s="229"/>
      <c r="W993" s="244"/>
    </row>
    <row r="994" spans="1:29" ht="26.1" customHeight="1">
      <c r="A994" s="208"/>
      <c r="B994" s="211"/>
      <c r="C994" s="211"/>
      <c r="D994" s="212"/>
      <c r="E994" s="210" t="str">
        <f>IFERROR(VLOOKUP($T994,공사현장대장!$A$5:$T$330,4),"")</f>
        <v/>
      </c>
      <c r="F994" s="212"/>
      <c r="G994" s="265"/>
      <c r="H994" s="265"/>
      <c r="I994" s="265"/>
      <c r="J994" s="265" t="str">
        <f>IFERROR(ROUND(VLOOKUP($T994,공사현장대장!$A$5:$T$330,9)/1000,0),"")</f>
        <v/>
      </c>
      <c r="K994" s="225"/>
      <c r="L994" s="209"/>
      <c r="M994" s="209"/>
      <c r="N994" s="209"/>
      <c r="O994" s="209"/>
      <c r="P994" s="209"/>
      <c r="Q994" s="209"/>
      <c r="R994" s="263" t="s">
        <v>38</v>
      </c>
      <c r="S994" s="266" t="s">
        <v>49</v>
      </c>
      <c r="T994" s="229"/>
      <c r="W994" s="244"/>
    </row>
    <row r="995" spans="1:29" ht="26.1" customHeight="1">
      <c r="A995" s="208"/>
      <c r="B995" s="211"/>
      <c r="C995" s="211"/>
      <c r="D995" s="212"/>
      <c r="E995" s="210" t="str">
        <f>IFERROR(VLOOKUP($T995,공사현장대장!$A$5:$T$330,4),"")</f>
        <v/>
      </c>
      <c r="F995" s="212"/>
      <c r="G995" s="265"/>
      <c r="H995" s="265"/>
      <c r="I995" s="265"/>
      <c r="J995" s="265" t="str">
        <f>IFERROR(ROUND(VLOOKUP($T995,공사현장대장!$A$5:$T$330,9)/1000,0),"")</f>
        <v/>
      </c>
      <c r="K995" s="225"/>
      <c r="L995" s="209"/>
      <c r="M995" s="209"/>
      <c r="N995" s="209"/>
      <c r="O995" s="209"/>
      <c r="P995" s="209"/>
      <c r="Q995" s="209"/>
      <c r="R995" s="263" t="s">
        <v>38</v>
      </c>
      <c r="S995" s="266" t="s">
        <v>49</v>
      </c>
      <c r="T995" s="229"/>
      <c r="W995" s="244"/>
    </row>
    <row r="996" spans="1:29" ht="26.1" customHeight="1">
      <c r="A996" s="324" t="s">
        <v>40</v>
      </c>
      <c r="B996" s="325"/>
      <c r="C996" s="325"/>
      <c r="D996" s="325"/>
      <c r="E996" s="326"/>
      <c r="F996" s="226"/>
      <c r="G996" s="267"/>
      <c r="H996" s="267"/>
      <c r="I996" s="267"/>
      <c r="J996" s="267"/>
      <c r="K996" s="227">
        <f t="shared" ref="K996:Q996" si="197">SUM(K992-SUM(K993:K995))</f>
        <v>0</v>
      </c>
      <c r="L996" s="227">
        <f t="shared" si="197"/>
        <v>502300</v>
      </c>
      <c r="M996" s="227">
        <f t="shared" si="197"/>
        <v>50230</v>
      </c>
      <c r="N996" s="227">
        <f t="shared" si="197"/>
        <v>0</v>
      </c>
      <c r="O996" s="227">
        <f t="shared" si="197"/>
        <v>0</v>
      </c>
      <c r="P996" s="227">
        <f t="shared" si="197"/>
        <v>0</v>
      </c>
      <c r="Q996" s="227">
        <f t="shared" si="197"/>
        <v>552530</v>
      </c>
      <c r="R996" s="268" t="s">
        <v>38</v>
      </c>
      <c r="S996" s="269" t="s">
        <v>49</v>
      </c>
      <c r="T996" s="230"/>
      <c r="W996" s="244"/>
    </row>
    <row r="997" spans="1:29" ht="26.1" customHeight="1">
      <c r="A997" s="213" t="s">
        <v>29</v>
      </c>
      <c r="B997" s="214" t="s">
        <v>384</v>
      </c>
      <c r="C997" s="214" t="s">
        <v>31</v>
      </c>
      <c r="D997" s="215" t="s">
        <v>415</v>
      </c>
      <c r="E997" s="216" t="s">
        <v>438</v>
      </c>
      <c r="F997" s="215" t="s">
        <v>439</v>
      </c>
      <c r="G997" s="262" t="s">
        <v>46</v>
      </c>
      <c r="H997" s="262" t="s">
        <v>433</v>
      </c>
      <c r="I997" s="262" t="s">
        <v>440</v>
      </c>
      <c r="J997" s="262">
        <f>SUM(J998:J1000)</f>
        <v>0</v>
      </c>
      <c r="K997" s="217">
        <v>144700</v>
      </c>
      <c r="L997" s="218"/>
      <c r="M997" s="218"/>
      <c r="N997" s="218"/>
      <c r="O997" s="218"/>
      <c r="P997" s="218"/>
      <c r="Q997" s="218">
        <f>SUM(K997:P997)</f>
        <v>144700</v>
      </c>
      <c r="R997" s="263" t="s">
        <v>38</v>
      </c>
      <c r="S997" s="266" t="s">
        <v>49</v>
      </c>
      <c r="T997" s="229"/>
      <c r="W997" s="244"/>
    </row>
    <row r="998" spans="1:29" ht="26.1" customHeight="1">
      <c r="A998" s="208"/>
      <c r="B998" s="211"/>
      <c r="C998" s="211"/>
      <c r="D998" s="212"/>
      <c r="E998" s="210" t="str">
        <f>IFERROR(VLOOKUP($T998,공사현장대장!$A$5:$T$330,4),"")</f>
        <v/>
      </c>
      <c r="F998" s="212"/>
      <c r="G998" s="265"/>
      <c r="H998" s="265"/>
      <c r="I998" s="265"/>
      <c r="J998" s="265" t="str">
        <f>IFERROR(ROUND(VLOOKUP($T998,공사현장대장!$A$5:$T$330,9)/1000,0),"")</f>
        <v/>
      </c>
      <c r="K998" s="225"/>
      <c r="L998" s="209"/>
      <c r="M998" s="209"/>
      <c r="N998" s="209"/>
      <c r="O998" s="209"/>
      <c r="P998" s="209"/>
      <c r="Q998" s="209"/>
      <c r="R998" s="263" t="s">
        <v>38</v>
      </c>
      <c r="S998" s="266" t="s">
        <v>49</v>
      </c>
      <c r="T998" s="229"/>
      <c r="W998" s="244"/>
    </row>
    <row r="999" spans="1:29" ht="26.1" customHeight="1">
      <c r="A999" s="208"/>
      <c r="B999" s="211"/>
      <c r="C999" s="211"/>
      <c r="D999" s="212"/>
      <c r="E999" s="210" t="str">
        <f>IFERROR(VLOOKUP($T999,공사현장대장!$A$5:$T$330,4),"")</f>
        <v/>
      </c>
      <c r="F999" s="212"/>
      <c r="G999" s="265"/>
      <c r="H999" s="265"/>
      <c r="I999" s="265"/>
      <c r="J999" s="265" t="str">
        <f>IFERROR(ROUND(VLOOKUP($T999,공사현장대장!$A$5:$T$330,9)/1000,0),"")</f>
        <v/>
      </c>
      <c r="K999" s="225"/>
      <c r="L999" s="209"/>
      <c r="M999" s="209"/>
      <c r="N999" s="209"/>
      <c r="O999" s="209"/>
      <c r="P999" s="209"/>
      <c r="Q999" s="209"/>
      <c r="R999" s="263" t="s">
        <v>38</v>
      </c>
      <c r="S999" s="266" t="s">
        <v>49</v>
      </c>
      <c r="T999" s="229"/>
      <c r="W999" s="244"/>
    </row>
    <row r="1000" spans="1:29" ht="26.1" customHeight="1">
      <c r="A1000" s="208"/>
      <c r="B1000" s="211"/>
      <c r="C1000" s="211"/>
      <c r="D1000" s="212"/>
      <c r="E1000" s="210" t="str">
        <f>IFERROR(VLOOKUP($T1000,공사현장대장!$A$5:$T$330,4),"")</f>
        <v/>
      </c>
      <c r="F1000" s="212"/>
      <c r="G1000" s="265"/>
      <c r="H1000" s="265"/>
      <c r="I1000" s="265"/>
      <c r="J1000" s="265" t="str">
        <f>IFERROR(ROUND(VLOOKUP($T1000,공사현장대장!$A$5:$T$330,9)/1000,0),"")</f>
        <v/>
      </c>
      <c r="K1000" s="225"/>
      <c r="L1000" s="209"/>
      <c r="M1000" s="209"/>
      <c r="N1000" s="209"/>
      <c r="O1000" s="209"/>
      <c r="P1000" s="209"/>
      <c r="Q1000" s="209"/>
      <c r="R1000" s="263" t="s">
        <v>38</v>
      </c>
      <c r="S1000" s="266" t="s">
        <v>49</v>
      </c>
      <c r="T1000" s="229"/>
      <c r="W1000" s="244"/>
    </row>
    <row r="1001" spans="1:29" ht="26.1" customHeight="1">
      <c r="A1001" s="324" t="s">
        <v>40</v>
      </c>
      <c r="B1001" s="325"/>
      <c r="C1001" s="325"/>
      <c r="D1001" s="325"/>
      <c r="E1001" s="326"/>
      <c r="F1001" s="226"/>
      <c r="G1001" s="267"/>
      <c r="H1001" s="267"/>
      <c r="I1001" s="267"/>
      <c r="J1001" s="267"/>
      <c r="K1001" s="227">
        <f t="shared" ref="K1001:Q1001" si="198">SUM(K997-SUM(K998:K1000))</f>
        <v>144700</v>
      </c>
      <c r="L1001" s="227">
        <f t="shared" si="198"/>
        <v>0</v>
      </c>
      <c r="M1001" s="227">
        <f t="shared" si="198"/>
        <v>0</v>
      </c>
      <c r="N1001" s="227">
        <f t="shared" si="198"/>
        <v>0</v>
      </c>
      <c r="O1001" s="227">
        <f t="shared" si="198"/>
        <v>0</v>
      </c>
      <c r="P1001" s="227">
        <f t="shared" si="198"/>
        <v>0</v>
      </c>
      <c r="Q1001" s="227">
        <f t="shared" si="198"/>
        <v>144700</v>
      </c>
      <c r="R1001" s="268" t="s">
        <v>38</v>
      </c>
      <c r="S1001" s="269" t="s">
        <v>49</v>
      </c>
      <c r="T1001" s="230"/>
      <c r="W1001" s="244"/>
    </row>
    <row r="1002" spans="1:29" ht="26.1" customHeight="1">
      <c r="A1002" s="213" t="s">
        <v>29</v>
      </c>
      <c r="B1002" s="214" t="s">
        <v>384</v>
      </c>
      <c r="C1002" s="214" t="s">
        <v>31</v>
      </c>
      <c r="D1002" s="215" t="s">
        <v>415</v>
      </c>
      <c r="E1002" s="216" t="s">
        <v>438</v>
      </c>
      <c r="F1002" s="215" t="s">
        <v>439</v>
      </c>
      <c r="G1002" s="262" t="s">
        <v>46</v>
      </c>
      <c r="H1002" s="262" t="s">
        <v>433</v>
      </c>
      <c r="I1002" s="262" t="s">
        <v>440</v>
      </c>
      <c r="J1002" s="262">
        <f>SUM(J1003:J1005)</f>
        <v>0</v>
      </c>
      <c r="K1002" s="217"/>
      <c r="L1002" s="218">
        <v>1590685</v>
      </c>
      <c r="M1002" s="218">
        <v>50000</v>
      </c>
      <c r="N1002" s="218"/>
      <c r="O1002" s="218"/>
      <c r="P1002" s="218"/>
      <c r="Q1002" s="218">
        <f>SUM(K1002:P1002)</f>
        <v>1640685</v>
      </c>
      <c r="R1002" s="270" t="s">
        <v>41</v>
      </c>
      <c r="S1002" s="266" t="s">
        <v>49</v>
      </c>
      <c r="T1002" s="229"/>
      <c r="V1002" s="241" t="str">
        <f>B1002</f>
        <v>고</v>
      </c>
      <c r="W1002" s="241" t="str">
        <f>C1002</f>
        <v>공립</v>
      </c>
      <c r="X1002" s="241" t="str">
        <f>D1002</f>
        <v>홍천농고</v>
      </c>
      <c r="Y1002" s="241" t="str">
        <f>E1002</f>
        <v>유리온실(학생교육장) 개축</v>
      </c>
      <c r="Z1002" s="241" t="str">
        <f>F1002</f>
        <v>765.2㎡</v>
      </c>
      <c r="AA1002" s="244">
        <f>Q1002</f>
        <v>1640685</v>
      </c>
      <c r="AB1002" s="271" t="str">
        <f>R1002</f>
        <v>1회추경</v>
      </c>
      <c r="AC1002" s="241">
        <v>420</v>
      </c>
    </row>
    <row r="1003" spans="1:29" ht="26.1" customHeight="1">
      <c r="A1003" s="208"/>
      <c r="B1003" s="211"/>
      <c r="C1003" s="211"/>
      <c r="D1003" s="212"/>
      <c r="E1003" s="210" t="str">
        <f>IFERROR(VLOOKUP($T1003,공사현장대장!$A$5:$T$330,4),"")</f>
        <v/>
      </c>
      <c r="F1003" s="212"/>
      <c r="G1003" s="265"/>
      <c r="H1003" s="265"/>
      <c r="I1003" s="265"/>
      <c r="J1003" s="265" t="str">
        <f>IFERROR(ROUND(VLOOKUP($T1003,공사현장대장!$A$5:$T$330,9)/1000,0),"")</f>
        <v/>
      </c>
      <c r="K1003" s="225"/>
      <c r="L1003" s="209"/>
      <c r="M1003" s="209"/>
      <c r="N1003" s="209"/>
      <c r="O1003" s="209"/>
      <c r="P1003" s="209"/>
      <c r="Q1003" s="209"/>
      <c r="R1003" s="263" t="s">
        <v>41</v>
      </c>
      <c r="S1003" s="266" t="s">
        <v>49</v>
      </c>
      <c r="T1003" s="229"/>
      <c r="AA1003" s="244"/>
      <c r="AB1003" s="271"/>
    </row>
    <row r="1004" spans="1:29" ht="26.1" customHeight="1">
      <c r="A1004" s="208"/>
      <c r="B1004" s="211"/>
      <c r="C1004" s="211"/>
      <c r="D1004" s="212"/>
      <c r="E1004" s="210" t="str">
        <f>IFERROR(VLOOKUP($T1004,공사현장대장!$A$5:$T$330,4),"")</f>
        <v/>
      </c>
      <c r="F1004" s="212"/>
      <c r="G1004" s="265"/>
      <c r="H1004" s="265"/>
      <c r="I1004" s="265"/>
      <c r="J1004" s="265" t="str">
        <f>IFERROR(ROUND(VLOOKUP($T1004,공사현장대장!$A$5:$T$330,9)/1000,0),"")</f>
        <v/>
      </c>
      <c r="K1004" s="225"/>
      <c r="L1004" s="209"/>
      <c r="M1004" s="209"/>
      <c r="N1004" s="209"/>
      <c r="O1004" s="209"/>
      <c r="P1004" s="209"/>
      <c r="Q1004" s="209"/>
      <c r="R1004" s="263" t="s">
        <v>41</v>
      </c>
      <c r="S1004" s="266" t="s">
        <v>49</v>
      </c>
      <c r="T1004" s="229"/>
      <c r="AA1004" s="244"/>
      <c r="AB1004" s="271"/>
    </row>
    <row r="1005" spans="1:29" ht="26.1" customHeight="1">
      <c r="A1005" s="208"/>
      <c r="B1005" s="211"/>
      <c r="C1005" s="211"/>
      <c r="D1005" s="212"/>
      <c r="E1005" s="210" t="str">
        <f>IFERROR(VLOOKUP($T1005,공사현장대장!$A$5:$T$330,4),"")</f>
        <v/>
      </c>
      <c r="F1005" s="212"/>
      <c r="G1005" s="265"/>
      <c r="H1005" s="265"/>
      <c r="I1005" s="265"/>
      <c r="J1005" s="265" t="str">
        <f>IFERROR(ROUND(VLOOKUP($T1005,공사현장대장!$A$5:$T$330,9)/1000,0),"")</f>
        <v/>
      </c>
      <c r="K1005" s="225"/>
      <c r="L1005" s="209"/>
      <c r="M1005" s="209"/>
      <c r="N1005" s="209"/>
      <c r="O1005" s="209"/>
      <c r="P1005" s="209"/>
      <c r="Q1005" s="209"/>
      <c r="R1005" s="263" t="s">
        <v>41</v>
      </c>
      <c r="S1005" s="266" t="s">
        <v>49</v>
      </c>
      <c r="T1005" s="229"/>
      <c r="AA1005" s="244"/>
      <c r="AB1005" s="271"/>
    </row>
    <row r="1006" spans="1:29" ht="26.1" customHeight="1">
      <c r="A1006" s="324" t="s">
        <v>40</v>
      </c>
      <c r="B1006" s="325"/>
      <c r="C1006" s="325"/>
      <c r="D1006" s="325"/>
      <c r="E1006" s="326"/>
      <c r="F1006" s="226"/>
      <c r="G1006" s="267"/>
      <c r="H1006" s="267"/>
      <c r="I1006" s="267"/>
      <c r="J1006" s="267"/>
      <c r="K1006" s="227">
        <f t="shared" ref="K1006:Q1006" si="199">SUM(K1002-SUM(K1003:K1005))</f>
        <v>0</v>
      </c>
      <c r="L1006" s="227">
        <f t="shared" si="199"/>
        <v>1590685</v>
      </c>
      <c r="M1006" s="227">
        <f t="shared" si="199"/>
        <v>50000</v>
      </c>
      <c r="N1006" s="227">
        <f t="shared" si="199"/>
        <v>0</v>
      </c>
      <c r="O1006" s="227">
        <f t="shared" si="199"/>
        <v>0</v>
      </c>
      <c r="P1006" s="227">
        <f t="shared" si="199"/>
        <v>0</v>
      </c>
      <c r="Q1006" s="227">
        <f t="shared" si="199"/>
        <v>1640685</v>
      </c>
      <c r="R1006" s="268" t="s">
        <v>41</v>
      </c>
      <c r="S1006" s="269" t="s">
        <v>49</v>
      </c>
      <c r="T1006" s="230"/>
      <c r="AA1006" s="244"/>
      <c r="AB1006" s="271"/>
    </row>
    <row r="1007" spans="1:29" ht="26.1" customHeight="1">
      <c r="A1007" s="213" t="s">
        <v>29</v>
      </c>
      <c r="B1007" s="214" t="s">
        <v>384</v>
      </c>
      <c r="C1007" s="214" t="s">
        <v>31</v>
      </c>
      <c r="D1007" s="215" t="s">
        <v>415</v>
      </c>
      <c r="E1007" s="216" t="s">
        <v>441</v>
      </c>
      <c r="F1007" s="215" t="s">
        <v>442</v>
      </c>
      <c r="G1007" s="262" t="s">
        <v>46</v>
      </c>
      <c r="H1007" s="262" t="s">
        <v>433</v>
      </c>
      <c r="I1007" s="262" t="s">
        <v>443</v>
      </c>
      <c r="J1007" s="262">
        <f>SUM(J1008:J1010)</f>
        <v>0</v>
      </c>
      <c r="K1007" s="217"/>
      <c r="L1007" s="218">
        <v>995300</v>
      </c>
      <c r="M1007" s="218">
        <v>99530</v>
      </c>
      <c r="N1007" s="218"/>
      <c r="O1007" s="218"/>
      <c r="P1007" s="218"/>
      <c r="Q1007" s="218">
        <f>SUM(K1007:P1007)</f>
        <v>1094830</v>
      </c>
      <c r="R1007" s="263" t="s">
        <v>38</v>
      </c>
      <c r="S1007" s="266" t="s">
        <v>49</v>
      </c>
      <c r="T1007" s="229"/>
      <c r="V1007" s="241">
        <v>49765</v>
      </c>
      <c r="W1007" s="244">
        <f>V1007+Q1007</f>
        <v>1144595</v>
      </c>
    </row>
    <row r="1008" spans="1:29" ht="26.1" customHeight="1">
      <c r="A1008" s="208"/>
      <c r="B1008" s="211"/>
      <c r="C1008" s="211"/>
      <c r="D1008" s="212"/>
      <c r="E1008" s="210" t="str">
        <f>IFERROR(VLOOKUP($T1008,공사현장대장!$A$5:$T$330,4),"")</f>
        <v/>
      </c>
      <c r="F1008" s="212"/>
      <c r="G1008" s="265"/>
      <c r="H1008" s="265"/>
      <c r="I1008" s="265"/>
      <c r="J1008" s="265" t="str">
        <f>IFERROR(ROUND(VLOOKUP($T1008,공사현장대장!$A$5:$T$330,9)/1000,0),"")</f>
        <v/>
      </c>
      <c r="K1008" s="225"/>
      <c r="L1008" s="209"/>
      <c r="M1008" s="209"/>
      <c r="N1008" s="209"/>
      <c r="O1008" s="209"/>
      <c r="P1008" s="209"/>
      <c r="Q1008" s="209"/>
      <c r="R1008" s="263" t="s">
        <v>38</v>
      </c>
      <c r="S1008" s="266" t="s">
        <v>49</v>
      </c>
      <c r="T1008" s="229"/>
      <c r="W1008" s="244"/>
    </row>
    <row r="1009" spans="1:29" ht="26.1" customHeight="1">
      <c r="A1009" s="208"/>
      <c r="B1009" s="211"/>
      <c r="C1009" s="211"/>
      <c r="D1009" s="212"/>
      <c r="E1009" s="210" t="str">
        <f>IFERROR(VLOOKUP($T1009,공사현장대장!$A$5:$T$330,4),"")</f>
        <v/>
      </c>
      <c r="F1009" s="212"/>
      <c r="G1009" s="265"/>
      <c r="H1009" s="265"/>
      <c r="I1009" s="265"/>
      <c r="J1009" s="265" t="str">
        <f>IFERROR(ROUND(VLOOKUP($T1009,공사현장대장!$A$5:$T$330,9)/1000,0),"")</f>
        <v/>
      </c>
      <c r="K1009" s="225"/>
      <c r="L1009" s="209"/>
      <c r="M1009" s="209"/>
      <c r="N1009" s="209"/>
      <c r="O1009" s="209"/>
      <c r="P1009" s="209"/>
      <c r="Q1009" s="209"/>
      <c r="R1009" s="263" t="s">
        <v>38</v>
      </c>
      <c r="S1009" s="266" t="s">
        <v>49</v>
      </c>
      <c r="T1009" s="229"/>
      <c r="W1009" s="244"/>
    </row>
    <row r="1010" spans="1:29" ht="26.1" customHeight="1">
      <c r="A1010" s="208"/>
      <c r="B1010" s="211"/>
      <c r="C1010" s="211"/>
      <c r="D1010" s="212"/>
      <c r="E1010" s="210" t="str">
        <f>IFERROR(VLOOKUP($T1010,공사현장대장!$A$5:$T$330,4),"")</f>
        <v/>
      </c>
      <c r="F1010" s="212"/>
      <c r="G1010" s="265"/>
      <c r="H1010" s="265"/>
      <c r="I1010" s="265"/>
      <c r="J1010" s="265" t="str">
        <f>IFERROR(ROUND(VLOOKUP($T1010,공사현장대장!$A$5:$T$330,9)/1000,0),"")</f>
        <v/>
      </c>
      <c r="K1010" s="225"/>
      <c r="L1010" s="209"/>
      <c r="M1010" s="209"/>
      <c r="N1010" s="209"/>
      <c r="O1010" s="209"/>
      <c r="P1010" s="209"/>
      <c r="Q1010" s="209"/>
      <c r="R1010" s="263" t="s">
        <v>38</v>
      </c>
      <c r="S1010" s="266" t="s">
        <v>49</v>
      </c>
      <c r="T1010" s="229"/>
      <c r="W1010" s="244"/>
    </row>
    <row r="1011" spans="1:29" ht="26.1" customHeight="1">
      <c r="A1011" s="324" t="s">
        <v>40</v>
      </c>
      <c r="B1011" s="325"/>
      <c r="C1011" s="325"/>
      <c r="D1011" s="325"/>
      <c r="E1011" s="326"/>
      <c r="F1011" s="226"/>
      <c r="G1011" s="267"/>
      <c r="H1011" s="267"/>
      <c r="I1011" s="267"/>
      <c r="J1011" s="267"/>
      <c r="K1011" s="227">
        <f t="shared" ref="K1011:Q1011" si="200">SUM(K1007-SUM(K1008:K1010))</f>
        <v>0</v>
      </c>
      <c r="L1011" s="227">
        <f t="shared" si="200"/>
        <v>995300</v>
      </c>
      <c r="M1011" s="227">
        <f t="shared" si="200"/>
        <v>99530</v>
      </c>
      <c r="N1011" s="227">
        <f t="shared" si="200"/>
        <v>0</v>
      </c>
      <c r="O1011" s="227">
        <f t="shared" si="200"/>
        <v>0</v>
      </c>
      <c r="P1011" s="227">
        <f t="shared" si="200"/>
        <v>0</v>
      </c>
      <c r="Q1011" s="227">
        <f t="shared" si="200"/>
        <v>1094830</v>
      </c>
      <c r="R1011" s="268" t="s">
        <v>38</v>
      </c>
      <c r="S1011" s="269" t="s">
        <v>49</v>
      </c>
      <c r="T1011" s="230"/>
      <c r="W1011" s="244"/>
    </row>
    <row r="1012" spans="1:29" ht="26.1" customHeight="1">
      <c r="A1012" s="213" t="s">
        <v>29</v>
      </c>
      <c r="B1012" s="214" t="s">
        <v>384</v>
      </c>
      <c r="C1012" s="214" t="s">
        <v>31</v>
      </c>
      <c r="D1012" s="215" t="s">
        <v>415</v>
      </c>
      <c r="E1012" s="216" t="s">
        <v>441</v>
      </c>
      <c r="F1012" s="215" t="s">
        <v>442</v>
      </c>
      <c r="G1012" s="262" t="s">
        <v>46</v>
      </c>
      <c r="H1012" s="262" t="s">
        <v>433</v>
      </c>
      <c r="I1012" s="262" t="s">
        <v>443</v>
      </c>
      <c r="J1012" s="262">
        <f>SUM(J1013:J1015)</f>
        <v>0</v>
      </c>
      <c r="K1012" s="217"/>
      <c r="L1012" s="218">
        <v>727800</v>
      </c>
      <c r="M1012" s="218">
        <v>121279</v>
      </c>
      <c r="N1012" s="218"/>
      <c r="O1012" s="218"/>
      <c r="P1012" s="218"/>
      <c r="Q1012" s="218">
        <f>SUM(K1012:P1012)</f>
        <v>849079</v>
      </c>
      <c r="R1012" s="270" t="s">
        <v>41</v>
      </c>
      <c r="S1012" s="266" t="s">
        <v>49</v>
      </c>
      <c r="T1012" s="229"/>
      <c r="V1012" s="241" t="str">
        <f>B1012</f>
        <v>고</v>
      </c>
      <c r="W1012" s="241" t="str">
        <f>C1012</f>
        <v>공립</v>
      </c>
      <c r="X1012" s="241" t="str">
        <f>D1012</f>
        <v>홍천농고</v>
      </c>
      <c r="Y1012" s="241" t="str">
        <f>E1012</f>
        <v>조직배양실 증축</v>
      </c>
      <c r="Z1012" s="241" t="str">
        <f>F1012</f>
        <v>275.4㎡</v>
      </c>
      <c r="AA1012" s="244">
        <f>Q1012</f>
        <v>849079</v>
      </c>
      <c r="AB1012" s="271" t="str">
        <f>R1012</f>
        <v>1회추경</v>
      </c>
      <c r="AC1012" s="241">
        <v>420</v>
      </c>
    </row>
    <row r="1013" spans="1:29" ht="26.1" customHeight="1">
      <c r="A1013" s="208"/>
      <c r="B1013" s="211"/>
      <c r="C1013" s="211"/>
      <c r="D1013" s="212"/>
      <c r="E1013" s="210" t="str">
        <f>IFERROR(VLOOKUP($T1013,공사현장대장!$A$5:$T$330,4),"")</f>
        <v/>
      </c>
      <c r="F1013" s="212"/>
      <c r="G1013" s="265"/>
      <c r="H1013" s="265"/>
      <c r="I1013" s="265"/>
      <c r="J1013" s="265" t="str">
        <f>IFERROR(ROUND(VLOOKUP($T1013,공사현장대장!$A$5:$T$330,9)/1000,0),"")</f>
        <v/>
      </c>
      <c r="K1013" s="225"/>
      <c r="L1013" s="209"/>
      <c r="M1013" s="209"/>
      <c r="N1013" s="209"/>
      <c r="O1013" s="209"/>
      <c r="P1013" s="209"/>
      <c r="Q1013" s="209"/>
      <c r="R1013" s="263" t="s">
        <v>41</v>
      </c>
      <c r="S1013" s="266" t="s">
        <v>49</v>
      </c>
      <c r="T1013" s="229"/>
      <c r="AA1013" s="244"/>
      <c r="AB1013" s="271"/>
    </row>
    <row r="1014" spans="1:29" ht="26.1" customHeight="1">
      <c r="A1014" s="208"/>
      <c r="B1014" s="211"/>
      <c r="C1014" s="211"/>
      <c r="D1014" s="212"/>
      <c r="E1014" s="210" t="str">
        <f>IFERROR(VLOOKUP($T1014,공사현장대장!$A$5:$T$330,4),"")</f>
        <v/>
      </c>
      <c r="F1014" s="212"/>
      <c r="G1014" s="265"/>
      <c r="H1014" s="265"/>
      <c r="I1014" s="265"/>
      <c r="J1014" s="265" t="str">
        <f>IFERROR(ROUND(VLOOKUP($T1014,공사현장대장!$A$5:$T$330,9)/1000,0),"")</f>
        <v/>
      </c>
      <c r="K1014" s="225"/>
      <c r="L1014" s="209"/>
      <c r="M1014" s="209"/>
      <c r="N1014" s="209"/>
      <c r="O1014" s="209"/>
      <c r="P1014" s="209"/>
      <c r="Q1014" s="209"/>
      <c r="R1014" s="263" t="s">
        <v>41</v>
      </c>
      <c r="S1014" s="266" t="s">
        <v>49</v>
      </c>
      <c r="T1014" s="229"/>
      <c r="AA1014" s="244"/>
      <c r="AB1014" s="271"/>
    </row>
    <row r="1015" spans="1:29" ht="26.1" customHeight="1">
      <c r="A1015" s="208"/>
      <c r="B1015" s="211"/>
      <c r="C1015" s="211"/>
      <c r="D1015" s="212"/>
      <c r="E1015" s="210" t="str">
        <f>IFERROR(VLOOKUP($T1015,공사현장대장!$A$5:$T$330,4),"")</f>
        <v/>
      </c>
      <c r="F1015" s="212"/>
      <c r="G1015" s="265"/>
      <c r="H1015" s="265"/>
      <c r="I1015" s="265"/>
      <c r="J1015" s="265" t="str">
        <f>IFERROR(ROUND(VLOOKUP($T1015,공사현장대장!$A$5:$T$330,9)/1000,0),"")</f>
        <v/>
      </c>
      <c r="K1015" s="225"/>
      <c r="L1015" s="209"/>
      <c r="M1015" s="209"/>
      <c r="N1015" s="209"/>
      <c r="O1015" s="209"/>
      <c r="P1015" s="209"/>
      <c r="Q1015" s="209"/>
      <c r="R1015" s="263" t="s">
        <v>41</v>
      </c>
      <c r="S1015" s="266" t="s">
        <v>49</v>
      </c>
      <c r="T1015" s="229"/>
      <c r="AA1015" s="244"/>
      <c r="AB1015" s="271"/>
    </row>
    <row r="1016" spans="1:29" ht="26.1" customHeight="1">
      <c r="A1016" s="324" t="s">
        <v>40</v>
      </c>
      <c r="B1016" s="325"/>
      <c r="C1016" s="325"/>
      <c r="D1016" s="325"/>
      <c r="E1016" s="326"/>
      <c r="F1016" s="226"/>
      <c r="G1016" s="267"/>
      <c r="H1016" s="267"/>
      <c r="I1016" s="267"/>
      <c r="J1016" s="267"/>
      <c r="K1016" s="227">
        <f t="shared" ref="K1016:Q1016" si="201">SUM(K1012-SUM(K1013:K1015))</f>
        <v>0</v>
      </c>
      <c r="L1016" s="227">
        <f t="shared" si="201"/>
        <v>727800</v>
      </c>
      <c r="M1016" s="227">
        <f t="shared" si="201"/>
        <v>121279</v>
      </c>
      <c r="N1016" s="227">
        <f t="shared" si="201"/>
        <v>0</v>
      </c>
      <c r="O1016" s="227">
        <f t="shared" si="201"/>
        <v>0</v>
      </c>
      <c r="P1016" s="227">
        <f t="shared" si="201"/>
        <v>0</v>
      </c>
      <c r="Q1016" s="227">
        <f t="shared" si="201"/>
        <v>849079</v>
      </c>
      <c r="R1016" s="268" t="s">
        <v>41</v>
      </c>
      <c r="S1016" s="269" t="s">
        <v>49</v>
      </c>
      <c r="T1016" s="230"/>
      <c r="AA1016" s="244"/>
      <c r="AB1016" s="271"/>
    </row>
    <row r="1017" spans="1:29" ht="26.1" customHeight="1">
      <c r="A1017" s="213" t="s">
        <v>29</v>
      </c>
      <c r="B1017" s="214" t="s">
        <v>384</v>
      </c>
      <c r="C1017" s="214" t="s">
        <v>31</v>
      </c>
      <c r="D1017" s="215" t="s">
        <v>415</v>
      </c>
      <c r="E1017" s="216" t="s">
        <v>444</v>
      </c>
      <c r="F1017" s="215" t="s">
        <v>445</v>
      </c>
      <c r="G1017" s="262" t="s">
        <v>46</v>
      </c>
      <c r="H1017" s="262" t="s">
        <v>332</v>
      </c>
      <c r="I1017" s="262" t="s">
        <v>333</v>
      </c>
      <c r="J1017" s="262">
        <f>SUM(J1018:J1020)</f>
        <v>0</v>
      </c>
      <c r="K1017" s="217"/>
      <c r="L1017" s="218">
        <v>609300</v>
      </c>
      <c r="M1017" s="218">
        <v>30465</v>
      </c>
      <c r="N1017" s="218"/>
      <c r="O1017" s="218"/>
      <c r="P1017" s="218"/>
      <c r="Q1017" s="218">
        <f>SUM(K1017:P1017)</f>
        <v>639765</v>
      </c>
      <c r="R1017" s="263" t="s">
        <v>38</v>
      </c>
      <c r="S1017" s="266" t="s">
        <v>49</v>
      </c>
      <c r="T1017" s="229"/>
      <c r="V1017" s="241">
        <v>18279</v>
      </c>
      <c r="W1017" s="244">
        <f>V1017+Q1017</f>
        <v>658044</v>
      </c>
    </row>
    <row r="1018" spans="1:29" ht="26.1" customHeight="1">
      <c r="A1018" s="208"/>
      <c r="B1018" s="211"/>
      <c r="C1018" s="211"/>
      <c r="D1018" s="212"/>
      <c r="E1018" s="210" t="str">
        <f>IFERROR(VLOOKUP($T1018,공사현장대장!$A$5:$T$330,4),"")</f>
        <v/>
      </c>
      <c r="F1018" s="212"/>
      <c r="G1018" s="265"/>
      <c r="H1018" s="265"/>
      <c r="I1018" s="265"/>
      <c r="J1018" s="265" t="str">
        <f>IFERROR(ROUND(VLOOKUP($T1018,공사현장대장!$A$5:$T$330,9)/1000,0),"")</f>
        <v/>
      </c>
      <c r="K1018" s="225"/>
      <c r="L1018" s="209"/>
      <c r="M1018" s="209"/>
      <c r="N1018" s="209"/>
      <c r="O1018" s="209"/>
      <c r="P1018" s="209"/>
      <c r="Q1018" s="209"/>
      <c r="R1018" s="263" t="s">
        <v>38</v>
      </c>
      <c r="S1018" s="266" t="s">
        <v>49</v>
      </c>
      <c r="T1018" s="229"/>
      <c r="W1018" s="244"/>
    </row>
    <row r="1019" spans="1:29" ht="26.1" customHeight="1">
      <c r="A1019" s="208"/>
      <c r="B1019" s="211"/>
      <c r="C1019" s="211"/>
      <c r="D1019" s="212"/>
      <c r="E1019" s="210" t="str">
        <f>IFERROR(VLOOKUP($T1019,공사현장대장!$A$5:$T$330,4),"")</f>
        <v/>
      </c>
      <c r="F1019" s="212"/>
      <c r="G1019" s="265"/>
      <c r="H1019" s="265"/>
      <c r="I1019" s="265"/>
      <c r="J1019" s="265" t="str">
        <f>IFERROR(ROUND(VLOOKUP($T1019,공사현장대장!$A$5:$T$330,9)/1000,0),"")</f>
        <v/>
      </c>
      <c r="K1019" s="225"/>
      <c r="L1019" s="209"/>
      <c r="M1019" s="209"/>
      <c r="N1019" s="209"/>
      <c r="O1019" s="209"/>
      <c r="P1019" s="209"/>
      <c r="Q1019" s="209"/>
      <c r="R1019" s="263" t="s">
        <v>38</v>
      </c>
      <c r="S1019" s="266" t="s">
        <v>49</v>
      </c>
      <c r="T1019" s="229"/>
      <c r="W1019" s="244"/>
    </row>
    <row r="1020" spans="1:29" ht="26.1" customHeight="1">
      <c r="A1020" s="208"/>
      <c r="B1020" s="211"/>
      <c r="C1020" s="211"/>
      <c r="D1020" s="212"/>
      <c r="E1020" s="210" t="str">
        <f>IFERROR(VLOOKUP($T1020,공사현장대장!$A$5:$T$330,4),"")</f>
        <v/>
      </c>
      <c r="F1020" s="212"/>
      <c r="G1020" s="265"/>
      <c r="H1020" s="265"/>
      <c r="I1020" s="265"/>
      <c r="J1020" s="265" t="str">
        <f>IFERROR(ROUND(VLOOKUP($T1020,공사현장대장!$A$5:$T$330,9)/1000,0),"")</f>
        <v/>
      </c>
      <c r="K1020" s="225"/>
      <c r="L1020" s="209"/>
      <c r="M1020" s="209"/>
      <c r="N1020" s="209"/>
      <c r="O1020" s="209"/>
      <c r="P1020" s="209"/>
      <c r="Q1020" s="209"/>
      <c r="R1020" s="263" t="s">
        <v>38</v>
      </c>
      <c r="S1020" s="266" t="s">
        <v>49</v>
      </c>
      <c r="T1020" s="229"/>
      <c r="W1020" s="244"/>
    </row>
    <row r="1021" spans="1:29" ht="26.1" customHeight="1">
      <c r="A1021" s="324" t="s">
        <v>40</v>
      </c>
      <c r="B1021" s="325"/>
      <c r="C1021" s="325"/>
      <c r="D1021" s="325"/>
      <c r="E1021" s="326"/>
      <c r="F1021" s="226"/>
      <c r="G1021" s="267"/>
      <c r="H1021" s="267"/>
      <c r="I1021" s="267"/>
      <c r="J1021" s="267"/>
      <c r="K1021" s="227">
        <f t="shared" ref="K1021:Q1021" si="202">SUM(K1017-SUM(K1018:K1020))</f>
        <v>0</v>
      </c>
      <c r="L1021" s="227">
        <f t="shared" si="202"/>
        <v>609300</v>
      </c>
      <c r="M1021" s="227">
        <f t="shared" si="202"/>
        <v>30465</v>
      </c>
      <c r="N1021" s="227">
        <f t="shared" si="202"/>
        <v>0</v>
      </c>
      <c r="O1021" s="227">
        <f t="shared" si="202"/>
        <v>0</v>
      </c>
      <c r="P1021" s="227">
        <f t="shared" si="202"/>
        <v>0</v>
      </c>
      <c r="Q1021" s="227">
        <f t="shared" si="202"/>
        <v>639765</v>
      </c>
      <c r="R1021" s="268" t="s">
        <v>38</v>
      </c>
      <c r="S1021" s="269" t="s">
        <v>49</v>
      </c>
      <c r="T1021" s="230"/>
      <c r="W1021" s="244"/>
    </row>
    <row r="1022" spans="1:29" ht="26.1" customHeight="1">
      <c r="A1022" s="219" t="s">
        <v>29</v>
      </c>
      <c r="B1022" s="214" t="s">
        <v>384</v>
      </c>
      <c r="C1022" s="220" t="s">
        <v>31</v>
      </c>
      <c r="D1022" s="215" t="s">
        <v>415</v>
      </c>
      <c r="E1022" s="215" t="s">
        <v>188</v>
      </c>
      <c r="F1022" s="272" t="s">
        <v>189</v>
      </c>
      <c r="G1022" s="215" t="s">
        <v>46</v>
      </c>
      <c r="H1022" s="215" t="s">
        <v>188</v>
      </c>
      <c r="I1022" s="215" t="s">
        <v>190</v>
      </c>
      <c r="J1022" s="215">
        <f>SUM(J1023:J1025)</f>
        <v>0</v>
      </c>
      <c r="K1022" s="221"/>
      <c r="L1022" s="222">
        <f>3446847+3321883</f>
        <v>6768730</v>
      </c>
      <c r="M1022" s="222">
        <v>13277</v>
      </c>
      <c r="N1022" s="222">
        <v>38500</v>
      </c>
      <c r="O1022" s="222"/>
      <c r="P1022" s="222"/>
      <c r="Q1022" s="223">
        <f>SUM(K1022:P1022)</f>
        <v>6820507</v>
      </c>
      <c r="R1022" s="273" t="s">
        <v>76</v>
      </c>
      <c r="S1022" s="266" t="s">
        <v>49</v>
      </c>
      <c r="T1022" s="231"/>
    </row>
    <row r="1023" spans="1:29" ht="26.1" customHeight="1">
      <c r="A1023" s="208"/>
      <c r="B1023" s="211"/>
      <c r="C1023" s="211"/>
      <c r="D1023" s="212"/>
      <c r="E1023" s="210" t="str">
        <f>IFERROR(VLOOKUP($T1023,공사현장대장!$A$5:$T$330,4),"")</f>
        <v/>
      </c>
      <c r="F1023" s="212"/>
      <c r="G1023" s="265"/>
      <c r="H1023" s="265"/>
      <c r="I1023" s="265"/>
      <c r="J1023" s="265" t="str">
        <f>IFERROR(ROUND(VLOOKUP($T1023,공사현장대장!$A$5:$T$330,9)/1000,0),"")</f>
        <v/>
      </c>
      <c r="K1023" s="225"/>
      <c r="L1023" s="209"/>
      <c r="M1023" s="209"/>
      <c r="N1023" s="209"/>
      <c r="O1023" s="209"/>
      <c r="P1023" s="209"/>
      <c r="Q1023" s="209"/>
      <c r="R1023" s="263" t="s">
        <v>76</v>
      </c>
      <c r="S1023" s="266" t="s">
        <v>49</v>
      </c>
      <c r="T1023" s="229"/>
    </row>
    <row r="1024" spans="1:29" ht="26.1" customHeight="1">
      <c r="A1024" s="208"/>
      <c r="B1024" s="211"/>
      <c r="C1024" s="211"/>
      <c r="D1024" s="212"/>
      <c r="E1024" s="210" t="str">
        <f>IFERROR(VLOOKUP($T1024,공사현장대장!$A$5:$T$330,4),"")</f>
        <v/>
      </c>
      <c r="F1024" s="212"/>
      <c r="G1024" s="265"/>
      <c r="H1024" s="265"/>
      <c r="I1024" s="265"/>
      <c r="J1024" s="265" t="str">
        <f>IFERROR(ROUND(VLOOKUP($T1024,공사현장대장!$A$5:$T$330,9)/1000,0),"")</f>
        <v/>
      </c>
      <c r="K1024" s="225"/>
      <c r="L1024" s="209"/>
      <c r="M1024" s="209"/>
      <c r="N1024" s="209"/>
      <c r="O1024" s="209"/>
      <c r="P1024" s="209"/>
      <c r="Q1024" s="209"/>
      <c r="R1024" s="263" t="s">
        <v>76</v>
      </c>
      <c r="S1024" s="266" t="s">
        <v>49</v>
      </c>
      <c r="T1024" s="229"/>
    </row>
    <row r="1025" spans="1:29" ht="26.1" customHeight="1">
      <c r="A1025" s="208"/>
      <c r="B1025" s="211"/>
      <c r="C1025" s="211"/>
      <c r="D1025" s="212"/>
      <c r="E1025" s="210" t="str">
        <f>IFERROR(VLOOKUP($T1025,공사현장대장!$A$5:$T$330,4),"")</f>
        <v/>
      </c>
      <c r="F1025" s="212"/>
      <c r="G1025" s="265"/>
      <c r="H1025" s="265"/>
      <c r="I1025" s="265"/>
      <c r="J1025" s="265" t="str">
        <f>IFERROR(ROUND(VLOOKUP($T1025,공사현장대장!$A$5:$T$330,9)/1000,0),"")</f>
        <v/>
      </c>
      <c r="K1025" s="225"/>
      <c r="L1025" s="209"/>
      <c r="M1025" s="209"/>
      <c r="N1025" s="209"/>
      <c r="O1025" s="209"/>
      <c r="P1025" s="209"/>
      <c r="Q1025" s="209"/>
      <c r="R1025" s="263" t="s">
        <v>76</v>
      </c>
      <c r="S1025" s="266" t="s">
        <v>49</v>
      </c>
      <c r="T1025" s="229"/>
    </row>
    <row r="1026" spans="1:29" ht="26.1" customHeight="1">
      <c r="A1026" s="324" t="s">
        <v>40</v>
      </c>
      <c r="B1026" s="325"/>
      <c r="C1026" s="325"/>
      <c r="D1026" s="325"/>
      <c r="E1026" s="326"/>
      <c r="F1026" s="226"/>
      <c r="G1026" s="267"/>
      <c r="H1026" s="267"/>
      <c r="I1026" s="267"/>
      <c r="J1026" s="267"/>
      <c r="K1026" s="227">
        <f t="shared" ref="K1026:Q1026" si="203">SUM(K1022-SUM(K1023:K1025))</f>
        <v>0</v>
      </c>
      <c r="L1026" s="227">
        <f t="shared" si="203"/>
        <v>6768730</v>
      </c>
      <c r="M1026" s="227">
        <f t="shared" si="203"/>
        <v>13277</v>
      </c>
      <c r="N1026" s="227">
        <f t="shared" si="203"/>
        <v>38500</v>
      </c>
      <c r="O1026" s="227">
        <f t="shared" si="203"/>
        <v>0</v>
      </c>
      <c r="P1026" s="227">
        <f t="shared" si="203"/>
        <v>0</v>
      </c>
      <c r="Q1026" s="227">
        <f t="shared" si="203"/>
        <v>6820507</v>
      </c>
      <c r="R1026" s="268" t="s">
        <v>76</v>
      </c>
      <c r="S1026" s="269" t="s">
        <v>49</v>
      </c>
      <c r="T1026" s="230"/>
    </row>
    <row r="1027" spans="1:29" ht="26.1" customHeight="1">
      <c r="A1027" s="213" t="s">
        <v>29</v>
      </c>
      <c r="B1027" s="214" t="s">
        <v>384</v>
      </c>
      <c r="C1027" s="214" t="s">
        <v>31</v>
      </c>
      <c r="D1027" s="215" t="s">
        <v>415</v>
      </c>
      <c r="E1027" s="216" t="s">
        <v>446</v>
      </c>
      <c r="F1027" s="215" t="s">
        <v>136</v>
      </c>
      <c r="G1027" s="262" t="s">
        <v>46</v>
      </c>
      <c r="H1027" s="262" t="s">
        <v>447</v>
      </c>
      <c r="I1027" s="262" t="s">
        <v>448</v>
      </c>
      <c r="J1027" s="262">
        <f>SUM(J1028:J1030)</f>
        <v>0</v>
      </c>
      <c r="K1027" s="217"/>
      <c r="L1027" s="218">
        <v>189056</v>
      </c>
      <c r="M1027" s="218"/>
      <c r="N1027" s="218"/>
      <c r="O1027" s="218"/>
      <c r="P1027" s="218"/>
      <c r="Q1027" s="218">
        <f>SUM(K1027:P1027)</f>
        <v>189056</v>
      </c>
      <c r="R1027" s="270" t="s">
        <v>41</v>
      </c>
      <c r="S1027" s="266" t="s">
        <v>49</v>
      </c>
      <c r="T1027" s="229"/>
      <c r="V1027" s="241" t="str">
        <f>B1027</f>
        <v>고</v>
      </c>
      <c r="W1027" s="241" t="str">
        <f>C1027</f>
        <v>공립</v>
      </c>
      <c r="X1027" s="241" t="str">
        <f>D1027</f>
        <v>홍천농고</v>
      </c>
      <c r="Y1027" s="241" t="str">
        <f>E1027</f>
        <v>기숙사 지붕방수</v>
      </c>
      <c r="Z1027" s="241" t="str">
        <f>F1027</f>
        <v>1식</v>
      </c>
      <c r="AA1027" s="244">
        <f>Q1027</f>
        <v>189056</v>
      </c>
      <c r="AB1027" s="271" t="str">
        <f>R1027</f>
        <v>1회추경</v>
      </c>
      <c r="AC1027" s="241">
        <v>420</v>
      </c>
    </row>
    <row r="1028" spans="1:29" ht="26.1" customHeight="1">
      <c r="A1028" s="208"/>
      <c r="B1028" s="211"/>
      <c r="C1028" s="211"/>
      <c r="D1028" s="212"/>
      <c r="E1028" s="210" t="str">
        <f>IFERROR(VLOOKUP($T1028,공사현장대장!$A$5:$T$330,4),"")</f>
        <v/>
      </c>
      <c r="F1028" s="212"/>
      <c r="G1028" s="265"/>
      <c r="H1028" s="265"/>
      <c r="I1028" s="265"/>
      <c r="J1028" s="265" t="str">
        <f>IFERROR(ROUND(VLOOKUP($T1028,공사현장대장!$A$5:$T$330,9)/1000,0),"")</f>
        <v/>
      </c>
      <c r="K1028" s="225"/>
      <c r="L1028" s="209"/>
      <c r="M1028" s="209"/>
      <c r="N1028" s="209"/>
      <c r="O1028" s="209"/>
      <c r="P1028" s="209"/>
      <c r="Q1028" s="209"/>
      <c r="R1028" s="263" t="s">
        <v>41</v>
      </c>
      <c r="S1028" s="266" t="s">
        <v>49</v>
      </c>
      <c r="T1028" s="229"/>
      <c r="AA1028" s="244"/>
      <c r="AB1028" s="271"/>
    </row>
    <row r="1029" spans="1:29" ht="26.1" customHeight="1">
      <c r="A1029" s="208"/>
      <c r="B1029" s="211"/>
      <c r="C1029" s="211"/>
      <c r="D1029" s="212"/>
      <c r="E1029" s="210" t="str">
        <f>IFERROR(VLOOKUP($T1029,공사현장대장!$A$5:$T$330,4),"")</f>
        <v/>
      </c>
      <c r="F1029" s="212"/>
      <c r="G1029" s="265"/>
      <c r="H1029" s="265"/>
      <c r="I1029" s="265"/>
      <c r="J1029" s="265" t="str">
        <f>IFERROR(ROUND(VLOOKUP($T1029,공사현장대장!$A$5:$T$330,9)/1000,0),"")</f>
        <v/>
      </c>
      <c r="K1029" s="225"/>
      <c r="L1029" s="209"/>
      <c r="M1029" s="209"/>
      <c r="N1029" s="209"/>
      <c r="O1029" s="209"/>
      <c r="P1029" s="209"/>
      <c r="Q1029" s="209"/>
      <c r="R1029" s="263" t="s">
        <v>41</v>
      </c>
      <c r="S1029" s="266" t="s">
        <v>49</v>
      </c>
      <c r="T1029" s="229"/>
      <c r="AA1029" s="244"/>
      <c r="AB1029" s="271"/>
    </row>
    <row r="1030" spans="1:29" ht="26.1" customHeight="1">
      <c r="A1030" s="208"/>
      <c r="B1030" s="211"/>
      <c r="C1030" s="211"/>
      <c r="D1030" s="212"/>
      <c r="E1030" s="210" t="str">
        <f>IFERROR(VLOOKUP($T1030,공사현장대장!$A$5:$T$330,4),"")</f>
        <v/>
      </c>
      <c r="F1030" s="212"/>
      <c r="G1030" s="265"/>
      <c r="H1030" s="265"/>
      <c r="I1030" s="265"/>
      <c r="J1030" s="265" t="str">
        <f>IFERROR(ROUND(VLOOKUP($T1030,공사현장대장!$A$5:$T$330,9)/1000,0),"")</f>
        <v/>
      </c>
      <c r="K1030" s="225"/>
      <c r="L1030" s="209"/>
      <c r="M1030" s="209"/>
      <c r="N1030" s="209"/>
      <c r="O1030" s="209"/>
      <c r="P1030" s="209"/>
      <c r="Q1030" s="209"/>
      <c r="R1030" s="263" t="s">
        <v>41</v>
      </c>
      <c r="S1030" s="266" t="s">
        <v>49</v>
      </c>
      <c r="T1030" s="229"/>
      <c r="AA1030" s="244"/>
      <c r="AB1030" s="271"/>
    </row>
    <row r="1031" spans="1:29" ht="26.1" customHeight="1">
      <c r="A1031" s="324" t="s">
        <v>40</v>
      </c>
      <c r="B1031" s="325"/>
      <c r="C1031" s="325"/>
      <c r="D1031" s="325"/>
      <c r="E1031" s="326"/>
      <c r="F1031" s="226"/>
      <c r="G1031" s="267"/>
      <c r="H1031" s="267"/>
      <c r="I1031" s="267"/>
      <c r="J1031" s="267"/>
      <c r="K1031" s="227">
        <f t="shared" ref="K1031:Q1031" si="204">SUM(K1027-SUM(K1028:K1030))</f>
        <v>0</v>
      </c>
      <c r="L1031" s="227">
        <f t="shared" si="204"/>
        <v>189056</v>
      </c>
      <c r="M1031" s="227">
        <f t="shared" si="204"/>
        <v>0</v>
      </c>
      <c r="N1031" s="227">
        <f t="shared" si="204"/>
        <v>0</v>
      </c>
      <c r="O1031" s="227">
        <f t="shared" si="204"/>
        <v>0</v>
      </c>
      <c r="P1031" s="227">
        <f t="shared" si="204"/>
        <v>0</v>
      </c>
      <c r="Q1031" s="227">
        <f t="shared" si="204"/>
        <v>189056</v>
      </c>
      <c r="R1031" s="268" t="s">
        <v>41</v>
      </c>
      <c r="S1031" s="269" t="s">
        <v>49</v>
      </c>
      <c r="T1031" s="230"/>
      <c r="AA1031" s="244"/>
      <c r="AB1031" s="271"/>
    </row>
    <row r="1032" spans="1:29" ht="26.1" customHeight="1">
      <c r="A1032" s="213" t="s">
        <v>29</v>
      </c>
      <c r="B1032" s="214" t="s">
        <v>384</v>
      </c>
      <c r="C1032" s="214" t="s">
        <v>31</v>
      </c>
      <c r="D1032" s="215" t="s">
        <v>415</v>
      </c>
      <c r="E1032" s="216" t="s">
        <v>151</v>
      </c>
      <c r="F1032" s="215" t="s">
        <v>136</v>
      </c>
      <c r="G1032" s="262" t="s">
        <v>46</v>
      </c>
      <c r="H1032" s="262" t="s">
        <v>133</v>
      </c>
      <c r="I1032" s="262" t="s">
        <v>449</v>
      </c>
      <c r="J1032" s="262">
        <f>SUM(J1033:J1035)</f>
        <v>0</v>
      </c>
      <c r="K1032" s="217">
        <v>13385</v>
      </c>
      <c r="L1032" s="218"/>
      <c r="M1032" s="218"/>
      <c r="N1032" s="218"/>
      <c r="O1032" s="218"/>
      <c r="P1032" s="218"/>
      <c r="Q1032" s="218">
        <f>SUM(K1032:P1032)</f>
        <v>13385</v>
      </c>
      <c r="R1032" s="270" t="s">
        <v>41</v>
      </c>
      <c r="S1032" s="266" t="s">
        <v>49</v>
      </c>
      <c r="T1032" s="229"/>
      <c r="V1032" s="241" t="str">
        <f>B1032</f>
        <v>고</v>
      </c>
      <c r="W1032" s="241" t="str">
        <f>C1032</f>
        <v>공립</v>
      </c>
      <c r="X1032" s="241" t="str">
        <f>D1032</f>
        <v>홍천농고</v>
      </c>
      <c r="Y1032" s="241" t="str">
        <f>E1032</f>
        <v>포장</v>
      </c>
      <c r="Z1032" s="241" t="str">
        <f>F1032</f>
        <v>1식</v>
      </c>
      <c r="AA1032" s="244">
        <f>Q1032</f>
        <v>13385</v>
      </c>
      <c r="AB1032" s="271" t="str">
        <f>R1032</f>
        <v>1회추경</v>
      </c>
      <c r="AC1032" s="241">
        <v>420</v>
      </c>
    </row>
    <row r="1033" spans="1:29" ht="26.1" customHeight="1">
      <c r="A1033" s="208"/>
      <c r="B1033" s="211"/>
      <c r="C1033" s="211"/>
      <c r="D1033" s="212"/>
      <c r="E1033" s="210" t="str">
        <f>IFERROR(VLOOKUP($T1033,공사현장대장!$A$5:$T$330,4),"")</f>
        <v/>
      </c>
      <c r="F1033" s="212"/>
      <c r="G1033" s="265"/>
      <c r="H1033" s="265"/>
      <c r="I1033" s="265"/>
      <c r="J1033" s="265" t="str">
        <f>IFERROR(ROUND(VLOOKUP($T1033,공사현장대장!$A$5:$T$330,9)/1000,0),"")</f>
        <v/>
      </c>
      <c r="K1033" s="225"/>
      <c r="L1033" s="209"/>
      <c r="M1033" s="209"/>
      <c r="N1033" s="209"/>
      <c r="O1033" s="209"/>
      <c r="P1033" s="209"/>
      <c r="Q1033" s="209"/>
      <c r="R1033" s="263" t="s">
        <v>41</v>
      </c>
      <c r="S1033" s="266" t="s">
        <v>49</v>
      </c>
      <c r="T1033" s="229"/>
      <c r="AA1033" s="244"/>
      <c r="AB1033" s="271"/>
    </row>
    <row r="1034" spans="1:29" ht="26.1" customHeight="1">
      <c r="A1034" s="208"/>
      <c r="B1034" s="211"/>
      <c r="C1034" s="211"/>
      <c r="D1034" s="212"/>
      <c r="E1034" s="210" t="str">
        <f>IFERROR(VLOOKUP($T1034,공사현장대장!$A$5:$T$330,4),"")</f>
        <v/>
      </c>
      <c r="F1034" s="212"/>
      <c r="G1034" s="265"/>
      <c r="H1034" s="265"/>
      <c r="I1034" s="265"/>
      <c r="J1034" s="265" t="str">
        <f>IFERROR(ROUND(VLOOKUP($T1034,공사현장대장!$A$5:$T$330,9)/1000,0),"")</f>
        <v/>
      </c>
      <c r="K1034" s="225"/>
      <c r="L1034" s="209"/>
      <c r="M1034" s="209"/>
      <c r="N1034" s="209"/>
      <c r="O1034" s="209"/>
      <c r="P1034" s="209"/>
      <c r="Q1034" s="209"/>
      <c r="R1034" s="263" t="s">
        <v>41</v>
      </c>
      <c r="S1034" s="266" t="s">
        <v>49</v>
      </c>
      <c r="T1034" s="229"/>
      <c r="AA1034" s="244"/>
      <c r="AB1034" s="271"/>
    </row>
    <row r="1035" spans="1:29" ht="26.1" customHeight="1">
      <c r="A1035" s="208"/>
      <c r="B1035" s="211"/>
      <c r="C1035" s="211"/>
      <c r="D1035" s="212"/>
      <c r="E1035" s="210" t="str">
        <f>IFERROR(VLOOKUP($T1035,공사현장대장!$A$5:$T$330,4),"")</f>
        <v/>
      </c>
      <c r="F1035" s="212"/>
      <c r="G1035" s="265"/>
      <c r="H1035" s="265"/>
      <c r="I1035" s="265"/>
      <c r="J1035" s="265" t="str">
        <f>IFERROR(ROUND(VLOOKUP($T1035,공사현장대장!$A$5:$T$330,9)/1000,0),"")</f>
        <v/>
      </c>
      <c r="K1035" s="225"/>
      <c r="L1035" s="209"/>
      <c r="M1035" s="209"/>
      <c r="N1035" s="209"/>
      <c r="O1035" s="209"/>
      <c r="P1035" s="209"/>
      <c r="Q1035" s="209"/>
      <c r="R1035" s="263" t="s">
        <v>41</v>
      </c>
      <c r="S1035" s="266" t="s">
        <v>49</v>
      </c>
      <c r="T1035" s="229"/>
      <c r="AA1035" s="244"/>
      <c r="AB1035" s="271"/>
    </row>
    <row r="1036" spans="1:29" ht="26.1" customHeight="1">
      <c r="A1036" s="324" t="s">
        <v>40</v>
      </c>
      <c r="B1036" s="325"/>
      <c r="C1036" s="325"/>
      <c r="D1036" s="325"/>
      <c r="E1036" s="326"/>
      <c r="F1036" s="226"/>
      <c r="G1036" s="267"/>
      <c r="H1036" s="267"/>
      <c r="I1036" s="267"/>
      <c r="J1036" s="267"/>
      <c r="K1036" s="227">
        <f t="shared" ref="K1036:Q1036" si="205">SUM(K1032-SUM(K1033:K1035))</f>
        <v>13385</v>
      </c>
      <c r="L1036" s="227">
        <f t="shared" si="205"/>
        <v>0</v>
      </c>
      <c r="M1036" s="227">
        <f t="shared" si="205"/>
        <v>0</v>
      </c>
      <c r="N1036" s="227">
        <f t="shared" si="205"/>
        <v>0</v>
      </c>
      <c r="O1036" s="227">
        <f t="shared" si="205"/>
        <v>0</v>
      </c>
      <c r="P1036" s="227">
        <f t="shared" si="205"/>
        <v>0</v>
      </c>
      <c r="Q1036" s="227">
        <f t="shared" si="205"/>
        <v>13385</v>
      </c>
      <c r="R1036" s="268" t="s">
        <v>41</v>
      </c>
      <c r="S1036" s="269" t="s">
        <v>49</v>
      </c>
      <c r="T1036" s="230"/>
      <c r="AA1036" s="244"/>
      <c r="AB1036" s="271"/>
    </row>
    <row r="1037" spans="1:29" ht="26.1" hidden="1" customHeight="1">
      <c r="A1037" s="213" t="s">
        <v>29</v>
      </c>
      <c r="B1037" s="214" t="s">
        <v>384</v>
      </c>
      <c r="C1037" s="214" t="s">
        <v>31</v>
      </c>
      <c r="D1037" s="215" t="s">
        <v>450</v>
      </c>
      <c r="E1037" s="216" t="s">
        <v>451</v>
      </c>
      <c r="F1037" s="215" t="s">
        <v>452</v>
      </c>
      <c r="G1037" s="262" t="s">
        <v>46</v>
      </c>
      <c r="H1037" s="262" t="s">
        <v>54</v>
      </c>
      <c r="I1037" s="262" t="s">
        <v>55</v>
      </c>
      <c r="J1037" s="262">
        <f>SUM(J1038:J1040)</f>
        <v>0</v>
      </c>
      <c r="K1037" s="217"/>
      <c r="L1037" s="218">
        <v>315000</v>
      </c>
      <c r="M1037" s="218"/>
      <c r="N1037" s="218"/>
      <c r="O1037" s="218"/>
      <c r="P1037" s="218"/>
      <c r="Q1037" s="218">
        <f>SUM(K1037:P1037)</f>
        <v>315000</v>
      </c>
      <c r="R1037" s="263" t="s">
        <v>38</v>
      </c>
      <c r="S1037" s="266" t="s">
        <v>71</v>
      </c>
      <c r="T1037" s="229"/>
    </row>
    <row r="1038" spans="1:29" ht="26.1" hidden="1" customHeight="1">
      <c r="A1038" s="208"/>
      <c r="B1038" s="211"/>
      <c r="C1038" s="211"/>
      <c r="D1038" s="212"/>
      <c r="E1038" s="210" t="str">
        <f>IFERROR(VLOOKUP($T1038,공사현장대장!$A$5:$T$330,4),"")</f>
        <v/>
      </c>
      <c r="F1038" s="212"/>
      <c r="G1038" s="265"/>
      <c r="H1038" s="265"/>
      <c r="I1038" s="265"/>
      <c r="J1038" s="265" t="str">
        <f>IFERROR(ROUND(VLOOKUP($T1038,공사현장대장!$A$5:$T$330,9)/1000,0),"")</f>
        <v/>
      </c>
      <c r="K1038" s="225"/>
      <c r="L1038" s="209"/>
      <c r="M1038" s="209"/>
      <c r="N1038" s="209"/>
      <c r="O1038" s="209"/>
      <c r="P1038" s="209"/>
      <c r="Q1038" s="209"/>
      <c r="R1038" s="263" t="s">
        <v>38</v>
      </c>
      <c r="S1038" s="266" t="s">
        <v>71</v>
      </c>
      <c r="T1038" s="229"/>
    </row>
    <row r="1039" spans="1:29" ht="26.1" hidden="1" customHeight="1">
      <c r="A1039" s="208"/>
      <c r="B1039" s="211"/>
      <c r="C1039" s="211"/>
      <c r="D1039" s="212"/>
      <c r="E1039" s="210" t="str">
        <f>IFERROR(VLOOKUP($T1039,공사현장대장!$A$5:$T$330,4),"")</f>
        <v/>
      </c>
      <c r="F1039" s="212"/>
      <c r="G1039" s="265"/>
      <c r="H1039" s="265"/>
      <c r="I1039" s="265"/>
      <c r="J1039" s="265" t="str">
        <f>IFERROR(ROUND(VLOOKUP($T1039,공사현장대장!$A$5:$T$330,9)/1000,0),"")</f>
        <v/>
      </c>
      <c r="K1039" s="225"/>
      <c r="L1039" s="209"/>
      <c r="M1039" s="209"/>
      <c r="N1039" s="209"/>
      <c r="O1039" s="209"/>
      <c r="P1039" s="209"/>
      <c r="Q1039" s="209"/>
      <c r="R1039" s="263" t="s">
        <v>38</v>
      </c>
      <c r="S1039" s="266" t="s">
        <v>71</v>
      </c>
      <c r="T1039" s="229"/>
    </row>
    <row r="1040" spans="1:29" ht="26.1" hidden="1" customHeight="1">
      <c r="A1040" s="208"/>
      <c r="B1040" s="211"/>
      <c r="C1040" s="211"/>
      <c r="D1040" s="212"/>
      <c r="E1040" s="210" t="str">
        <f>IFERROR(VLOOKUP($T1040,공사현장대장!$A$5:$T$330,4),"")</f>
        <v/>
      </c>
      <c r="F1040" s="212"/>
      <c r="G1040" s="265"/>
      <c r="H1040" s="265"/>
      <c r="I1040" s="265"/>
      <c r="J1040" s="265" t="str">
        <f>IFERROR(ROUND(VLOOKUP($T1040,공사현장대장!$A$5:$T$330,9)/1000,0),"")</f>
        <v/>
      </c>
      <c r="K1040" s="225"/>
      <c r="L1040" s="209"/>
      <c r="M1040" s="209"/>
      <c r="N1040" s="209"/>
      <c r="O1040" s="209"/>
      <c r="P1040" s="209"/>
      <c r="Q1040" s="209"/>
      <c r="R1040" s="263" t="s">
        <v>38</v>
      </c>
      <c r="S1040" s="266" t="s">
        <v>71</v>
      </c>
      <c r="T1040" s="229"/>
    </row>
    <row r="1041" spans="1:20" ht="26.1" hidden="1" customHeight="1">
      <c r="A1041" s="324" t="s">
        <v>40</v>
      </c>
      <c r="B1041" s="325"/>
      <c r="C1041" s="325"/>
      <c r="D1041" s="325"/>
      <c r="E1041" s="326"/>
      <c r="F1041" s="226"/>
      <c r="G1041" s="267"/>
      <c r="H1041" s="267"/>
      <c r="I1041" s="267"/>
      <c r="J1041" s="267"/>
      <c r="K1041" s="227">
        <f t="shared" ref="K1041:Q1041" si="206">SUM(K1037-SUM(K1038:K1040))</f>
        <v>0</v>
      </c>
      <c r="L1041" s="227">
        <f t="shared" si="206"/>
        <v>315000</v>
      </c>
      <c r="M1041" s="227">
        <f t="shared" si="206"/>
        <v>0</v>
      </c>
      <c r="N1041" s="227">
        <f t="shared" si="206"/>
        <v>0</v>
      </c>
      <c r="O1041" s="227">
        <f t="shared" si="206"/>
        <v>0</v>
      </c>
      <c r="P1041" s="227">
        <f t="shared" si="206"/>
        <v>0</v>
      </c>
      <c r="Q1041" s="227">
        <f t="shared" si="206"/>
        <v>315000</v>
      </c>
      <c r="R1041" s="268" t="s">
        <v>38</v>
      </c>
      <c r="S1041" s="269" t="s">
        <v>71</v>
      </c>
      <c r="T1041" s="230"/>
    </row>
    <row r="1042" spans="1:20" ht="26.1" hidden="1" customHeight="1">
      <c r="A1042" s="213" t="s">
        <v>29</v>
      </c>
      <c r="B1042" s="214" t="s">
        <v>384</v>
      </c>
      <c r="C1042" s="214" t="s">
        <v>31</v>
      </c>
      <c r="D1042" s="215" t="s">
        <v>450</v>
      </c>
      <c r="E1042" s="216" t="s">
        <v>453</v>
      </c>
      <c r="F1042" s="215" t="s">
        <v>454</v>
      </c>
      <c r="G1042" s="262" t="s">
        <v>46</v>
      </c>
      <c r="H1042" s="262" t="s">
        <v>54</v>
      </c>
      <c r="I1042" s="262" t="s">
        <v>55</v>
      </c>
      <c r="J1042" s="262">
        <f>SUM(J1043:J1045)</f>
        <v>0</v>
      </c>
      <c r="K1042" s="217"/>
      <c r="L1042" s="218">
        <v>361200</v>
      </c>
      <c r="M1042" s="218"/>
      <c r="N1042" s="218"/>
      <c r="O1042" s="218"/>
      <c r="P1042" s="218"/>
      <c r="Q1042" s="218">
        <f>SUM(K1042:P1042)</f>
        <v>361200</v>
      </c>
      <c r="R1042" s="274" t="s">
        <v>87</v>
      </c>
      <c r="S1042" s="266" t="s">
        <v>71</v>
      </c>
      <c r="T1042" s="229"/>
    </row>
    <row r="1043" spans="1:20" ht="26.1" hidden="1" customHeight="1">
      <c r="A1043" s="208"/>
      <c r="B1043" s="211"/>
      <c r="C1043" s="211"/>
      <c r="D1043" s="212"/>
      <c r="E1043" s="210" t="str">
        <f>IFERROR(VLOOKUP($T1043,공사현장대장!$A$5:$T$330,4),"")</f>
        <v/>
      </c>
      <c r="F1043" s="212"/>
      <c r="G1043" s="265"/>
      <c r="H1043" s="265"/>
      <c r="I1043" s="265"/>
      <c r="J1043" s="265" t="str">
        <f>IFERROR(ROUND(VLOOKUP($T1043,공사현장대장!$A$5:$T$330,9)/1000,0),"")</f>
        <v/>
      </c>
      <c r="K1043" s="225"/>
      <c r="L1043" s="209"/>
      <c r="M1043" s="209"/>
      <c r="N1043" s="209"/>
      <c r="O1043" s="209"/>
      <c r="P1043" s="209"/>
      <c r="Q1043" s="209"/>
      <c r="R1043" s="263" t="s">
        <v>87</v>
      </c>
      <c r="S1043" s="266" t="s">
        <v>71</v>
      </c>
      <c r="T1043" s="229"/>
    </row>
    <row r="1044" spans="1:20" ht="26.1" hidden="1" customHeight="1">
      <c r="A1044" s="208"/>
      <c r="B1044" s="211"/>
      <c r="C1044" s="211"/>
      <c r="D1044" s="212"/>
      <c r="E1044" s="210" t="str">
        <f>IFERROR(VLOOKUP($T1044,공사현장대장!$A$5:$T$330,4),"")</f>
        <v/>
      </c>
      <c r="F1044" s="212"/>
      <c r="G1044" s="265"/>
      <c r="H1044" s="265"/>
      <c r="I1044" s="265"/>
      <c r="J1044" s="265" t="str">
        <f>IFERROR(ROUND(VLOOKUP($T1044,공사현장대장!$A$5:$T$330,9)/1000,0),"")</f>
        <v/>
      </c>
      <c r="K1044" s="225"/>
      <c r="L1044" s="209"/>
      <c r="M1044" s="209"/>
      <c r="N1044" s="209"/>
      <c r="O1044" s="209"/>
      <c r="P1044" s="209"/>
      <c r="Q1044" s="209"/>
      <c r="R1044" s="263" t="s">
        <v>87</v>
      </c>
      <c r="S1044" s="266" t="s">
        <v>71</v>
      </c>
      <c r="T1044" s="229"/>
    </row>
    <row r="1045" spans="1:20" ht="26.1" hidden="1" customHeight="1">
      <c r="A1045" s="208"/>
      <c r="B1045" s="211"/>
      <c r="C1045" s="211"/>
      <c r="D1045" s="212"/>
      <c r="E1045" s="210" t="str">
        <f>IFERROR(VLOOKUP($T1045,공사현장대장!$A$5:$T$330,4),"")</f>
        <v/>
      </c>
      <c r="F1045" s="212"/>
      <c r="G1045" s="265"/>
      <c r="H1045" s="265"/>
      <c r="I1045" s="265"/>
      <c r="J1045" s="265" t="str">
        <f>IFERROR(ROUND(VLOOKUP($T1045,공사현장대장!$A$5:$T$330,9)/1000,0),"")</f>
        <v/>
      </c>
      <c r="K1045" s="225"/>
      <c r="L1045" s="209"/>
      <c r="M1045" s="209"/>
      <c r="N1045" s="209"/>
      <c r="O1045" s="209"/>
      <c r="P1045" s="209"/>
      <c r="Q1045" s="209"/>
      <c r="R1045" s="263" t="s">
        <v>87</v>
      </c>
      <c r="S1045" s="266" t="s">
        <v>71</v>
      </c>
      <c r="T1045" s="229"/>
    </row>
    <row r="1046" spans="1:20" ht="26.1" hidden="1" customHeight="1">
      <c r="A1046" s="324" t="s">
        <v>40</v>
      </c>
      <c r="B1046" s="325"/>
      <c r="C1046" s="325"/>
      <c r="D1046" s="325"/>
      <c r="E1046" s="326"/>
      <c r="F1046" s="226"/>
      <c r="G1046" s="267"/>
      <c r="H1046" s="267"/>
      <c r="I1046" s="267"/>
      <c r="J1046" s="267"/>
      <c r="K1046" s="227">
        <f t="shared" ref="K1046:Q1046" si="207">SUM(K1042-SUM(K1043:K1045))</f>
        <v>0</v>
      </c>
      <c r="L1046" s="227">
        <f t="shared" si="207"/>
        <v>361200</v>
      </c>
      <c r="M1046" s="227">
        <f t="shared" si="207"/>
        <v>0</v>
      </c>
      <c r="N1046" s="227">
        <f t="shared" si="207"/>
        <v>0</v>
      </c>
      <c r="O1046" s="227">
        <f t="shared" si="207"/>
        <v>0</v>
      </c>
      <c r="P1046" s="227">
        <f t="shared" si="207"/>
        <v>0</v>
      </c>
      <c r="Q1046" s="227">
        <f t="shared" si="207"/>
        <v>361200</v>
      </c>
      <c r="R1046" s="268" t="s">
        <v>87</v>
      </c>
      <c r="S1046" s="269" t="s">
        <v>71</v>
      </c>
      <c r="T1046" s="230"/>
    </row>
    <row r="1047" spans="1:20" ht="26.1" hidden="1" customHeight="1">
      <c r="A1047" s="213" t="s">
        <v>29</v>
      </c>
      <c r="B1047" s="214" t="s">
        <v>384</v>
      </c>
      <c r="C1047" s="214" t="s">
        <v>31</v>
      </c>
      <c r="D1047" s="215" t="s">
        <v>450</v>
      </c>
      <c r="E1047" s="216" t="s">
        <v>382</v>
      </c>
      <c r="F1047" s="215" t="s">
        <v>455</v>
      </c>
      <c r="G1047" s="262" t="s">
        <v>46</v>
      </c>
      <c r="H1047" s="262" t="s">
        <v>361</v>
      </c>
      <c r="I1047" s="262" t="s">
        <v>362</v>
      </c>
      <c r="J1047" s="262">
        <f>SUM(J1048:J1050)</f>
        <v>0</v>
      </c>
      <c r="K1047" s="217"/>
      <c r="L1047" s="218">
        <v>828670</v>
      </c>
      <c r="M1047" s="218"/>
      <c r="N1047" s="218"/>
      <c r="O1047" s="218"/>
      <c r="P1047" s="218"/>
      <c r="Q1047" s="218">
        <f>SUM(K1047:P1047)</f>
        <v>828670</v>
      </c>
      <c r="R1047" s="263" t="s">
        <v>38</v>
      </c>
      <c r="S1047" s="266" t="s">
        <v>71</v>
      </c>
      <c r="T1047" s="229"/>
    </row>
    <row r="1048" spans="1:20" ht="26.1" hidden="1" customHeight="1">
      <c r="A1048" s="208"/>
      <c r="B1048" s="211"/>
      <c r="C1048" s="211"/>
      <c r="D1048" s="212"/>
      <c r="E1048" s="210" t="str">
        <f>IFERROR(VLOOKUP($T1048,공사현장대장!$A$5:$T$330,4),"")</f>
        <v/>
      </c>
      <c r="F1048" s="212"/>
      <c r="G1048" s="265"/>
      <c r="H1048" s="265"/>
      <c r="I1048" s="265"/>
      <c r="J1048" s="265" t="str">
        <f>IFERROR(ROUND(VLOOKUP($T1048,공사현장대장!$A$5:$T$330,9)/1000,0),"")</f>
        <v/>
      </c>
      <c r="K1048" s="225"/>
      <c r="L1048" s="209"/>
      <c r="M1048" s="209"/>
      <c r="N1048" s="209"/>
      <c r="O1048" s="209"/>
      <c r="P1048" s="209"/>
      <c r="Q1048" s="209"/>
      <c r="R1048" s="263" t="s">
        <v>38</v>
      </c>
      <c r="S1048" s="266" t="s">
        <v>71</v>
      </c>
      <c r="T1048" s="229"/>
    </row>
    <row r="1049" spans="1:20" ht="26.1" hidden="1" customHeight="1">
      <c r="A1049" s="208"/>
      <c r="B1049" s="211"/>
      <c r="C1049" s="211"/>
      <c r="D1049" s="212"/>
      <c r="E1049" s="210" t="str">
        <f>IFERROR(VLOOKUP($T1049,공사현장대장!$A$5:$T$330,4),"")</f>
        <v/>
      </c>
      <c r="F1049" s="212"/>
      <c r="G1049" s="265"/>
      <c r="H1049" s="265"/>
      <c r="I1049" s="265"/>
      <c r="J1049" s="265" t="str">
        <f>IFERROR(ROUND(VLOOKUP($T1049,공사현장대장!$A$5:$T$330,9)/1000,0),"")</f>
        <v/>
      </c>
      <c r="K1049" s="225"/>
      <c r="L1049" s="209"/>
      <c r="M1049" s="209"/>
      <c r="N1049" s="209"/>
      <c r="O1049" s="209"/>
      <c r="P1049" s="209"/>
      <c r="Q1049" s="209"/>
      <c r="R1049" s="263" t="s">
        <v>38</v>
      </c>
      <c r="S1049" s="266" t="s">
        <v>71</v>
      </c>
      <c r="T1049" s="229"/>
    </row>
    <row r="1050" spans="1:20" ht="26.1" hidden="1" customHeight="1">
      <c r="A1050" s="208"/>
      <c r="B1050" s="211"/>
      <c r="C1050" s="211"/>
      <c r="D1050" s="212"/>
      <c r="E1050" s="210" t="str">
        <f>IFERROR(VLOOKUP($T1050,공사현장대장!$A$5:$T$330,4),"")</f>
        <v/>
      </c>
      <c r="F1050" s="212"/>
      <c r="G1050" s="265"/>
      <c r="H1050" s="265"/>
      <c r="I1050" s="265"/>
      <c r="J1050" s="265" t="str">
        <f>IFERROR(ROUND(VLOOKUP($T1050,공사현장대장!$A$5:$T$330,9)/1000,0),"")</f>
        <v/>
      </c>
      <c r="K1050" s="225"/>
      <c r="L1050" s="209"/>
      <c r="M1050" s="209"/>
      <c r="N1050" s="209"/>
      <c r="O1050" s="209"/>
      <c r="P1050" s="209"/>
      <c r="Q1050" s="209"/>
      <c r="R1050" s="263" t="s">
        <v>38</v>
      </c>
      <c r="S1050" s="266" t="s">
        <v>71</v>
      </c>
      <c r="T1050" s="229"/>
    </row>
    <row r="1051" spans="1:20" ht="26.1" hidden="1" customHeight="1">
      <c r="A1051" s="324" t="s">
        <v>40</v>
      </c>
      <c r="B1051" s="325"/>
      <c r="C1051" s="325"/>
      <c r="D1051" s="325"/>
      <c r="E1051" s="326"/>
      <c r="F1051" s="226"/>
      <c r="G1051" s="267"/>
      <c r="H1051" s="267"/>
      <c r="I1051" s="267"/>
      <c r="J1051" s="267"/>
      <c r="K1051" s="227">
        <f t="shared" ref="K1051:Q1051" si="208">SUM(K1047-SUM(K1048:K1050))</f>
        <v>0</v>
      </c>
      <c r="L1051" s="227">
        <f t="shared" si="208"/>
        <v>828670</v>
      </c>
      <c r="M1051" s="227">
        <f t="shared" si="208"/>
        <v>0</v>
      </c>
      <c r="N1051" s="227">
        <f t="shared" si="208"/>
        <v>0</v>
      </c>
      <c r="O1051" s="227">
        <f t="shared" si="208"/>
        <v>0</v>
      </c>
      <c r="P1051" s="227">
        <f t="shared" si="208"/>
        <v>0</v>
      </c>
      <c r="Q1051" s="227">
        <f t="shared" si="208"/>
        <v>828670</v>
      </c>
      <c r="R1051" s="268" t="s">
        <v>38</v>
      </c>
      <c r="S1051" s="269" t="s">
        <v>71</v>
      </c>
      <c r="T1051" s="230"/>
    </row>
    <row r="1052" spans="1:20" ht="26.1" hidden="1" customHeight="1">
      <c r="A1052" s="213" t="s">
        <v>29</v>
      </c>
      <c r="B1052" s="214" t="s">
        <v>384</v>
      </c>
      <c r="C1052" s="214" t="s">
        <v>31</v>
      </c>
      <c r="D1052" s="215" t="s">
        <v>450</v>
      </c>
      <c r="E1052" s="216" t="s">
        <v>456</v>
      </c>
      <c r="F1052" s="224" t="s">
        <v>457</v>
      </c>
      <c r="G1052" s="262" t="s">
        <v>46</v>
      </c>
      <c r="H1052" s="262" t="s">
        <v>65</v>
      </c>
      <c r="I1052" s="262" t="s">
        <v>66</v>
      </c>
      <c r="J1052" s="262">
        <f>SUM(J1053:J1055)</f>
        <v>0</v>
      </c>
      <c r="K1052" s="217"/>
      <c r="L1052" s="218">
        <v>350593</v>
      </c>
      <c r="M1052" s="218"/>
      <c r="N1052" s="218"/>
      <c r="O1052" s="218"/>
      <c r="P1052" s="218"/>
      <c r="Q1052" s="218">
        <f>SUM(K1052:P1052)</f>
        <v>350593</v>
      </c>
      <c r="R1052" s="263" t="s">
        <v>38</v>
      </c>
      <c r="S1052" s="266" t="s">
        <v>71</v>
      </c>
      <c r="T1052" s="229"/>
    </row>
    <row r="1053" spans="1:20" ht="26.1" hidden="1" customHeight="1">
      <c r="A1053" s="208"/>
      <c r="B1053" s="211"/>
      <c r="C1053" s="211"/>
      <c r="D1053" s="212"/>
      <c r="E1053" s="210" t="str">
        <f>IFERROR(VLOOKUP($T1053,공사현장대장!$A$5:$T$330,4),"")</f>
        <v/>
      </c>
      <c r="F1053" s="212"/>
      <c r="G1053" s="265"/>
      <c r="H1053" s="265"/>
      <c r="I1053" s="265"/>
      <c r="J1053" s="265" t="str">
        <f>IFERROR(ROUND(VLOOKUP($T1053,공사현장대장!$A$5:$T$330,9)/1000,0),"")</f>
        <v/>
      </c>
      <c r="K1053" s="225"/>
      <c r="L1053" s="209"/>
      <c r="M1053" s="209"/>
      <c r="N1053" s="209"/>
      <c r="O1053" s="209"/>
      <c r="P1053" s="209"/>
      <c r="Q1053" s="209"/>
      <c r="R1053" s="263" t="s">
        <v>38</v>
      </c>
      <c r="S1053" s="266" t="s">
        <v>71</v>
      </c>
      <c r="T1053" s="229"/>
    </row>
    <row r="1054" spans="1:20" ht="26.1" hidden="1" customHeight="1">
      <c r="A1054" s="208"/>
      <c r="B1054" s="211"/>
      <c r="C1054" s="211"/>
      <c r="D1054" s="212"/>
      <c r="E1054" s="210" t="str">
        <f>IFERROR(VLOOKUP($T1054,공사현장대장!$A$5:$T$330,4),"")</f>
        <v/>
      </c>
      <c r="F1054" s="212"/>
      <c r="G1054" s="265"/>
      <c r="H1054" s="265"/>
      <c r="I1054" s="265"/>
      <c r="J1054" s="265" t="str">
        <f>IFERROR(ROUND(VLOOKUP($T1054,공사현장대장!$A$5:$T$330,9)/1000,0),"")</f>
        <v/>
      </c>
      <c r="K1054" s="225"/>
      <c r="L1054" s="209"/>
      <c r="M1054" s="209"/>
      <c r="N1054" s="209"/>
      <c r="O1054" s="209"/>
      <c r="P1054" s="209"/>
      <c r="Q1054" s="209"/>
      <c r="R1054" s="263" t="s">
        <v>38</v>
      </c>
      <c r="S1054" s="266" t="s">
        <v>71</v>
      </c>
      <c r="T1054" s="229"/>
    </row>
    <row r="1055" spans="1:20" ht="26.1" hidden="1" customHeight="1">
      <c r="A1055" s="208"/>
      <c r="B1055" s="211"/>
      <c r="C1055" s="211"/>
      <c r="D1055" s="212"/>
      <c r="E1055" s="210" t="str">
        <f>IFERROR(VLOOKUP($T1055,공사현장대장!$A$5:$T$330,4),"")</f>
        <v/>
      </c>
      <c r="F1055" s="212"/>
      <c r="G1055" s="265"/>
      <c r="H1055" s="265"/>
      <c r="I1055" s="265"/>
      <c r="J1055" s="265" t="str">
        <f>IFERROR(ROUND(VLOOKUP($T1055,공사현장대장!$A$5:$T$330,9)/1000,0),"")</f>
        <v/>
      </c>
      <c r="K1055" s="225"/>
      <c r="L1055" s="209"/>
      <c r="M1055" s="209"/>
      <c r="N1055" s="209"/>
      <c r="O1055" s="209"/>
      <c r="P1055" s="209"/>
      <c r="Q1055" s="209"/>
      <c r="R1055" s="263" t="s">
        <v>38</v>
      </c>
      <c r="S1055" s="266" t="s">
        <v>71</v>
      </c>
      <c r="T1055" s="229"/>
    </row>
    <row r="1056" spans="1:20" ht="26.1" hidden="1" customHeight="1">
      <c r="A1056" s="324" t="s">
        <v>40</v>
      </c>
      <c r="B1056" s="325"/>
      <c r="C1056" s="325"/>
      <c r="D1056" s="325"/>
      <c r="E1056" s="326"/>
      <c r="F1056" s="226"/>
      <c r="G1056" s="267"/>
      <c r="H1056" s="267"/>
      <c r="I1056" s="267"/>
      <c r="J1056" s="267"/>
      <c r="K1056" s="227">
        <f t="shared" ref="K1056:Q1056" si="209">SUM(K1052-SUM(K1053:K1055))</f>
        <v>0</v>
      </c>
      <c r="L1056" s="227">
        <f t="shared" si="209"/>
        <v>350593</v>
      </c>
      <c r="M1056" s="227">
        <f t="shared" si="209"/>
        <v>0</v>
      </c>
      <c r="N1056" s="227">
        <f t="shared" si="209"/>
        <v>0</v>
      </c>
      <c r="O1056" s="227">
        <f t="shared" si="209"/>
        <v>0</v>
      </c>
      <c r="P1056" s="227">
        <f t="shared" si="209"/>
        <v>0</v>
      </c>
      <c r="Q1056" s="227">
        <f t="shared" si="209"/>
        <v>350593</v>
      </c>
      <c r="R1056" s="268" t="s">
        <v>38</v>
      </c>
      <c r="S1056" s="269" t="s">
        <v>71</v>
      </c>
      <c r="T1056" s="230"/>
    </row>
    <row r="1057" spans="1:29" ht="26.1" hidden="1" customHeight="1">
      <c r="A1057" s="219" t="s">
        <v>29</v>
      </c>
      <c r="B1057" s="214" t="s">
        <v>384</v>
      </c>
      <c r="C1057" s="220" t="s">
        <v>31</v>
      </c>
      <c r="D1057" s="215" t="s">
        <v>450</v>
      </c>
      <c r="E1057" s="215" t="s">
        <v>188</v>
      </c>
      <c r="F1057" s="276" t="s">
        <v>189</v>
      </c>
      <c r="G1057" s="215" t="s">
        <v>46</v>
      </c>
      <c r="H1057" s="215" t="s">
        <v>188</v>
      </c>
      <c r="I1057" s="215" t="s">
        <v>190</v>
      </c>
      <c r="J1057" s="215">
        <f>SUM(J1058:J1060)</f>
        <v>0</v>
      </c>
      <c r="K1057" s="221">
        <f>6057</f>
        <v>6057</v>
      </c>
      <c r="L1057" s="222">
        <f>2782870+3199620</f>
        <v>5982490</v>
      </c>
      <c r="M1057" s="222">
        <f>1673812+84210</f>
        <v>1758022</v>
      </c>
      <c r="N1057" s="222">
        <f>19500</f>
        <v>19500</v>
      </c>
      <c r="O1057" s="222"/>
      <c r="P1057" s="222"/>
      <c r="Q1057" s="223">
        <f>SUM(K1057:P1057)</f>
        <v>7766069</v>
      </c>
      <c r="R1057" s="273" t="s">
        <v>76</v>
      </c>
      <c r="S1057" s="266" t="s">
        <v>71</v>
      </c>
      <c r="T1057" s="231"/>
    </row>
    <row r="1058" spans="1:29" ht="26.1" hidden="1" customHeight="1">
      <c r="A1058" s="208"/>
      <c r="B1058" s="211"/>
      <c r="C1058" s="211"/>
      <c r="D1058" s="212"/>
      <c r="E1058" s="210" t="str">
        <f>IFERROR(VLOOKUP($T1058,공사현장대장!$A$5:$T$330,4),"")</f>
        <v/>
      </c>
      <c r="F1058" s="212"/>
      <c r="G1058" s="265"/>
      <c r="H1058" s="265"/>
      <c r="I1058" s="265"/>
      <c r="J1058" s="265" t="str">
        <f>IFERROR(ROUND(VLOOKUP($T1058,공사현장대장!$A$5:$T$330,9)/1000,0),"")</f>
        <v/>
      </c>
      <c r="K1058" s="225"/>
      <c r="L1058" s="209"/>
      <c r="M1058" s="209"/>
      <c r="N1058" s="209"/>
      <c r="O1058" s="209"/>
      <c r="P1058" s="209"/>
      <c r="Q1058" s="209"/>
      <c r="R1058" s="263" t="s">
        <v>76</v>
      </c>
      <c r="S1058" s="266" t="s">
        <v>71</v>
      </c>
      <c r="T1058" s="229"/>
    </row>
    <row r="1059" spans="1:29" ht="26.1" hidden="1" customHeight="1">
      <c r="A1059" s="208"/>
      <c r="B1059" s="211"/>
      <c r="C1059" s="211"/>
      <c r="D1059" s="212"/>
      <c r="E1059" s="210" t="str">
        <f>IFERROR(VLOOKUP($T1059,공사현장대장!$A$5:$T$330,4),"")</f>
        <v/>
      </c>
      <c r="F1059" s="212"/>
      <c r="G1059" s="265"/>
      <c r="H1059" s="265"/>
      <c r="I1059" s="265"/>
      <c r="J1059" s="265" t="str">
        <f>IFERROR(ROUND(VLOOKUP($T1059,공사현장대장!$A$5:$T$330,9)/1000,0),"")</f>
        <v/>
      </c>
      <c r="K1059" s="225"/>
      <c r="L1059" s="209"/>
      <c r="M1059" s="209"/>
      <c r="N1059" s="209"/>
      <c r="O1059" s="209"/>
      <c r="P1059" s="209"/>
      <c r="Q1059" s="209"/>
      <c r="R1059" s="263" t="s">
        <v>76</v>
      </c>
      <c r="S1059" s="266" t="s">
        <v>71</v>
      </c>
      <c r="T1059" s="229"/>
    </row>
    <row r="1060" spans="1:29" ht="26.1" hidden="1" customHeight="1">
      <c r="A1060" s="208"/>
      <c r="B1060" s="211"/>
      <c r="C1060" s="211"/>
      <c r="D1060" s="212"/>
      <c r="E1060" s="210" t="str">
        <f>IFERROR(VLOOKUP($T1060,공사현장대장!$A$5:$T$330,4),"")</f>
        <v/>
      </c>
      <c r="F1060" s="212"/>
      <c r="G1060" s="265"/>
      <c r="H1060" s="265"/>
      <c r="I1060" s="265"/>
      <c r="J1060" s="265" t="str">
        <f>IFERROR(ROUND(VLOOKUP($T1060,공사현장대장!$A$5:$T$330,9)/1000,0),"")</f>
        <v/>
      </c>
      <c r="K1060" s="225"/>
      <c r="L1060" s="209"/>
      <c r="M1060" s="209"/>
      <c r="N1060" s="209"/>
      <c r="O1060" s="209"/>
      <c r="P1060" s="209"/>
      <c r="Q1060" s="209"/>
      <c r="R1060" s="263" t="s">
        <v>76</v>
      </c>
      <c r="S1060" s="266" t="s">
        <v>71</v>
      </c>
      <c r="T1060" s="229"/>
    </row>
    <row r="1061" spans="1:29" ht="26.1" hidden="1" customHeight="1">
      <c r="A1061" s="324" t="s">
        <v>40</v>
      </c>
      <c r="B1061" s="325"/>
      <c r="C1061" s="325"/>
      <c r="D1061" s="325"/>
      <c r="E1061" s="326"/>
      <c r="F1061" s="226"/>
      <c r="G1061" s="267"/>
      <c r="H1061" s="267"/>
      <c r="I1061" s="267"/>
      <c r="J1061" s="267"/>
      <c r="K1061" s="227">
        <f t="shared" ref="K1061:Q1061" si="210">SUM(K1057-SUM(K1058:K1060))</f>
        <v>6057</v>
      </c>
      <c r="L1061" s="227">
        <f t="shared" si="210"/>
        <v>5982490</v>
      </c>
      <c r="M1061" s="227">
        <f t="shared" si="210"/>
        <v>1758022</v>
      </c>
      <c r="N1061" s="227">
        <f t="shared" si="210"/>
        <v>19500</v>
      </c>
      <c r="O1061" s="227">
        <f t="shared" si="210"/>
        <v>0</v>
      </c>
      <c r="P1061" s="227">
        <f t="shared" si="210"/>
        <v>0</v>
      </c>
      <c r="Q1061" s="227">
        <f t="shared" si="210"/>
        <v>7766069</v>
      </c>
      <c r="R1061" s="268" t="s">
        <v>76</v>
      </c>
      <c r="S1061" s="269" t="s">
        <v>71</v>
      </c>
      <c r="T1061" s="230"/>
    </row>
    <row r="1062" spans="1:29" ht="26.1" hidden="1" customHeight="1">
      <c r="A1062" s="213" t="s">
        <v>29</v>
      </c>
      <c r="B1062" s="214" t="s">
        <v>384</v>
      </c>
      <c r="C1062" s="214" t="s">
        <v>31</v>
      </c>
      <c r="D1062" s="215" t="s">
        <v>450</v>
      </c>
      <c r="E1062" s="216" t="s">
        <v>458</v>
      </c>
      <c r="F1062" s="215" t="s">
        <v>136</v>
      </c>
      <c r="G1062" s="262" t="s">
        <v>46</v>
      </c>
      <c r="H1062" s="262" t="s">
        <v>447</v>
      </c>
      <c r="I1062" s="262" t="s">
        <v>447</v>
      </c>
      <c r="J1062" s="262">
        <f>SUM(J1063:J1065)</f>
        <v>0</v>
      </c>
      <c r="K1062" s="217">
        <v>20000</v>
      </c>
      <c r="L1062" s="218"/>
      <c r="M1062" s="218"/>
      <c r="N1062" s="218"/>
      <c r="O1062" s="218"/>
      <c r="P1062" s="218"/>
      <c r="Q1062" s="218">
        <f>SUM(K1062:P1062)</f>
        <v>20000</v>
      </c>
      <c r="R1062" s="270" t="s">
        <v>41</v>
      </c>
      <c r="S1062" s="266" t="s">
        <v>71</v>
      </c>
      <c r="T1062" s="229"/>
      <c r="V1062" s="241" t="str">
        <f>B1062</f>
        <v>고</v>
      </c>
      <c r="W1062" s="241" t="str">
        <f>C1062</f>
        <v>공립</v>
      </c>
      <c r="X1062" s="241" t="str">
        <f>D1062</f>
        <v>홍천여고</v>
      </c>
      <c r="Y1062" s="241" t="str">
        <f>E1062</f>
        <v>기숙사 환경개선</v>
      </c>
      <c r="Z1062" s="241" t="str">
        <f>F1062</f>
        <v>1식</v>
      </c>
      <c r="AA1062" s="244">
        <f>Q1062</f>
        <v>20000</v>
      </c>
      <c r="AB1062" s="271" t="str">
        <f>R1062</f>
        <v>1회추경</v>
      </c>
      <c r="AC1062" s="241">
        <v>420</v>
      </c>
    </row>
    <row r="1063" spans="1:29" ht="26.1" hidden="1" customHeight="1">
      <c r="A1063" s="208"/>
      <c r="B1063" s="211"/>
      <c r="C1063" s="211"/>
      <c r="D1063" s="212"/>
      <c r="E1063" s="210" t="str">
        <f>IFERROR(VLOOKUP($T1063,공사현장대장!$A$5:$T$330,4),"")</f>
        <v/>
      </c>
      <c r="F1063" s="212"/>
      <c r="G1063" s="265"/>
      <c r="H1063" s="265"/>
      <c r="I1063" s="265"/>
      <c r="J1063" s="265" t="str">
        <f>IFERROR(ROUND(VLOOKUP($T1063,공사현장대장!$A$5:$T$330,9)/1000,0),"")</f>
        <v/>
      </c>
      <c r="K1063" s="225"/>
      <c r="L1063" s="209"/>
      <c r="M1063" s="209"/>
      <c r="N1063" s="209"/>
      <c r="O1063" s="209"/>
      <c r="P1063" s="209"/>
      <c r="Q1063" s="209"/>
      <c r="R1063" s="263" t="s">
        <v>41</v>
      </c>
      <c r="S1063" s="266" t="s">
        <v>71</v>
      </c>
      <c r="T1063" s="229"/>
      <c r="AA1063" s="244"/>
      <c r="AB1063" s="271"/>
    </row>
    <row r="1064" spans="1:29" ht="26.1" hidden="1" customHeight="1">
      <c r="A1064" s="208"/>
      <c r="B1064" s="211"/>
      <c r="C1064" s="211"/>
      <c r="D1064" s="212"/>
      <c r="E1064" s="210" t="str">
        <f>IFERROR(VLOOKUP($T1064,공사현장대장!$A$5:$T$330,4),"")</f>
        <v/>
      </c>
      <c r="F1064" s="212"/>
      <c r="G1064" s="265"/>
      <c r="H1064" s="265"/>
      <c r="I1064" s="265"/>
      <c r="J1064" s="265" t="str">
        <f>IFERROR(ROUND(VLOOKUP($T1064,공사현장대장!$A$5:$T$330,9)/1000,0),"")</f>
        <v/>
      </c>
      <c r="K1064" s="225"/>
      <c r="L1064" s="209"/>
      <c r="M1064" s="209"/>
      <c r="N1064" s="209"/>
      <c r="O1064" s="209"/>
      <c r="P1064" s="209"/>
      <c r="Q1064" s="209"/>
      <c r="R1064" s="263" t="s">
        <v>41</v>
      </c>
      <c r="S1064" s="266" t="s">
        <v>71</v>
      </c>
      <c r="T1064" s="229"/>
      <c r="AA1064" s="244"/>
      <c r="AB1064" s="271"/>
    </row>
    <row r="1065" spans="1:29" ht="26.1" hidden="1" customHeight="1">
      <c r="A1065" s="208"/>
      <c r="B1065" s="211"/>
      <c r="C1065" s="211"/>
      <c r="D1065" s="212"/>
      <c r="E1065" s="210" t="str">
        <f>IFERROR(VLOOKUP($T1065,공사현장대장!$A$5:$T$330,4),"")</f>
        <v/>
      </c>
      <c r="F1065" s="212"/>
      <c r="G1065" s="265"/>
      <c r="H1065" s="265"/>
      <c r="I1065" s="265"/>
      <c r="J1065" s="265" t="str">
        <f>IFERROR(ROUND(VLOOKUP($T1065,공사현장대장!$A$5:$T$330,9)/1000,0),"")</f>
        <v/>
      </c>
      <c r="K1065" s="225"/>
      <c r="L1065" s="209"/>
      <c r="M1065" s="209"/>
      <c r="N1065" s="209"/>
      <c r="O1065" s="209"/>
      <c r="P1065" s="209"/>
      <c r="Q1065" s="209"/>
      <c r="R1065" s="263" t="s">
        <v>41</v>
      </c>
      <c r="S1065" s="266" t="s">
        <v>71</v>
      </c>
      <c r="T1065" s="229"/>
      <c r="AA1065" s="244"/>
      <c r="AB1065" s="271"/>
    </row>
    <row r="1066" spans="1:29" ht="26.1" hidden="1" customHeight="1">
      <c r="A1066" s="324" t="s">
        <v>40</v>
      </c>
      <c r="B1066" s="325"/>
      <c r="C1066" s="325"/>
      <c r="D1066" s="325"/>
      <c r="E1066" s="326"/>
      <c r="F1066" s="226"/>
      <c r="G1066" s="267"/>
      <c r="H1066" s="267"/>
      <c r="I1066" s="267"/>
      <c r="J1066" s="267"/>
      <c r="K1066" s="227">
        <f t="shared" ref="K1066:Q1066" si="211">SUM(K1062-SUM(K1063:K1065))</f>
        <v>20000</v>
      </c>
      <c r="L1066" s="227">
        <f t="shared" si="211"/>
        <v>0</v>
      </c>
      <c r="M1066" s="227">
        <f t="shared" si="211"/>
        <v>0</v>
      </c>
      <c r="N1066" s="227">
        <f t="shared" si="211"/>
        <v>0</v>
      </c>
      <c r="O1066" s="227">
        <f t="shared" si="211"/>
        <v>0</v>
      </c>
      <c r="P1066" s="227">
        <f t="shared" si="211"/>
        <v>0</v>
      </c>
      <c r="Q1066" s="227">
        <f t="shared" si="211"/>
        <v>20000</v>
      </c>
      <c r="R1066" s="268" t="s">
        <v>41</v>
      </c>
      <c r="S1066" s="269" t="s">
        <v>71</v>
      </c>
      <c r="T1066" s="230"/>
      <c r="AA1066" s="244"/>
      <c r="AB1066" s="271"/>
    </row>
    <row r="1067" spans="1:29" ht="26.1" hidden="1" customHeight="1">
      <c r="A1067" s="213" t="s">
        <v>29</v>
      </c>
      <c r="B1067" s="214" t="s">
        <v>459</v>
      </c>
      <c r="C1067" s="214" t="s">
        <v>459</v>
      </c>
      <c r="D1067" s="215" t="s">
        <v>460</v>
      </c>
      <c r="E1067" s="216" t="s">
        <v>461</v>
      </c>
      <c r="F1067" s="215" t="s">
        <v>462</v>
      </c>
      <c r="G1067" s="262" t="s">
        <v>463</v>
      </c>
      <c r="H1067" s="262" t="s">
        <v>464</v>
      </c>
      <c r="I1067" s="262" t="s">
        <v>465</v>
      </c>
      <c r="J1067" s="262">
        <f>SUM(J1068:J1070)</f>
        <v>0</v>
      </c>
      <c r="K1067" s="221"/>
      <c r="L1067" s="222">
        <v>118855</v>
      </c>
      <c r="M1067" s="222"/>
      <c r="N1067" s="222"/>
      <c r="O1067" s="222"/>
      <c r="P1067" s="222"/>
      <c r="Q1067" s="223">
        <f>SUM(K1067:P1067)</f>
        <v>118855</v>
      </c>
      <c r="R1067" s="273" t="s">
        <v>466</v>
      </c>
      <c r="S1067" s="275" t="s">
        <v>467</v>
      </c>
      <c r="T1067" s="232"/>
    </row>
    <row r="1068" spans="1:29" ht="26.1" hidden="1" customHeight="1">
      <c r="A1068" s="208"/>
      <c r="B1068" s="211"/>
      <c r="C1068" s="211"/>
      <c r="D1068" s="212"/>
      <c r="E1068" s="210" t="str">
        <f>IFERROR(VLOOKUP($T1068,공사현장대장!$A$5:$T$330,4),"")</f>
        <v/>
      </c>
      <c r="F1068" s="212"/>
      <c r="G1068" s="265"/>
      <c r="H1068" s="265"/>
      <c r="I1068" s="265"/>
      <c r="J1068" s="265" t="str">
        <f>IFERROR(ROUND(VLOOKUP($T1068,공사현장대장!$A$5:$T$330,9)/1000,0),"")</f>
        <v/>
      </c>
      <c r="K1068" s="225"/>
      <c r="L1068" s="209"/>
      <c r="M1068" s="209"/>
      <c r="N1068" s="209"/>
      <c r="O1068" s="209"/>
      <c r="P1068" s="209"/>
      <c r="Q1068" s="209"/>
      <c r="R1068" s="263" t="s">
        <v>466</v>
      </c>
      <c r="S1068" s="266" t="s">
        <v>467</v>
      </c>
      <c r="T1068" s="229"/>
    </row>
    <row r="1069" spans="1:29" ht="26.1" hidden="1" customHeight="1">
      <c r="A1069" s="208"/>
      <c r="B1069" s="211"/>
      <c r="C1069" s="211"/>
      <c r="D1069" s="212"/>
      <c r="E1069" s="210" t="str">
        <f>IFERROR(VLOOKUP($T1069,공사현장대장!$A$5:$T$330,4),"")</f>
        <v/>
      </c>
      <c r="F1069" s="212"/>
      <c r="G1069" s="265"/>
      <c r="H1069" s="265"/>
      <c r="I1069" s="265"/>
      <c r="J1069" s="265" t="str">
        <f>IFERROR(ROUND(VLOOKUP($T1069,공사현장대장!$A$5:$T$330,9)/1000,0),"")</f>
        <v/>
      </c>
      <c r="K1069" s="225"/>
      <c r="L1069" s="209"/>
      <c r="M1069" s="209"/>
      <c r="N1069" s="209"/>
      <c r="O1069" s="209"/>
      <c r="P1069" s="209"/>
      <c r="Q1069" s="209"/>
      <c r="R1069" s="263" t="s">
        <v>466</v>
      </c>
      <c r="S1069" s="266" t="s">
        <v>467</v>
      </c>
      <c r="T1069" s="229"/>
    </row>
    <row r="1070" spans="1:29" ht="26.1" hidden="1" customHeight="1">
      <c r="A1070" s="208"/>
      <c r="B1070" s="211"/>
      <c r="C1070" s="211"/>
      <c r="D1070" s="212"/>
      <c r="E1070" s="210" t="str">
        <f>IFERROR(VLOOKUP($T1070,공사현장대장!$A$5:$T$330,4),"")</f>
        <v/>
      </c>
      <c r="F1070" s="212"/>
      <c r="G1070" s="265"/>
      <c r="H1070" s="265"/>
      <c r="I1070" s="265"/>
      <c r="J1070" s="265" t="str">
        <f>IFERROR(ROUND(VLOOKUP($T1070,공사현장대장!$A$5:$T$330,9)/1000,0),"")</f>
        <v/>
      </c>
      <c r="K1070" s="225"/>
      <c r="L1070" s="209"/>
      <c r="M1070" s="209"/>
      <c r="N1070" s="209"/>
      <c r="O1070" s="209"/>
      <c r="P1070" s="209"/>
      <c r="Q1070" s="209"/>
      <c r="R1070" s="263" t="s">
        <v>466</v>
      </c>
      <c r="S1070" s="266" t="s">
        <v>467</v>
      </c>
      <c r="T1070" s="229"/>
    </row>
    <row r="1071" spans="1:29" ht="26.1" hidden="1" customHeight="1">
      <c r="A1071" s="324" t="s">
        <v>40</v>
      </c>
      <c r="B1071" s="325"/>
      <c r="C1071" s="325"/>
      <c r="D1071" s="325"/>
      <c r="E1071" s="326"/>
      <c r="F1071" s="226"/>
      <c r="G1071" s="267"/>
      <c r="H1071" s="267"/>
      <c r="I1071" s="267"/>
      <c r="J1071" s="267"/>
      <c r="K1071" s="227">
        <f t="shared" ref="K1071:Q1071" si="212">SUM(K1067-SUM(K1068:K1070))</f>
        <v>0</v>
      </c>
      <c r="L1071" s="227">
        <f t="shared" si="212"/>
        <v>118855</v>
      </c>
      <c r="M1071" s="227">
        <f t="shared" si="212"/>
        <v>0</v>
      </c>
      <c r="N1071" s="227">
        <f t="shared" si="212"/>
        <v>0</v>
      </c>
      <c r="O1071" s="227">
        <f t="shared" si="212"/>
        <v>0</v>
      </c>
      <c r="P1071" s="227">
        <f t="shared" si="212"/>
        <v>0</v>
      </c>
      <c r="Q1071" s="227">
        <f t="shared" si="212"/>
        <v>118855</v>
      </c>
      <c r="R1071" s="268" t="s">
        <v>466</v>
      </c>
      <c r="S1071" s="269" t="s">
        <v>467</v>
      </c>
      <c r="T1071" s="230"/>
    </row>
    <row r="1072" spans="1:29" ht="26.1" hidden="1" customHeight="1">
      <c r="A1072" s="213" t="s">
        <v>29</v>
      </c>
      <c r="B1072" s="214" t="s">
        <v>459</v>
      </c>
      <c r="C1072" s="214" t="s">
        <v>459</v>
      </c>
      <c r="D1072" s="215" t="s">
        <v>460</v>
      </c>
      <c r="E1072" s="216" t="s">
        <v>461</v>
      </c>
      <c r="F1072" s="215" t="s">
        <v>462</v>
      </c>
      <c r="G1072" s="262" t="s">
        <v>463</v>
      </c>
      <c r="H1072" s="262" t="s">
        <v>464</v>
      </c>
      <c r="I1072" s="262" t="s">
        <v>465</v>
      </c>
      <c r="J1072" s="262">
        <f>SUM(J1073:J1075)</f>
        <v>0</v>
      </c>
      <c r="K1072" s="217"/>
      <c r="L1072" s="218">
        <v>1106820</v>
      </c>
      <c r="M1072" s="218">
        <v>368649</v>
      </c>
      <c r="N1072" s="218">
        <v>3000</v>
      </c>
      <c r="O1072" s="218"/>
      <c r="P1072" s="218"/>
      <c r="Q1072" s="218">
        <f>SUM(K1072:P1072)</f>
        <v>1478469</v>
      </c>
      <c r="R1072" s="270" t="s">
        <v>41</v>
      </c>
      <c r="S1072" s="266" t="s">
        <v>467</v>
      </c>
      <c r="T1072" s="229"/>
      <c r="V1072" s="241" t="str">
        <f>B1072</f>
        <v>기관</v>
      </c>
      <c r="W1072" s="241" t="str">
        <f>C1072</f>
        <v>기관</v>
      </c>
      <c r="X1072" s="241" t="str">
        <f>D1072</f>
        <v>홍천교육지원청</v>
      </c>
      <c r="Y1072" s="241" t="str">
        <f>E1072</f>
        <v>통합관사 개축</v>
      </c>
      <c r="Z1072" s="241" t="str">
        <f>F1072</f>
        <v>20세대</v>
      </c>
      <c r="AA1072" s="244">
        <f>Q1072</f>
        <v>1478469</v>
      </c>
      <c r="AB1072" s="271" t="str">
        <f>R1072</f>
        <v>1회추경</v>
      </c>
      <c r="AC1072" s="241">
        <v>420</v>
      </c>
    </row>
    <row r="1073" spans="1:29" ht="26.1" hidden="1" customHeight="1">
      <c r="A1073" s="208"/>
      <c r="B1073" s="211"/>
      <c r="C1073" s="211"/>
      <c r="D1073" s="212"/>
      <c r="E1073" s="210" t="str">
        <f>IFERROR(VLOOKUP($T1073,공사현장대장!$A$5:$T$330,4),"")</f>
        <v/>
      </c>
      <c r="F1073" s="212"/>
      <c r="G1073" s="265"/>
      <c r="H1073" s="265"/>
      <c r="I1073" s="265"/>
      <c r="J1073" s="265" t="str">
        <f>IFERROR(ROUND(VLOOKUP($T1073,공사현장대장!$A$5:$T$330,9)/1000,0),"")</f>
        <v/>
      </c>
      <c r="K1073" s="225"/>
      <c r="L1073" s="209"/>
      <c r="M1073" s="209"/>
      <c r="N1073" s="209"/>
      <c r="O1073" s="209"/>
      <c r="P1073" s="209"/>
      <c r="Q1073" s="209"/>
      <c r="R1073" s="263" t="s">
        <v>41</v>
      </c>
      <c r="S1073" s="266" t="s">
        <v>467</v>
      </c>
      <c r="T1073" s="229"/>
      <c r="AA1073" s="244"/>
      <c r="AB1073" s="271"/>
    </row>
    <row r="1074" spans="1:29" ht="26.1" hidden="1" customHeight="1">
      <c r="A1074" s="208"/>
      <c r="B1074" s="211"/>
      <c r="C1074" s="211"/>
      <c r="D1074" s="212"/>
      <c r="E1074" s="210" t="str">
        <f>IFERROR(VLOOKUP($T1074,공사현장대장!$A$5:$T$330,4),"")</f>
        <v/>
      </c>
      <c r="F1074" s="212"/>
      <c r="G1074" s="265"/>
      <c r="H1074" s="265"/>
      <c r="I1074" s="265"/>
      <c r="J1074" s="265" t="str">
        <f>IFERROR(ROUND(VLOOKUP($T1074,공사현장대장!$A$5:$T$330,9)/1000,0),"")</f>
        <v/>
      </c>
      <c r="K1074" s="225"/>
      <c r="L1074" s="209"/>
      <c r="M1074" s="209"/>
      <c r="N1074" s="209"/>
      <c r="O1074" s="209"/>
      <c r="P1074" s="209"/>
      <c r="Q1074" s="209"/>
      <c r="R1074" s="263" t="s">
        <v>41</v>
      </c>
      <c r="S1074" s="266" t="s">
        <v>467</v>
      </c>
      <c r="T1074" s="229"/>
      <c r="AA1074" s="244"/>
      <c r="AB1074" s="271"/>
    </row>
    <row r="1075" spans="1:29" ht="26.1" hidden="1" customHeight="1">
      <c r="A1075" s="208"/>
      <c r="B1075" s="211"/>
      <c r="C1075" s="211"/>
      <c r="D1075" s="212"/>
      <c r="E1075" s="210" t="str">
        <f>IFERROR(VLOOKUP($T1075,공사현장대장!$A$5:$T$330,4),"")</f>
        <v/>
      </c>
      <c r="F1075" s="212"/>
      <c r="G1075" s="265"/>
      <c r="H1075" s="265"/>
      <c r="I1075" s="265"/>
      <c r="J1075" s="265" t="str">
        <f>IFERROR(ROUND(VLOOKUP($T1075,공사현장대장!$A$5:$T$330,9)/1000,0),"")</f>
        <v/>
      </c>
      <c r="K1075" s="225"/>
      <c r="L1075" s="209"/>
      <c r="M1075" s="209"/>
      <c r="N1075" s="209"/>
      <c r="O1075" s="209"/>
      <c r="P1075" s="209"/>
      <c r="Q1075" s="209"/>
      <c r="R1075" s="263" t="s">
        <v>41</v>
      </c>
      <c r="S1075" s="266" t="s">
        <v>467</v>
      </c>
      <c r="T1075" s="229"/>
      <c r="AA1075" s="244"/>
      <c r="AB1075" s="271"/>
    </row>
    <row r="1076" spans="1:29" ht="26.1" hidden="1" customHeight="1">
      <c r="A1076" s="324" t="s">
        <v>40</v>
      </c>
      <c r="B1076" s="325"/>
      <c r="C1076" s="325"/>
      <c r="D1076" s="325"/>
      <c r="E1076" s="326"/>
      <c r="F1076" s="226"/>
      <c r="G1076" s="267"/>
      <c r="H1076" s="267"/>
      <c r="I1076" s="267"/>
      <c r="J1076" s="267"/>
      <c r="K1076" s="227">
        <f t="shared" ref="K1076:Q1076" si="213">SUM(K1072-SUM(K1073:K1075))</f>
        <v>0</v>
      </c>
      <c r="L1076" s="227">
        <f t="shared" si="213"/>
        <v>1106820</v>
      </c>
      <c r="M1076" s="227">
        <f t="shared" si="213"/>
        <v>368649</v>
      </c>
      <c r="N1076" s="227">
        <f t="shared" si="213"/>
        <v>3000</v>
      </c>
      <c r="O1076" s="227">
        <f t="shared" si="213"/>
        <v>0</v>
      </c>
      <c r="P1076" s="227">
        <f t="shared" si="213"/>
        <v>0</v>
      </c>
      <c r="Q1076" s="227">
        <f t="shared" si="213"/>
        <v>1478469</v>
      </c>
      <c r="R1076" s="268" t="s">
        <v>41</v>
      </c>
      <c r="S1076" s="269" t="s">
        <v>467</v>
      </c>
      <c r="T1076" s="230"/>
      <c r="AA1076" s="244"/>
      <c r="AB1076" s="271"/>
    </row>
    <row r="1077" spans="1:29" ht="26.1" hidden="1" customHeight="1">
      <c r="A1077" s="213" t="s">
        <v>29</v>
      </c>
      <c r="B1077" s="214" t="s">
        <v>459</v>
      </c>
      <c r="C1077" s="214" t="s">
        <v>459</v>
      </c>
      <c r="D1077" s="215" t="s">
        <v>460</v>
      </c>
      <c r="E1077" s="216" t="s">
        <v>468</v>
      </c>
      <c r="F1077" s="215" t="s">
        <v>136</v>
      </c>
      <c r="G1077" s="262" t="s">
        <v>463</v>
      </c>
      <c r="H1077" s="262" t="s">
        <v>464</v>
      </c>
      <c r="I1077" s="262" t="s">
        <v>468</v>
      </c>
      <c r="J1077" s="262">
        <f>SUM(J1078:J1080)</f>
        <v>0</v>
      </c>
      <c r="K1077" s="217"/>
      <c r="L1077" s="218">
        <v>59136</v>
      </c>
      <c r="M1077" s="218"/>
      <c r="N1077" s="218"/>
      <c r="O1077" s="218"/>
      <c r="P1077" s="218"/>
      <c r="Q1077" s="218">
        <f>SUM(K1077:P1077)</f>
        <v>59136</v>
      </c>
      <c r="R1077" s="270" t="s">
        <v>41</v>
      </c>
      <c r="S1077" s="266" t="s">
        <v>71</v>
      </c>
      <c r="T1077" s="229"/>
      <c r="V1077" s="241" t="str">
        <f>B1077</f>
        <v>기관</v>
      </c>
      <c r="W1077" s="241" t="str">
        <f>C1077</f>
        <v>기관</v>
      </c>
      <c r="X1077" s="241" t="str">
        <f>D1077</f>
        <v>홍천교육지원청</v>
      </c>
      <c r="Y1077" s="241" t="str">
        <f>E1077</f>
        <v>지하실보수공사</v>
      </c>
      <c r="Z1077" s="241" t="str">
        <f>F1077</f>
        <v>1식</v>
      </c>
      <c r="AA1077" s="244">
        <f>Q1077</f>
        <v>59136</v>
      </c>
      <c r="AB1077" s="271" t="str">
        <f>R1077</f>
        <v>1회추경</v>
      </c>
      <c r="AC1077" s="241">
        <v>420</v>
      </c>
    </row>
    <row r="1078" spans="1:29" ht="26.1" hidden="1" customHeight="1">
      <c r="A1078" s="208"/>
      <c r="B1078" s="211"/>
      <c r="C1078" s="211"/>
      <c r="D1078" s="212"/>
      <c r="E1078" s="210" t="str">
        <f>IFERROR(VLOOKUP($T1078,공사현장대장!$A$5:$T$330,4),"")</f>
        <v/>
      </c>
      <c r="F1078" s="212"/>
      <c r="G1078" s="265"/>
      <c r="H1078" s="265"/>
      <c r="I1078" s="265"/>
      <c r="J1078" s="265" t="str">
        <f>IFERROR(ROUND(VLOOKUP($T1078,공사현장대장!$A$5:$T$330,9)/1000,0),"")</f>
        <v/>
      </c>
      <c r="K1078" s="225"/>
      <c r="L1078" s="209"/>
      <c r="M1078" s="209"/>
      <c r="N1078" s="209"/>
      <c r="O1078" s="209"/>
      <c r="P1078" s="209"/>
      <c r="Q1078" s="209"/>
      <c r="R1078" s="263" t="s">
        <v>41</v>
      </c>
      <c r="S1078" s="266" t="s">
        <v>71</v>
      </c>
      <c r="T1078" s="229"/>
      <c r="AA1078" s="244"/>
      <c r="AB1078" s="271"/>
    </row>
    <row r="1079" spans="1:29" ht="26.1" hidden="1" customHeight="1">
      <c r="A1079" s="208"/>
      <c r="B1079" s="211"/>
      <c r="C1079" s="211"/>
      <c r="D1079" s="212"/>
      <c r="E1079" s="210" t="str">
        <f>IFERROR(VLOOKUP($T1079,공사현장대장!$A$5:$T$330,4),"")</f>
        <v/>
      </c>
      <c r="F1079" s="212"/>
      <c r="G1079" s="265"/>
      <c r="H1079" s="265"/>
      <c r="I1079" s="265"/>
      <c r="J1079" s="265" t="str">
        <f>IFERROR(ROUND(VLOOKUP($T1079,공사현장대장!$A$5:$T$330,9)/1000,0),"")</f>
        <v/>
      </c>
      <c r="K1079" s="225"/>
      <c r="L1079" s="209"/>
      <c r="M1079" s="209"/>
      <c r="N1079" s="209"/>
      <c r="O1079" s="209"/>
      <c r="P1079" s="209"/>
      <c r="Q1079" s="209"/>
      <c r="R1079" s="263" t="s">
        <v>41</v>
      </c>
      <c r="S1079" s="266" t="s">
        <v>71</v>
      </c>
      <c r="T1079" s="229"/>
      <c r="AA1079" s="244"/>
      <c r="AB1079" s="271"/>
    </row>
    <row r="1080" spans="1:29" ht="26.1" hidden="1" customHeight="1">
      <c r="A1080" s="208"/>
      <c r="B1080" s="211"/>
      <c r="C1080" s="211"/>
      <c r="D1080" s="212"/>
      <c r="E1080" s="210" t="str">
        <f>IFERROR(VLOOKUP($T1080,공사현장대장!$A$5:$T$330,4),"")</f>
        <v/>
      </c>
      <c r="F1080" s="212"/>
      <c r="G1080" s="265"/>
      <c r="H1080" s="265"/>
      <c r="I1080" s="265"/>
      <c r="J1080" s="265" t="str">
        <f>IFERROR(ROUND(VLOOKUP($T1080,공사현장대장!$A$5:$T$330,9)/1000,0),"")</f>
        <v/>
      </c>
      <c r="K1080" s="225"/>
      <c r="L1080" s="209"/>
      <c r="M1080" s="209"/>
      <c r="N1080" s="209"/>
      <c r="O1080" s="209"/>
      <c r="P1080" s="209"/>
      <c r="Q1080" s="209"/>
      <c r="R1080" s="263" t="s">
        <v>41</v>
      </c>
      <c r="S1080" s="266" t="s">
        <v>71</v>
      </c>
      <c r="T1080" s="229"/>
      <c r="AA1080" s="244"/>
      <c r="AB1080" s="271"/>
    </row>
    <row r="1081" spans="1:29" ht="26.1" hidden="1" customHeight="1" thickBot="1">
      <c r="A1081" s="324" t="s">
        <v>40</v>
      </c>
      <c r="B1081" s="325"/>
      <c r="C1081" s="325"/>
      <c r="D1081" s="325"/>
      <c r="E1081" s="326"/>
      <c r="F1081" s="226"/>
      <c r="G1081" s="267"/>
      <c r="H1081" s="267"/>
      <c r="I1081" s="267"/>
      <c r="J1081" s="267"/>
      <c r="K1081" s="227">
        <f t="shared" ref="K1081:Q1081" si="214">SUM(K1077-SUM(K1078:K1080))</f>
        <v>0</v>
      </c>
      <c r="L1081" s="227">
        <f t="shared" si="214"/>
        <v>59136</v>
      </c>
      <c r="M1081" s="227">
        <f t="shared" si="214"/>
        <v>0</v>
      </c>
      <c r="N1081" s="227">
        <f t="shared" si="214"/>
        <v>0</v>
      </c>
      <c r="O1081" s="227">
        <f t="shared" si="214"/>
        <v>0</v>
      </c>
      <c r="P1081" s="227">
        <f t="shared" si="214"/>
        <v>0</v>
      </c>
      <c r="Q1081" s="227">
        <f t="shared" si="214"/>
        <v>59136</v>
      </c>
      <c r="R1081" s="268" t="s">
        <v>41</v>
      </c>
      <c r="S1081" s="269" t="s">
        <v>71</v>
      </c>
      <c r="T1081" s="233"/>
      <c r="AA1081" s="244"/>
      <c r="AB1081" s="271"/>
    </row>
    <row r="1082" spans="1:29" ht="14.25" customHeight="1"/>
  </sheetData>
  <autoFilter ref="A6:T1081" xr:uid="{00000000-0009-0000-0000-000000000000}">
    <filterColumn colId="18">
      <filters>
        <filter val="한상우"/>
      </filters>
    </filterColumn>
  </autoFilter>
  <mergeCells count="238">
    <mergeCell ref="A981:E981"/>
    <mergeCell ref="A211:E211"/>
    <mergeCell ref="A441:E441"/>
    <mergeCell ref="A166:E166"/>
    <mergeCell ref="A521:E521"/>
    <mergeCell ref="A766:E766"/>
    <mergeCell ref="A11:E11"/>
    <mergeCell ref="A216:E216"/>
    <mergeCell ref="A741:E741"/>
    <mergeCell ref="A756:E756"/>
    <mergeCell ref="A281:E281"/>
    <mergeCell ref="A296:E296"/>
    <mergeCell ref="A21:E21"/>
    <mergeCell ref="A871:E871"/>
    <mergeCell ref="A426:E426"/>
    <mergeCell ref="A46:E46"/>
    <mergeCell ref="A571:E571"/>
    <mergeCell ref="A891:E891"/>
    <mergeCell ref="A776:E776"/>
    <mergeCell ref="A961:E961"/>
    <mergeCell ref="A941:E941"/>
    <mergeCell ref="A481:E481"/>
    <mergeCell ref="G5:G6"/>
    <mergeCell ref="A376:E376"/>
    <mergeCell ref="A136:E136"/>
    <mergeCell ref="A26:E26"/>
    <mergeCell ref="A406:E406"/>
    <mergeCell ref="A586:E586"/>
    <mergeCell ref="A946:E946"/>
    <mergeCell ref="A71:E71"/>
    <mergeCell ref="A181:E181"/>
    <mergeCell ref="A881:E881"/>
    <mergeCell ref="A641:E641"/>
    <mergeCell ref="A681:E681"/>
    <mergeCell ref="A91:E91"/>
    <mergeCell ref="A886:E886"/>
    <mergeCell ref="A131:E131"/>
    <mergeCell ref="A156:E156"/>
    <mergeCell ref="A171:E171"/>
    <mergeCell ref="A371:E371"/>
    <mergeCell ref="A926:E926"/>
    <mergeCell ref="A336:E336"/>
    <mergeCell ref="A696:E696"/>
    <mergeCell ref="A911:E911"/>
    <mergeCell ref="A901:E901"/>
    <mergeCell ref="A656:E656"/>
    <mergeCell ref="A906:E906"/>
    <mergeCell ref="A786:E786"/>
    <mergeCell ref="A31:E31"/>
    <mergeCell ref="A801:E801"/>
    <mergeCell ref="A966:E966"/>
    <mergeCell ref="A1041:E1041"/>
    <mergeCell ref="A391:E391"/>
    <mergeCell ref="A811:E811"/>
    <mergeCell ref="A471:E471"/>
    <mergeCell ref="A676:E676"/>
    <mergeCell ref="A261:E261"/>
    <mergeCell ref="A276:E276"/>
    <mergeCell ref="A1031:E1031"/>
    <mergeCell ref="A446:E446"/>
    <mergeCell ref="A546:E546"/>
    <mergeCell ref="A691:E691"/>
    <mergeCell ref="A491:E491"/>
    <mergeCell ref="A1036:E1036"/>
    <mergeCell ref="A921:E921"/>
    <mergeCell ref="A821:E821"/>
    <mergeCell ref="A1026:E1026"/>
    <mergeCell ref="A271:E271"/>
    <mergeCell ref="A516:E516"/>
    <mergeCell ref="A316:E316"/>
    <mergeCell ref="Z5:Z6"/>
    <mergeCell ref="A356:E356"/>
    <mergeCell ref="A1056:E1056"/>
    <mergeCell ref="A301:E301"/>
    <mergeCell ref="A596:E596"/>
    <mergeCell ref="K5:Q5"/>
    <mergeCell ref="A331:E331"/>
    <mergeCell ref="A651:E651"/>
    <mergeCell ref="A321:E321"/>
    <mergeCell ref="A631:E631"/>
    <mergeCell ref="A616:E616"/>
    <mergeCell ref="A831:E831"/>
    <mergeCell ref="A601:E601"/>
    <mergeCell ref="A106:E106"/>
    <mergeCell ref="A81:E81"/>
    <mergeCell ref="A96:E96"/>
    <mergeCell ref="A436:E436"/>
    <mergeCell ref="A451:E451"/>
    <mergeCell ref="A916:E916"/>
    <mergeCell ref="A1046:E1046"/>
    <mergeCell ref="A731:E731"/>
    <mergeCell ref="A496:E496"/>
    <mergeCell ref="A36:E36"/>
    <mergeCell ref="F5:F6"/>
    <mergeCell ref="A206:E206"/>
    <mergeCell ref="A411:E411"/>
    <mergeCell ref="A386:E386"/>
    <mergeCell ref="A591:E591"/>
    <mergeCell ref="R5:R6"/>
    <mergeCell ref="A1081:E1081"/>
    <mergeCell ref="A351:E351"/>
    <mergeCell ref="A326:E326"/>
    <mergeCell ref="X5:X6"/>
    <mergeCell ref="A531:E531"/>
    <mergeCell ref="A1071:E1071"/>
    <mergeCell ref="A561:E561"/>
    <mergeCell ref="A576:E576"/>
    <mergeCell ref="A781:E781"/>
    <mergeCell ref="A846:E846"/>
    <mergeCell ref="A196:E196"/>
    <mergeCell ref="A256:E256"/>
    <mergeCell ref="A551:E551"/>
    <mergeCell ref="A796:E796"/>
    <mergeCell ref="A246:E246"/>
    <mergeCell ref="A161:E161"/>
    <mergeCell ref="A621:E621"/>
    <mergeCell ref="A721:E721"/>
    <mergeCell ref="A761:E761"/>
    <mergeCell ref="AC5:AC6"/>
    <mergeCell ref="A1:T1"/>
    <mergeCell ref="A706:E706"/>
    <mergeCell ref="A606:E606"/>
    <mergeCell ref="A836:E836"/>
    <mergeCell ref="A16:E16"/>
    <mergeCell ref="A221:E221"/>
    <mergeCell ref="A286:E286"/>
    <mergeCell ref="A826:E826"/>
    <mergeCell ref="A626:E626"/>
    <mergeCell ref="A66:E66"/>
    <mergeCell ref="A236:E236"/>
    <mergeCell ref="A456:E456"/>
    <mergeCell ref="A636:E636"/>
    <mergeCell ref="A86:E86"/>
    <mergeCell ref="A151:E151"/>
    <mergeCell ref="C5:C6"/>
    <mergeCell ref="A736:E736"/>
    <mergeCell ref="E5:E6"/>
    <mergeCell ref="A186:E186"/>
    <mergeCell ref="W5:W6"/>
    <mergeCell ref="A226:E226"/>
    <mergeCell ref="Y5:Y6"/>
    <mergeCell ref="A201:E201"/>
    <mergeCell ref="A861:E861"/>
    <mergeCell ref="A806:E806"/>
    <mergeCell ref="A346:E346"/>
    <mergeCell ref="I5:I6"/>
    <mergeCell ref="A5:A6"/>
    <mergeCell ref="A1076:E1076"/>
    <mergeCell ref="A486:E486"/>
    <mergeCell ref="AA5:AA6"/>
    <mergeCell ref="A146:E146"/>
    <mergeCell ref="A526:E526"/>
    <mergeCell ref="A1006:E1006"/>
    <mergeCell ref="A876:E876"/>
    <mergeCell ref="A1061:E1061"/>
    <mergeCell ref="A956:E956"/>
    <mergeCell ref="A1021:E1021"/>
    <mergeCell ref="A266:E266"/>
    <mergeCell ref="A431:E431"/>
    <mergeCell ref="A931:E931"/>
    <mergeCell ref="A536:E536"/>
    <mergeCell ref="A511:E511"/>
    <mergeCell ref="A1011:E1011"/>
    <mergeCell ref="A896:E896"/>
    <mergeCell ref="A141:E141"/>
    <mergeCell ref="A976:E976"/>
    <mergeCell ref="A1066:E1066"/>
    <mergeCell ref="T5:T6"/>
    <mergeCell ref="A686:E686"/>
    <mergeCell ref="V5:V6"/>
    <mergeCell ref="A791:E791"/>
    <mergeCell ref="A176:E176"/>
    <mergeCell ref="A971:E971"/>
    <mergeCell ref="A701:E701"/>
    <mergeCell ref="A421:E421"/>
    <mergeCell ref="A841:E841"/>
    <mergeCell ref="A986:E986"/>
    <mergeCell ref="A191:E191"/>
    <mergeCell ref="A51:E51"/>
    <mergeCell ref="A396:E396"/>
    <mergeCell ref="A751:E751"/>
    <mergeCell ref="A291:E291"/>
    <mergeCell ref="A816:E816"/>
    <mergeCell ref="A461:E461"/>
    <mergeCell ref="A476:E476"/>
    <mergeCell ref="A856:E856"/>
    <mergeCell ref="A61:E61"/>
    <mergeCell ref="A936:E936"/>
    <mergeCell ref="A1001:E1001"/>
    <mergeCell ref="A996:E996"/>
    <mergeCell ref="A1051:E1051"/>
    <mergeCell ref="A501:E501"/>
    <mergeCell ref="A41:E41"/>
    <mergeCell ref="A566:E566"/>
    <mergeCell ref="A366:E366"/>
    <mergeCell ref="A581:E581"/>
    <mergeCell ref="A746:E746"/>
    <mergeCell ref="A851:E851"/>
    <mergeCell ref="A56:E56"/>
    <mergeCell ref="A611:E611"/>
    <mergeCell ref="A556:E556"/>
    <mergeCell ref="A381:E381"/>
    <mergeCell ref="A1016:E1016"/>
    <mergeCell ref="A991:E991"/>
    <mergeCell ref="A951:E951"/>
    <mergeCell ref="A671:E671"/>
    <mergeCell ref="A401:E401"/>
    <mergeCell ref="A121:E121"/>
    <mergeCell ref="A506:E506"/>
    <mergeCell ref="A541:E541"/>
    <mergeCell ref="A646:E646"/>
    <mergeCell ref="A711:E711"/>
    <mergeCell ref="A726:E726"/>
    <mergeCell ref="A241:E241"/>
    <mergeCell ref="AB5:AB6"/>
    <mergeCell ref="S5:S6"/>
    <mergeCell ref="A341:E341"/>
    <mergeCell ref="A101:E101"/>
    <mergeCell ref="A866:E866"/>
    <mergeCell ref="A666:E666"/>
    <mergeCell ref="A306:E306"/>
    <mergeCell ref="A251:E251"/>
    <mergeCell ref="A76:E76"/>
    <mergeCell ref="A116:E116"/>
    <mergeCell ref="A361:E361"/>
    <mergeCell ref="A716:E716"/>
    <mergeCell ref="B5:B6"/>
    <mergeCell ref="A126:E126"/>
    <mergeCell ref="D5:D6"/>
    <mergeCell ref="A311:E311"/>
    <mergeCell ref="A231:E231"/>
    <mergeCell ref="A771:E771"/>
    <mergeCell ref="A466:E466"/>
    <mergeCell ref="A416:E416"/>
    <mergeCell ref="A661:E661"/>
    <mergeCell ref="A111:E111"/>
    <mergeCell ref="H5:H6"/>
    <mergeCell ref="J5:J6"/>
  </mergeCells>
  <phoneticPr fontId="3" type="noConversion"/>
  <pageMargins left="0.31496062992125978" right="0.27559055118110237" top="0.74803149606299213" bottom="0.74803149606299213" header="0.31496062992125978" footer="0.31496062992125978"/>
  <pageSetup paperSize="8" scale="39"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10"/>
    <pageSetUpPr fitToPage="1"/>
  </sheetPr>
  <dimension ref="A1:AA778"/>
  <sheetViews>
    <sheetView showZeros="0" view="pageBreakPreview" zoomScaleNormal="85" zoomScaleSheetLayoutView="100" workbookViewId="0">
      <pane xSplit="4" ySplit="4" topLeftCell="E5" activePane="bottomRight" state="frozen"/>
      <selection pane="topRight" activeCell="E1" sqref="E1"/>
      <selection pane="bottomLeft" activeCell="A5" sqref="A5"/>
      <selection pane="bottomRight" activeCell="D33" sqref="D33"/>
    </sheetView>
  </sheetViews>
  <sheetFormatPr defaultColWidth="10" defaultRowHeight="16.5" customHeight="1"/>
  <cols>
    <col min="1" max="1" width="3.625" style="21" customWidth="1"/>
    <col min="2" max="2" width="7.875" style="87" customWidth="1"/>
    <col min="3" max="3" width="6.875" style="87" customWidth="1"/>
    <col min="4" max="4" width="61.375" style="87" customWidth="1"/>
    <col min="5" max="6" width="12.625" style="87" customWidth="1"/>
    <col min="7" max="7" width="15.875" style="87" customWidth="1"/>
    <col min="8" max="8" width="12.625" style="87" customWidth="1"/>
    <col min="9" max="9" width="18" style="87" bestFit="1" customWidth="1"/>
    <col min="10" max="10" width="14.25" style="87" bestFit="1" customWidth="1"/>
    <col min="11" max="11" width="12.625" style="87" customWidth="1"/>
    <col min="12" max="12" width="2.875" style="87" customWidth="1"/>
    <col min="13" max="15" width="12.625" style="87" customWidth="1"/>
    <col min="16" max="16" width="14.375" style="87" customWidth="1"/>
    <col min="17" max="17" width="7.625" style="87" customWidth="1"/>
    <col min="18" max="18" width="58.625" style="87" customWidth="1"/>
    <col min="19" max="19" width="14.625" style="87" customWidth="1"/>
    <col min="20" max="20" width="15" style="87" customWidth="1"/>
    <col min="21" max="21" width="12" style="21" customWidth="1"/>
    <col min="22" max="55" width="10" style="21" customWidth="1"/>
    <col min="56" max="16384" width="10" style="21"/>
  </cols>
  <sheetData>
    <row r="1" spans="1:24" ht="45" customHeight="1"/>
    <row r="2" spans="1:24" ht="45" customHeight="1"/>
    <row r="3" spans="1:24" s="87" customFormat="1" ht="32.25" customHeight="1">
      <c r="B3" s="352" t="s">
        <v>469</v>
      </c>
      <c r="C3" s="353"/>
      <c r="D3" s="353"/>
      <c r="E3" s="353"/>
      <c r="F3" s="353"/>
      <c r="G3" s="353"/>
      <c r="H3" s="353"/>
      <c r="I3" s="353"/>
      <c r="J3" s="353"/>
      <c r="K3" s="353"/>
      <c r="L3" s="353"/>
      <c r="M3" s="353"/>
      <c r="N3" s="353"/>
      <c r="O3" s="353"/>
      <c r="P3" s="353"/>
      <c r="Q3" s="353"/>
      <c r="R3" s="353"/>
      <c r="S3" s="353"/>
      <c r="T3" s="353"/>
    </row>
    <row r="4" spans="1:24" s="22" customFormat="1" ht="51" customHeight="1">
      <c r="A4" s="158" t="s">
        <v>470</v>
      </c>
      <c r="B4" s="24" t="s">
        <v>18</v>
      </c>
      <c r="C4" s="24" t="s">
        <v>471</v>
      </c>
      <c r="D4" s="23" t="s">
        <v>472</v>
      </c>
      <c r="E4" s="23" t="s">
        <v>473</v>
      </c>
      <c r="F4" s="23" t="s">
        <v>474</v>
      </c>
      <c r="G4" s="23" t="s">
        <v>475</v>
      </c>
      <c r="H4" s="23" t="s">
        <v>476</v>
      </c>
      <c r="I4" s="159" t="s">
        <v>13</v>
      </c>
      <c r="J4" s="23" t="s">
        <v>477</v>
      </c>
      <c r="K4" s="23" t="s">
        <v>478</v>
      </c>
      <c r="L4" s="23"/>
      <c r="M4" s="23" t="s">
        <v>479</v>
      </c>
      <c r="N4" s="23" t="s">
        <v>480</v>
      </c>
      <c r="O4" s="23" t="s">
        <v>481</v>
      </c>
      <c r="P4" s="23" t="s">
        <v>482</v>
      </c>
      <c r="Q4" s="23" t="s">
        <v>483</v>
      </c>
      <c r="R4" s="157" t="s">
        <v>484</v>
      </c>
      <c r="S4" s="24" t="s">
        <v>485</v>
      </c>
      <c r="T4" s="24" t="s">
        <v>486</v>
      </c>
      <c r="V4" s="22" t="s">
        <v>487</v>
      </c>
      <c r="W4" s="22" t="s">
        <v>471</v>
      </c>
      <c r="X4" s="22" t="s">
        <v>488</v>
      </c>
    </row>
    <row r="5" spans="1:24" s="91" customFormat="1" ht="33.75" customHeight="1">
      <c r="A5" s="161">
        <v>1</v>
      </c>
      <c r="B5" s="277" t="s">
        <v>415</v>
      </c>
      <c r="C5" s="162" t="s">
        <v>489</v>
      </c>
      <c r="D5" s="160" t="s">
        <v>490</v>
      </c>
      <c r="E5" s="162"/>
      <c r="F5" s="162"/>
      <c r="G5" s="165"/>
      <c r="H5" s="278"/>
      <c r="I5" s="279">
        <v>786542000</v>
      </c>
      <c r="J5" s="166">
        <v>45572</v>
      </c>
      <c r="K5" s="166">
        <v>45580</v>
      </c>
      <c r="L5" s="162"/>
      <c r="M5" s="167">
        <v>46167</v>
      </c>
      <c r="N5" s="167"/>
      <c r="O5" s="167"/>
      <c r="P5" s="160" t="s">
        <v>491</v>
      </c>
      <c r="Q5" s="160" t="s">
        <v>492</v>
      </c>
      <c r="R5" s="164" t="s">
        <v>493</v>
      </c>
      <c r="S5" s="160" t="s">
        <v>494</v>
      </c>
      <c r="T5" s="164"/>
    </row>
    <row r="6" spans="1:24" s="25" customFormat="1" ht="33.75" customHeight="1">
      <c r="A6" s="161">
        <v>2</v>
      </c>
      <c r="B6" s="277"/>
      <c r="C6" s="162"/>
      <c r="D6" s="160"/>
      <c r="E6" s="162"/>
      <c r="F6" s="162"/>
      <c r="G6" s="165"/>
      <c r="H6" s="278"/>
      <c r="I6" s="279"/>
      <c r="J6" s="166"/>
      <c r="K6" s="166"/>
      <c r="L6" s="162"/>
      <c r="M6" s="167"/>
      <c r="N6" s="167"/>
      <c r="O6" s="167"/>
      <c r="P6" s="160"/>
      <c r="Q6" s="160"/>
      <c r="R6" s="164"/>
      <c r="S6" s="160"/>
      <c r="T6" s="164"/>
    </row>
    <row r="7" spans="1:24" s="91" customFormat="1" ht="33.75" customHeight="1">
      <c r="A7" s="161">
        <v>3</v>
      </c>
      <c r="B7" s="277" t="s">
        <v>495</v>
      </c>
      <c r="C7" s="162" t="s">
        <v>489</v>
      </c>
      <c r="D7" s="160" t="s">
        <v>496</v>
      </c>
      <c r="E7" s="162"/>
      <c r="F7" s="162"/>
      <c r="G7" s="165"/>
      <c r="H7" s="278"/>
      <c r="I7" s="279">
        <v>47323000</v>
      </c>
      <c r="J7" s="166">
        <v>46065</v>
      </c>
      <c r="K7" s="166">
        <v>46076</v>
      </c>
      <c r="L7" s="162"/>
      <c r="M7" s="167">
        <v>46165</v>
      </c>
      <c r="N7" s="167"/>
      <c r="O7" s="167"/>
      <c r="P7" s="160" t="s">
        <v>497</v>
      </c>
      <c r="Q7" s="160" t="s">
        <v>498</v>
      </c>
      <c r="R7" s="164" t="s">
        <v>499</v>
      </c>
      <c r="S7" s="160" t="s">
        <v>500</v>
      </c>
      <c r="T7" s="164"/>
    </row>
    <row r="8" spans="1:24" s="91" customFormat="1" ht="33.75" customHeight="1">
      <c r="A8" s="161">
        <v>4</v>
      </c>
      <c r="B8" s="277" t="s">
        <v>415</v>
      </c>
      <c r="C8" s="162" t="s">
        <v>489</v>
      </c>
      <c r="D8" s="160" t="s">
        <v>501</v>
      </c>
      <c r="E8" s="162"/>
      <c r="F8" s="162"/>
      <c r="G8" s="165"/>
      <c r="H8" s="278"/>
      <c r="I8" s="279">
        <v>1890735000</v>
      </c>
      <c r="J8" s="166">
        <v>45971</v>
      </c>
      <c r="K8" s="166">
        <v>45558</v>
      </c>
      <c r="L8" s="162"/>
      <c r="M8" s="167">
        <v>46103</v>
      </c>
      <c r="N8" s="167"/>
      <c r="O8" s="167"/>
      <c r="P8" s="160" t="s">
        <v>502</v>
      </c>
      <c r="Q8" s="160" t="s">
        <v>503</v>
      </c>
      <c r="R8" s="164" t="s">
        <v>504</v>
      </c>
      <c r="S8" s="160" t="s">
        <v>505</v>
      </c>
      <c r="T8" s="164"/>
      <c r="U8" s="137"/>
    </row>
    <row r="9" spans="1:24" s="91" customFormat="1" ht="33.75" customHeight="1">
      <c r="A9" s="161">
        <v>5</v>
      </c>
      <c r="B9" s="277" t="s">
        <v>415</v>
      </c>
      <c r="C9" s="162" t="s">
        <v>489</v>
      </c>
      <c r="D9" s="160" t="s">
        <v>506</v>
      </c>
      <c r="E9" s="162"/>
      <c r="F9" s="162"/>
      <c r="G9" s="165"/>
      <c r="H9" s="278"/>
      <c r="I9" s="279">
        <v>26588000</v>
      </c>
      <c r="J9" s="166">
        <v>46090</v>
      </c>
      <c r="K9" s="166">
        <v>45523</v>
      </c>
      <c r="L9" s="162"/>
      <c r="M9" s="167">
        <v>46167</v>
      </c>
      <c r="N9" s="167"/>
      <c r="O9" s="167"/>
      <c r="P9" s="160" t="s">
        <v>507</v>
      </c>
      <c r="Q9" s="160" t="s">
        <v>508</v>
      </c>
      <c r="R9" s="164"/>
      <c r="S9" s="160" t="s">
        <v>509</v>
      </c>
      <c r="T9" s="164"/>
      <c r="U9" s="137"/>
    </row>
    <row r="10" spans="1:24" s="91" customFormat="1" ht="33.75" customHeight="1">
      <c r="A10" s="161">
        <v>6</v>
      </c>
      <c r="B10" s="277" t="s">
        <v>415</v>
      </c>
      <c r="C10" s="162" t="s">
        <v>489</v>
      </c>
      <c r="D10" s="160" t="s">
        <v>510</v>
      </c>
      <c r="E10" s="234"/>
      <c r="F10" s="234"/>
      <c r="G10" s="165"/>
      <c r="H10" s="278"/>
      <c r="I10" s="279">
        <v>15739000</v>
      </c>
      <c r="J10" s="166">
        <v>46090</v>
      </c>
      <c r="K10" s="166">
        <v>45523</v>
      </c>
      <c r="L10" s="234"/>
      <c r="M10" s="167">
        <v>46167</v>
      </c>
      <c r="N10" s="166"/>
      <c r="O10" s="166"/>
      <c r="P10" s="160" t="s">
        <v>511</v>
      </c>
      <c r="Q10" s="160" t="s">
        <v>512</v>
      </c>
      <c r="R10" s="235" t="s">
        <v>513</v>
      </c>
      <c r="S10" s="160" t="s">
        <v>514</v>
      </c>
      <c r="T10" s="235"/>
      <c r="U10" s="137"/>
    </row>
    <row r="11" spans="1:24" s="91" customFormat="1" ht="33.75" customHeight="1">
      <c r="A11" s="161">
        <v>7</v>
      </c>
      <c r="B11" s="277" t="s">
        <v>415</v>
      </c>
      <c r="C11" s="162" t="s">
        <v>489</v>
      </c>
      <c r="D11" s="160" t="s">
        <v>515</v>
      </c>
      <c r="E11" s="234"/>
      <c r="F11" s="234"/>
      <c r="G11" s="165"/>
      <c r="H11" s="278"/>
      <c r="I11" s="279">
        <v>755082000</v>
      </c>
      <c r="J11" s="166">
        <v>46090</v>
      </c>
      <c r="K11" s="166">
        <v>45580</v>
      </c>
      <c r="L11" s="234"/>
      <c r="M11" s="167">
        <v>46167</v>
      </c>
      <c r="N11" s="166"/>
      <c r="O11" s="166"/>
      <c r="P11" s="160" t="s">
        <v>491</v>
      </c>
      <c r="Q11" s="160" t="s">
        <v>516</v>
      </c>
      <c r="R11" s="235" t="s">
        <v>493</v>
      </c>
      <c r="S11" s="160" t="s">
        <v>494</v>
      </c>
      <c r="T11" s="235"/>
      <c r="U11" s="137"/>
    </row>
    <row r="12" spans="1:24" s="25" customFormat="1" ht="33.75" customHeight="1">
      <c r="A12" s="161">
        <v>8</v>
      </c>
      <c r="B12" s="277" t="s">
        <v>415</v>
      </c>
      <c r="C12" s="234" t="s">
        <v>517</v>
      </c>
      <c r="D12" s="236" t="s">
        <v>518</v>
      </c>
      <c r="E12" s="234"/>
      <c r="F12" s="234"/>
      <c r="G12" s="165"/>
      <c r="H12" s="278"/>
      <c r="I12" s="279">
        <v>729683760</v>
      </c>
      <c r="J12" s="166">
        <v>45538</v>
      </c>
      <c r="K12" s="166">
        <v>45538</v>
      </c>
      <c r="L12" s="234"/>
      <c r="M12" s="167">
        <v>45726</v>
      </c>
      <c r="N12" s="166"/>
      <c r="O12" s="166"/>
      <c r="P12" s="236" t="s">
        <v>519</v>
      </c>
      <c r="Q12" s="236" t="s">
        <v>520</v>
      </c>
      <c r="R12" s="164"/>
      <c r="S12" s="236" t="s">
        <v>521</v>
      </c>
      <c r="T12" s="235"/>
      <c r="U12" s="137"/>
    </row>
    <row r="13" spans="1:24" s="91" customFormat="1" ht="33.75" customHeight="1">
      <c r="A13" s="161">
        <v>9</v>
      </c>
      <c r="B13" s="277" t="s">
        <v>415</v>
      </c>
      <c r="C13" s="234" t="s">
        <v>517</v>
      </c>
      <c r="D13" s="160" t="s">
        <v>522</v>
      </c>
      <c r="E13" s="234"/>
      <c r="F13" s="234"/>
      <c r="G13" s="165"/>
      <c r="H13" s="280"/>
      <c r="I13" s="279">
        <v>99978191</v>
      </c>
      <c r="J13" s="166">
        <v>45915</v>
      </c>
      <c r="K13" s="166">
        <v>45915</v>
      </c>
      <c r="L13" s="234"/>
      <c r="M13" s="166">
        <v>46009</v>
      </c>
      <c r="N13" s="166"/>
      <c r="O13" s="166"/>
      <c r="P13" s="236" t="s">
        <v>523</v>
      </c>
      <c r="Q13" s="236" t="s">
        <v>524</v>
      </c>
      <c r="R13" s="235"/>
      <c r="S13" s="236" t="s">
        <v>525</v>
      </c>
      <c r="T13" s="235"/>
      <c r="U13" s="137"/>
    </row>
    <row r="14" spans="1:24" s="25" customFormat="1" ht="33.75" customHeight="1">
      <c r="A14" s="161">
        <v>10</v>
      </c>
      <c r="B14" s="277" t="s">
        <v>415</v>
      </c>
      <c r="C14" s="234" t="s">
        <v>517</v>
      </c>
      <c r="D14" s="160" t="s">
        <v>526</v>
      </c>
      <c r="E14" s="162"/>
      <c r="F14" s="162"/>
      <c r="G14" s="165"/>
      <c r="H14" s="278"/>
      <c r="I14" s="279">
        <v>63641250</v>
      </c>
      <c r="J14" s="167">
        <v>45910</v>
      </c>
      <c r="K14" s="167">
        <v>45910</v>
      </c>
      <c r="L14" s="162"/>
      <c r="M14" s="167">
        <v>46011</v>
      </c>
      <c r="N14" s="167"/>
      <c r="O14" s="167"/>
      <c r="P14" s="160" t="s">
        <v>527</v>
      </c>
      <c r="Q14" s="160" t="s">
        <v>528</v>
      </c>
      <c r="R14" s="164"/>
      <c r="S14" s="160" t="s">
        <v>529</v>
      </c>
      <c r="T14" s="164"/>
      <c r="U14" s="137"/>
    </row>
    <row r="15" spans="1:24" s="91" customFormat="1" ht="33.75" customHeight="1">
      <c r="A15" s="161">
        <v>11</v>
      </c>
      <c r="B15" s="277" t="s">
        <v>415</v>
      </c>
      <c r="C15" s="234" t="s">
        <v>517</v>
      </c>
      <c r="D15" s="160" t="s">
        <v>530</v>
      </c>
      <c r="E15" s="234"/>
      <c r="F15" s="234"/>
      <c r="G15" s="165"/>
      <c r="H15" s="280"/>
      <c r="I15" s="279">
        <v>13406340</v>
      </c>
      <c r="J15" s="167">
        <v>45909</v>
      </c>
      <c r="K15" s="166">
        <v>45909</v>
      </c>
      <c r="L15" s="234"/>
      <c r="M15" s="166">
        <v>46008</v>
      </c>
      <c r="N15" s="166"/>
      <c r="O15" s="166"/>
      <c r="P15" s="236" t="s">
        <v>531</v>
      </c>
      <c r="Q15" s="236" t="s">
        <v>532</v>
      </c>
      <c r="R15" s="235"/>
      <c r="S15" s="236" t="s">
        <v>533</v>
      </c>
      <c r="T15" s="235"/>
      <c r="U15" s="137"/>
      <c r="V15" s="25"/>
      <c r="W15" s="25"/>
      <c r="X15" s="25"/>
    </row>
    <row r="16" spans="1:24" s="91" customFormat="1" ht="33.75" customHeight="1">
      <c r="A16" s="161">
        <v>12</v>
      </c>
      <c r="B16" s="277" t="s">
        <v>415</v>
      </c>
      <c r="C16" s="234" t="s">
        <v>517</v>
      </c>
      <c r="D16" s="160" t="s">
        <v>534</v>
      </c>
      <c r="E16" s="234"/>
      <c r="F16" s="234"/>
      <c r="G16" s="165"/>
      <c r="H16" s="280"/>
      <c r="I16" s="279">
        <v>15763000</v>
      </c>
      <c r="J16" s="166">
        <v>45909</v>
      </c>
      <c r="K16" s="166">
        <v>45909</v>
      </c>
      <c r="L16" s="234"/>
      <c r="M16" s="166">
        <v>46009</v>
      </c>
      <c r="N16" s="166"/>
      <c r="O16" s="166"/>
      <c r="P16" s="236" t="s">
        <v>535</v>
      </c>
      <c r="Q16" s="236" t="s">
        <v>536</v>
      </c>
      <c r="R16" s="235"/>
      <c r="S16" s="236" t="s">
        <v>537</v>
      </c>
      <c r="T16" s="235"/>
      <c r="U16" s="137"/>
      <c r="V16" s="25"/>
      <c r="W16" s="25"/>
      <c r="X16" s="25"/>
    </row>
    <row r="17" spans="1:27" s="149" customFormat="1" ht="33.75" customHeight="1">
      <c r="A17" s="161">
        <v>13</v>
      </c>
      <c r="B17" s="277" t="s">
        <v>415</v>
      </c>
      <c r="C17" s="234" t="s">
        <v>517</v>
      </c>
      <c r="D17" s="160" t="s">
        <v>538</v>
      </c>
      <c r="E17" s="234"/>
      <c r="F17" s="234"/>
      <c r="G17" s="165"/>
      <c r="H17" s="280"/>
      <c r="I17" s="279">
        <v>8742280</v>
      </c>
      <c r="J17" s="167">
        <v>45716</v>
      </c>
      <c r="K17" s="166">
        <v>45716</v>
      </c>
      <c r="L17" s="234"/>
      <c r="M17" s="166">
        <v>45750</v>
      </c>
      <c r="N17" s="166"/>
      <c r="O17" s="166"/>
      <c r="P17" s="236" t="s">
        <v>539</v>
      </c>
      <c r="Q17" s="236" t="s">
        <v>540</v>
      </c>
      <c r="R17" s="235"/>
      <c r="S17" s="236" t="s">
        <v>541</v>
      </c>
      <c r="T17" s="235"/>
      <c r="U17" s="137"/>
      <c r="V17" s="25"/>
      <c r="W17" s="25"/>
      <c r="X17" s="25"/>
    </row>
    <row r="18" spans="1:27" s="91" customFormat="1" ht="33.75" customHeight="1">
      <c r="A18" s="161">
        <v>14</v>
      </c>
      <c r="B18" s="277" t="s">
        <v>415</v>
      </c>
      <c r="C18" s="234" t="s">
        <v>489</v>
      </c>
      <c r="D18" s="160" t="s">
        <v>510</v>
      </c>
      <c r="E18" s="234"/>
      <c r="F18" s="234"/>
      <c r="G18" s="165"/>
      <c r="H18" s="280"/>
      <c r="I18" s="279">
        <v>22559400</v>
      </c>
      <c r="J18" s="167">
        <v>46107</v>
      </c>
      <c r="K18" s="166">
        <v>45523</v>
      </c>
      <c r="L18" s="234"/>
      <c r="M18" s="166">
        <v>46167</v>
      </c>
      <c r="N18" s="166"/>
      <c r="O18" s="166"/>
      <c r="P18" s="236" t="s">
        <v>511</v>
      </c>
      <c r="Q18" s="236" t="s">
        <v>512</v>
      </c>
      <c r="R18" s="235" t="s">
        <v>513</v>
      </c>
      <c r="S18" s="236" t="s">
        <v>514</v>
      </c>
      <c r="T18" s="235"/>
      <c r="U18" s="137"/>
      <c r="V18" s="25"/>
      <c r="W18" s="25"/>
      <c r="X18" s="25"/>
    </row>
    <row r="19" spans="1:27" s="150" customFormat="1" ht="33.75" customHeight="1">
      <c r="A19" s="161">
        <v>15</v>
      </c>
      <c r="B19" s="277" t="s">
        <v>415</v>
      </c>
      <c r="C19" s="234" t="s">
        <v>517</v>
      </c>
      <c r="D19" s="160" t="s">
        <v>538</v>
      </c>
      <c r="E19" s="162"/>
      <c r="F19" s="162"/>
      <c r="G19" s="165"/>
      <c r="H19" s="278"/>
      <c r="I19" s="279">
        <v>17415900</v>
      </c>
      <c r="J19" s="167">
        <v>46121</v>
      </c>
      <c r="K19" s="167">
        <v>46121</v>
      </c>
      <c r="L19" s="162"/>
      <c r="M19" s="167">
        <v>45750</v>
      </c>
      <c r="N19" s="167"/>
      <c r="O19" s="167"/>
      <c r="P19" s="160" t="s">
        <v>539</v>
      </c>
      <c r="Q19" s="160" t="s">
        <v>540</v>
      </c>
      <c r="R19" s="164"/>
      <c r="S19" s="160" t="s">
        <v>541</v>
      </c>
      <c r="T19" s="164"/>
      <c r="U19" s="137"/>
      <c r="V19" s="25"/>
      <c r="W19" s="25"/>
      <c r="X19" s="25"/>
    </row>
    <row r="20" spans="1:27" s="91" customFormat="1" ht="33.75" customHeight="1">
      <c r="A20" s="161">
        <v>16</v>
      </c>
      <c r="B20" s="277" t="s">
        <v>415</v>
      </c>
      <c r="C20" s="234" t="s">
        <v>489</v>
      </c>
      <c r="D20" s="160" t="s">
        <v>542</v>
      </c>
      <c r="E20" s="234"/>
      <c r="F20" s="234"/>
      <c r="G20" s="165"/>
      <c r="H20" s="280"/>
      <c r="I20" s="279">
        <v>6600000</v>
      </c>
      <c r="J20" s="166">
        <v>46132</v>
      </c>
      <c r="K20" s="166">
        <v>46135</v>
      </c>
      <c r="L20" s="234"/>
      <c r="M20" s="166">
        <v>46184</v>
      </c>
      <c r="N20" s="166"/>
      <c r="O20" s="166"/>
      <c r="P20" s="236" t="s">
        <v>543</v>
      </c>
      <c r="Q20" s="236" t="s">
        <v>544</v>
      </c>
      <c r="R20" s="235" t="s">
        <v>545</v>
      </c>
      <c r="S20" s="236" t="s">
        <v>546</v>
      </c>
      <c r="T20" s="235"/>
      <c r="U20" s="137"/>
      <c r="V20" s="25"/>
      <c r="W20" s="25"/>
      <c r="X20" s="25"/>
    </row>
    <row r="21" spans="1:27" s="91" customFormat="1" ht="33.75" customHeight="1">
      <c r="A21" s="161">
        <v>17</v>
      </c>
      <c r="B21" s="277" t="s">
        <v>415</v>
      </c>
      <c r="C21" s="234" t="s">
        <v>489</v>
      </c>
      <c r="D21" s="160" t="s">
        <v>547</v>
      </c>
      <c r="E21" s="234"/>
      <c r="F21" s="234"/>
      <c r="G21" s="165"/>
      <c r="H21" s="280"/>
      <c r="I21" s="279">
        <v>8800000</v>
      </c>
      <c r="J21" s="166">
        <v>46132</v>
      </c>
      <c r="K21" s="166">
        <v>46135</v>
      </c>
      <c r="L21" s="234"/>
      <c r="M21" s="166">
        <v>46184</v>
      </c>
      <c r="N21" s="166"/>
      <c r="O21" s="166"/>
      <c r="P21" s="236" t="s">
        <v>548</v>
      </c>
      <c r="Q21" s="236" t="s">
        <v>549</v>
      </c>
      <c r="R21" s="235" t="s">
        <v>550</v>
      </c>
      <c r="S21" s="236" t="s">
        <v>551</v>
      </c>
      <c r="T21" s="235"/>
      <c r="U21" s="137"/>
      <c r="V21" s="25"/>
      <c r="W21" s="25"/>
      <c r="X21" s="25"/>
    </row>
    <row r="22" spans="1:27" s="91" customFormat="1" ht="33.75" customHeight="1">
      <c r="A22" s="161">
        <v>18</v>
      </c>
      <c r="B22" s="277" t="s">
        <v>415</v>
      </c>
      <c r="C22" s="234" t="s">
        <v>489</v>
      </c>
      <c r="D22" s="160" t="s">
        <v>552</v>
      </c>
      <c r="E22" s="234"/>
      <c r="F22" s="234"/>
      <c r="G22" s="165"/>
      <c r="H22" s="280"/>
      <c r="I22" s="279">
        <v>25830900</v>
      </c>
      <c r="J22" s="167">
        <v>46132</v>
      </c>
      <c r="K22" s="166">
        <v>46048</v>
      </c>
      <c r="L22" s="234"/>
      <c r="M22" s="166">
        <v>46152</v>
      </c>
      <c r="N22" s="166"/>
      <c r="O22" s="166"/>
      <c r="P22" s="236" t="s">
        <v>553</v>
      </c>
      <c r="Q22" s="236" t="s">
        <v>554</v>
      </c>
      <c r="R22" s="235" t="s">
        <v>555</v>
      </c>
      <c r="S22" s="236" t="s">
        <v>556</v>
      </c>
      <c r="T22" s="235"/>
      <c r="U22" s="137"/>
      <c r="V22" s="25"/>
      <c r="W22" s="25"/>
      <c r="X22" s="25"/>
    </row>
    <row r="23" spans="1:27" s="25" customFormat="1" ht="33.75" customHeight="1">
      <c r="A23" s="161">
        <v>19</v>
      </c>
      <c r="B23" s="277" t="s">
        <v>415</v>
      </c>
      <c r="C23" s="234" t="s">
        <v>517</v>
      </c>
      <c r="D23" s="160" t="s">
        <v>557</v>
      </c>
      <c r="E23" s="162"/>
      <c r="F23" s="162"/>
      <c r="G23" s="165"/>
      <c r="H23" s="278"/>
      <c r="I23" s="279">
        <v>102030000</v>
      </c>
      <c r="J23" s="166">
        <v>46136</v>
      </c>
      <c r="K23" s="166">
        <v>46136</v>
      </c>
      <c r="L23" s="162"/>
      <c r="M23" s="166">
        <v>46196</v>
      </c>
      <c r="N23" s="166"/>
      <c r="O23" s="166"/>
      <c r="P23" s="160" t="s">
        <v>558</v>
      </c>
      <c r="Q23" s="160" t="s">
        <v>559</v>
      </c>
      <c r="R23" s="164"/>
      <c r="S23" s="160" t="s">
        <v>560</v>
      </c>
      <c r="T23" s="164"/>
      <c r="U23" s="137"/>
    </row>
    <row r="24" spans="1:27" s="91" customFormat="1" ht="33.75" customHeight="1">
      <c r="A24" s="161">
        <v>20</v>
      </c>
      <c r="B24" s="277" t="s">
        <v>415</v>
      </c>
      <c r="C24" s="234" t="s">
        <v>517</v>
      </c>
      <c r="D24" s="236" t="s">
        <v>561</v>
      </c>
      <c r="E24" s="234"/>
      <c r="F24" s="234"/>
      <c r="G24" s="165"/>
      <c r="H24" s="280"/>
      <c r="I24" s="279">
        <v>62100000</v>
      </c>
      <c r="J24" s="166">
        <v>46136</v>
      </c>
      <c r="K24" s="166">
        <v>46136</v>
      </c>
      <c r="L24" s="234"/>
      <c r="M24" s="166">
        <v>46167</v>
      </c>
      <c r="N24" s="166"/>
      <c r="O24" s="166"/>
      <c r="P24" s="236" t="s">
        <v>562</v>
      </c>
      <c r="Q24" s="236" t="s">
        <v>563</v>
      </c>
      <c r="R24" s="235"/>
      <c r="S24" s="236" t="s">
        <v>564</v>
      </c>
      <c r="T24" s="235"/>
      <c r="U24" s="137"/>
      <c r="V24" s="25"/>
      <c r="W24" s="25"/>
      <c r="X24" s="25"/>
    </row>
    <row r="25" spans="1:27" s="25" customFormat="1" ht="33.75" customHeight="1">
      <c r="A25" s="161">
        <v>21</v>
      </c>
      <c r="B25" s="277" t="s">
        <v>415</v>
      </c>
      <c r="C25" s="162" t="s">
        <v>517</v>
      </c>
      <c r="D25" s="160" t="s">
        <v>565</v>
      </c>
      <c r="E25" s="162"/>
      <c r="F25" s="162"/>
      <c r="G25" s="165"/>
      <c r="H25" s="278"/>
      <c r="I25" s="279">
        <v>51282000</v>
      </c>
      <c r="J25" s="167">
        <v>46136</v>
      </c>
      <c r="K25" s="166">
        <v>46136</v>
      </c>
      <c r="L25" s="162"/>
      <c r="M25" s="167">
        <v>46186</v>
      </c>
      <c r="N25" s="167"/>
      <c r="O25" s="167"/>
      <c r="P25" s="160" t="s">
        <v>566</v>
      </c>
      <c r="Q25" s="160" t="s">
        <v>567</v>
      </c>
      <c r="R25" s="164"/>
      <c r="S25" s="160" t="s">
        <v>568</v>
      </c>
      <c r="T25" s="164"/>
      <c r="U25" s="137"/>
    </row>
    <row r="26" spans="1:27" s="91" customFormat="1" ht="33.75" customHeight="1">
      <c r="A26" s="161">
        <v>22</v>
      </c>
      <c r="B26" s="277" t="s">
        <v>212</v>
      </c>
      <c r="C26" s="162" t="s">
        <v>489</v>
      </c>
      <c r="D26" s="160" t="s">
        <v>569</v>
      </c>
      <c r="E26" s="162"/>
      <c r="F26" s="162"/>
      <c r="G26" s="165"/>
      <c r="H26" s="278"/>
      <c r="I26" s="279">
        <v>16500000</v>
      </c>
      <c r="J26" s="167">
        <v>46178</v>
      </c>
      <c r="K26" s="166">
        <v>46181</v>
      </c>
      <c r="L26" s="162"/>
      <c r="M26" s="167">
        <v>46210</v>
      </c>
      <c r="N26" s="167"/>
      <c r="O26" s="167"/>
      <c r="P26" s="160" t="s">
        <v>570</v>
      </c>
      <c r="Q26" s="160" t="s">
        <v>571</v>
      </c>
      <c r="R26" s="164" t="s">
        <v>572</v>
      </c>
      <c r="S26" s="160" t="s">
        <v>573</v>
      </c>
      <c r="T26" s="164"/>
      <c r="U26" s="137"/>
      <c r="V26" s="25"/>
      <c r="W26" s="25"/>
      <c r="X26" s="25"/>
    </row>
    <row r="27" spans="1:27" s="25" customFormat="1" ht="33.75" customHeight="1">
      <c r="A27" s="161">
        <v>23</v>
      </c>
      <c r="B27" s="277" t="s">
        <v>415</v>
      </c>
      <c r="C27" s="162" t="s">
        <v>489</v>
      </c>
      <c r="D27" s="160" t="s">
        <v>515</v>
      </c>
      <c r="E27" s="162"/>
      <c r="F27" s="162"/>
      <c r="G27" s="165"/>
      <c r="H27" s="278"/>
      <c r="I27" s="279">
        <v>786542000</v>
      </c>
      <c r="J27" s="167">
        <v>46163</v>
      </c>
      <c r="K27" s="166">
        <v>45580</v>
      </c>
      <c r="L27" s="162"/>
      <c r="M27" s="167">
        <v>46167</v>
      </c>
      <c r="N27" s="167"/>
      <c r="O27" s="167"/>
      <c r="P27" s="160" t="s">
        <v>491</v>
      </c>
      <c r="Q27" s="160" t="s">
        <v>492</v>
      </c>
      <c r="R27" s="164" t="s">
        <v>493</v>
      </c>
      <c r="S27" s="160" t="s">
        <v>494</v>
      </c>
      <c r="T27" s="164"/>
      <c r="U27" s="137"/>
      <c r="Y27" s="90"/>
      <c r="Z27" s="90"/>
      <c r="AA27" s="90"/>
    </row>
    <row r="28" spans="1:27" s="91" customFormat="1" ht="33.75" customHeight="1">
      <c r="A28" s="161">
        <v>24</v>
      </c>
      <c r="B28" s="277" t="s">
        <v>415</v>
      </c>
      <c r="C28" s="162" t="s">
        <v>517</v>
      </c>
      <c r="D28" s="160" t="s">
        <v>530</v>
      </c>
      <c r="E28" s="162"/>
      <c r="F28" s="162"/>
      <c r="G28" s="165"/>
      <c r="H28" s="278"/>
      <c r="I28" s="279">
        <v>24837460</v>
      </c>
      <c r="J28" s="167">
        <v>46163</v>
      </c>
      <c r="K28" s="166">
        <v>46163</v>
      </c>
      <c r="L28" s="162"/>
      <c r="M28" s="167">
        <v>46008</v>
      </c>
      <c r="N28" s="167"/>
      <c r="O28" s="167"/>
      <c r="P28" s="160" t="s">
        <v>531</v>
      </c>
      <c r="Q28" s="160" t="s">
        <v>532</v>
      </c>
      <c r="R28" s="164"/>
      <c r="S28" s="160" t="s">
        <v>533</v>
      </c>
      <c r="T28" s="164"/>
      <c r="U28" s="137"/>
      <c r="V28" s="25"/>
      <c r="W28" s="25"/>
      <c r="X28" s="25"/>
      <c r="Y28" s="90"/>
      <c r="Z28" s="90"/>
      <c r="AA28" s="90"/>
    </row>
    <row r="29" spans="1:27" s="91" customFormat="1" ht="33.75" customHeight="1">
      <c r="A29" s="161">
        <v>25</v>
      </c>
      <c r="B29" s="277" t="s">
        <v>415</v>
      </c>
      <c r="C29" s="162" t="s">
        <v>517</v>
      </c>
      <c r="D29" s="160" t="s">
        <v>522</v>
      </c>
      <c r="E29" s="234"/>
      <c r="F29" s="234"/>
      <c r="G29" s="165"/>
      <c r="H29" s="280"/>
      <c r="I29" s="279">
        <v>93719095</v>
      </c>
      <c r="J29" s="167">
        <v>46163</v>
      </c>
      <c r="K29" s="166">
        <v>46163</v>
      </c>
      <c r="L29" s="162"/>
      <c r="M29" s="167">
        <v>46009</v>
      </c>
      <c r="N29" s="167"/>
      <c r="O29" s="167"/>
      <c r="P29" s="160" t="s">
        <v>523</v>
      </c>
      <c r="Q29" s="160" t="s">
        <v>524</v>
      </c>
      <c r="R29" s="235"/>
      <c r="S29" s="160" t="s">
        <v>525</v>
      </c>
      <c r="T29" s="235"/>
      <c r="U29" s="137"/>
      <c r="V29" s="25"/>
      <c r="W29" s="25"/>
      <c r="X29" s="25"/>
      <c r="Y29" s="90"/>
      <c r="Z29" s="90"/>
      <c r="AA29" s="90"/>
    </row>
    <row r="30" spans="1:27" s="91" customFormat="1" ht="33.75" customHeight="1">
      <c r="A30" s="161">
        <v>26</v>
      </c>
      <c r="B30" s="277" t="s">
        <v>415</v>
      </c>
      <c r="C30" s="162" t="s">
        <v>517</v>
      </c>
      <c r="D30" s="160" t="s">
        <v>518</v>
      </c>
      <c r="E30" s="234"/>
      <c r="F30" s="234"/>
      <c r="G30" s="165"/>
      <c r="H30" s="280"/>
      <c r="I30" s="279">
        <v>731110500</v>
      </c>
      <c r="J30" s="166">
        <v>45538</v>
      </c>
      <c r="K30" s="166">
        <v>45538</v>
      </c>
      <c r="L30" s="162"/>
      <c r="M30" s="167">
        <v>46196</v>
      </c>
      <c r="N30" s="167"/>
      <c r="O30" s="167"/>
      <c r="P30" s="160" t="s">
        <v>519</v>
      </c>
      <c r="Q30" s="160" t="s">
        <v>520</v>
      </c>
      <c r="R30" s="235"/>
      <c r="S30" s="160" t="s">
        <v>521</v>
      </c>
      <c r="T30" s="235"/>
      <c r="U30" s="137"/>
      <c r="V30" s="25"/>
      <c r="W30" s="25"/>
      <c r="X30" s="25"/>
      <c r="Y30" s="90"/>
      <c r="Z30" s="90"/>
      <c r="AA30" s="90"/>
    </row>
    <row r="31" spans="1:27" s="25" customFormat="1" ht="33.75" customHeight="1">
      <c r="A31" s="161">
        <v>27</v>
      </c>
      <c r="B31" s="277" t="s">
        <v>415</v>
      </c>
      <c r="C31" s="162" t="s">
        <v>517</v>
      </c>
      <c r="D31" s="160" t="s">
        <v>526</v>
      </c>
      <c r="E31" s="162"/>
      <c r="F31" s="162"/>
      <c r="G31" s="165"/>
      <c r="H31" s="278"/>
      <c r="I31" s="279">
        <v>124758320</v>
      </c>
      <c r="J31" s="167">
        <v>46164</v>
      </c>
      <c r="K31" s="166">
        <v>46164</v>
      </c>
      <c r="L31" s="162"/>
      <c r="M31" s="167">
        <v>46011</v>
      </c>
      <c r="N31" s="167"/>
      <c r="O31" s="167"/>
      <c r="P31" s="160" t="s">
        <v>527</v>
      </c>
      <c r="Q31" s="160" t="s">
        <v>528</v>
      </c>
      <c r="R31" s="164"/>
      <c r="S31" s="160" t="s">
        <v>529</v>
      </c>
      <c r="T31" s="164"/>
      <c r="U31" s="137"/>
      <c r="Y31" s="90"/>
      <c r="Z31" s="90"/>
      <c r="AA31" s="90"/>
    </row>
    <row r="32" spans="1:27" s="91" customFormat="1" ht="33.75" customHeight="1">
      <c r="A32" s="161">
        <v>28</v>
      </c>
      <c r="B32" s="277" t="s">
        <v>403</v>
      </c>
      <c r="C32" s="234" t="s">
        <v>574</v>
      </c>
      <c r="D32" s="236" t="s">
        <v>575</v>
      </c>
      <c r="E32" s="234"/>
      <c r="F32" s="234"/>
      <c r="G32" s="165"/>
      <c r="H32" s="280"/>
      <c r="I32" s="279">
        <v>125073000</v>
      </c>
      <c r="J32" s="167">
        <v>46139</v>
      </c>
      <c r="K32" s="166">
        <v>46142</v>
      </c>
      <c r="L32" s="162"/>
      <c r="M32" s="167">
        <v>46201</v>
      </c>
      <c r="N32" s="167"/>
      <c r="O32" s="167"/>
      <c r="P32" s="236" t="s">
        <v>576</v>
      </c>
      <c r="Q32" s="236" t="s">
        <v>577</v>
      </c>
      <c r="R32" s="164" t="s">
        <v>578</v>
      </c>
      <c r="S32" s="236" t="s">
        <v>579</v>
      </c>
      <c r="T32" s="235"/>
      <c r="U32" s="137"/>
      <c r="V32" s="25"/>
      <c r="W32" s="25"/>
      <c r="X32" s="25"/>
      <c r="Y32" s="90"/>
      <c r="Z32" s="90"/>
      <c r="AA32" s="90"/>
    </row>
    <row r="33" spans="1:27" s="25" customFormat="1" ht="33.75" customHeight="1">
      <c r="A33" s="161">
        <v>29</v>
      </c>
      <c r="B33" s="277" t="s">
        <v>403</v>
      </c>
      <c r="C33" s="162" t="s">
        <v>489</v>
      </c>
      <c r="D33" s="160" t="s">
        <v>580</v>
      </c>
      <c r="E33" s="162"/>
      <c r="F33" s="162"/>
      <c r="G33" s="165"/>
      <c r="H33" s="278"/>
      <c r="I33" s="279">
        <v>873000</v>
      </c>
      <c r="J33" s="167">
        <v>46140</v>
      </c>
      <c r="K33" s="166">
        <v>46142</v>
      </c>
      <c r="L33" s="162"/>
      <c r="M33" s="167">
        <v>46201</v>
      </c>
      <c r="N33" s="167"/>
      <c r="O33" s="167"/>
      <c r="P33" s="160" t="s">
        <v>581</v>
      </c>
      <c r="Q33" s="160" t="s">
        <v>582</v>
      </c>
      <c r="R33" s="164" t="s">
        <v>583</v>
      </c>
      <c r="S33" s="160" t="s">
        <v>584</v>
      </c>
      <c r="T33" s="164"/>
      <c r="U33" s="137"/>
      <c r="Y33" s="90"/>
      <c r="Z33" s="90"/>
      <c r="AA33" s="90"/>
    </row>
    <row r="34" spans="1:27" s="91" customFormat="1" ht="33.75" customHeight="1">
      <c r="A34" s="161">
        <v>30</v>
      </c>
      <c r="B34" s="277" t="s">
        <v>403</v>
      </c>
      <c r="C34" s="234" t="s">
        <v>517</v>
      </c>
      <c r="D34" s="236" t="s">
        <v>585</v>
      </c>
      <c r="E34" s="234"/>
      <c r="F34" s="234"/>
      <c r="G34" s="165"/>
      <c r="H34" s="280"/>
      <c r="I34" s="279">
        <v>139359000</v>
      </c>
      <c r="J34" s="166">
        <v>46142</v>
      </c>
      <c r="K34" s="166">
        <v>46142</v>
      </c>
      <c r="L34" s="234"/>
      <c r="M34" s="166">
        <v>46232</v>
      </c>
      <c r="N34" s="166"/>
      <c r="O34" s="166"/>
      <c r="P34" s="236" t="s">
        <v>586</v>
      </c>
      <c r="Q34" s="236" t="s">
        <v>587</v>
      </c>
      <c r="R34" s="235"/>
      <c r="S34" s="236" t="s">
        <v>588</v>
      </c>
      <c r="T34" s="235"/>
      <c r="U34" s="137"/>
      <c r="V34" s="25"/>
      <c r="W34" s="25"/>
      <c r="X34" s="25"/>
      <c r="Y34" s="90"/>
      <c r="Z34" s="90"/>
      <c r="AA34" s="90"/>
    </row>
    <row r="35" spans="1:27" s="91" customFormat="1" ht="33.75" customHeight="1">
      <c r="A35" s="161"/>
      <c r="B35" s="277"/>
      <c r="C35" s="162"/>
      <c r="D35" s="160"/>
      <c r="E35" s="234"/>
      <c r="F35" s="162"/>
      <c r="G35" s="237"/>
      <c r="H35" s="278"/>
      <c r="I35" s="279"/>
      <c r="J35" s="167"/>
      <c r="K35" s="166"/>
      <c r="L35" s="234"/>
      <c r="M35" s="166"/>
      <c r="N35" s="167"/>
      <c r="O35" s="167"/>
      <c r="P35" s="160"/>
      <c r="Q35" s="160"/>
      <c r="R35" s="164"/>
      <c r="S35" s="160"/>
      <c r="T35" s="164"/>
      <c r="U35" s="137"/>
      <c r="V35" s="25"/>
      <c r="W35" s="25"/>
      <c r="X35" s="25"/>
      <c r="Y35" s="90"/>
      <c r="Z35" s="90"/>
      <c r="AA35" s="90"/>
    </row>
    <row r="36" spans="1:27" s="25" customFormat="1" ht="33.75" customHeight="1">
      <c r="A36" s="161"/>
      <c r="B36" s="277"/>
      <c r="C36" s="234"/>
      <c r="D36" s="236"/>
      <c r="E36" s="234"/>
      <c r="F36" s="234"/>
      <c r="G36" s="165"/>
      <c r="H36" s="280"/>
      <c r="I36" s="279"/>
      <c r="J36" s="166"/>
      <c r="K36" s="166"/>
      <c r="L36" s="234"/>
      <c r="M36" s="166"/>
      <c r="N36" s="166"/>
      <c r="O36" s="166"/>
      <c r="P36" s="236"/>
      <c r="Q36" s="236"/>
      <c r="R36" s="235"/>
      <c r="S36" s="236"/>
      <c r="T36" s="235"/>
      <c r="U36" s="137"/>
      <c r="Y36" s="90"/>
      <c r="Z36" s="90"/>
      <c r="AA36" s="90"/>
    </row>
    <row r="37" spans="1:27" s="25" customFormat="1" ht="33.75" customHeight="1">
      <c r="A37" s="161"/>
      <c r="B37" s="277"/>
      <c r="C37" s="234"/>
      <c r="D37" s="236"/>
      <c r="E37" s="162"/>
      <c r="F37" s="162"/>
      <c r="G37" s="237"/>
      <c r="H37" s="278"/>
      <c r="I37" s="279"/>
      <c r="J37" s="166"/>
      <c r="K37" s="166"/>
      <c r="L37" s="234"/>
      <c r="M37" s="166"/>
      <c r="N37" s="167"/>
      <c r="O37" s="167"/>
      <c r="P37" s="160"/>
      <c r="Q37" s="160"/>
      <c r="R37" s="164"/>
      <c r="S37" s="160"/>
      <c r="T37" s="164"/>
      <c r="U37" s="137"/>
      <c r="Y37" s="90"/>
      <c r="Z37" s="90"/>
      <c r="AA37" s="90"/>
    </row>
    <row r="38" spans="1:27" s="91" customFormat="1" ht="33.75" customHeight="1">
      <c r="A38" s="161"/>
      <c r="B38" s="277"/>
      <c r="C38" s="234"/>
      <c r="D38" s="236"/>
      <c r="E38" s="234"/>
      <c r="F38" s="234"/>
      <c r="G38" s="165"/>
      <c r="H38" s="280"/>
      <c r="I38" s="279"/>
      <c r="J38" s="166"/>
      <c r="K38" s="166"/>
      <c r="L38" s="234"/>
      <c r="M38" s="166"/>
      <c r="N38" s="166"/>
      <c r="O38" s="166"/>
      <c r="P38" s="236"/>
      <c r="Q38" s="236"/>
      <c r="R38" s="235"/>
      <c r="S38" s="236"/>
      <c r="T38" s="235"/>
      <c r="U38" s="137"/>
      <c r="V38" s="25"/>
      <c r="W38" s="25"/>
      <c r="X38" s="25"/>
      <c r="Y38" s="90"/>
      <c r="Z38" s="90"/>
      <c r="AA38" s="90"/>
    </row>
    <row r="39" spans="1:27" s="25" customFormat="1" ht="33.75" customHeight="1">
      <c r="A39" s="161"/>
      <c r="B39" s="277"/>
      <c r="C39" s="234"/>
      <c r="D39" s="160"/>
      <c r="E39" s="162"/>
      <c r="F39" s="162"/>
      <c r="G39" s="237"/>
      <c r="H39" s="278"/>
      <c r="I39" s="279"/>
      <c r="J39" s="167"/>
      <c r="K39" s="167"/>
      <c r="L39" s="162"/>
      <c r="M39" s="167"/>
      <c r="N39" s="167"/>
      <c r="O39" s="167"/>
      <c r="P39" s="160"/>
      <c r="Q39" s="160"/>
      <c r="R39" s="164"/>
      <c r="S39" s="160"/>
      <c r="T39" s="164"/>
      <c r="U39" s="137"/>
      <c r="Y39" s="90"/>
      <c r="Z39" s="90"/>
      <c r="AA39" s="90"/>
    </row>
    <row r="40" spans="1:27" s="25" customFormat="1" ht="33.75" customHeight="1">
      <c r="A40" s="161"/>
      <c r="B40" s="277"/>
      <c r="C40" s="234"/>
      <c r="D40" s="160"/>
      <c r="E40" s="234"/>
      <c r="F40" s="234"/>
      <c r="G40" s="165"/>
      <c r="H40" s="280"/>
      <c r="I40" s="279"/>
      <c r="J40" s="166"/>
      <c r="K40" s="166"/>
      <c r="L40" s="234"/>
      <c r="M40" s="166"/>
      <c r="N40" s="166"/>
      <c r="O40" s="166"/>
      <c r="P40" s="160"/>
      <c r="Q40" s="160"/>
      <c r="R40" s="164"/>
      <c r="S40" s="160"/>
      <c r="T40" s="235"/>
      <c r="U40" s="137"/>
      <c r="Y40" s="90"/>
      <c r="Z40" s="90"/>
      <c r="AA40" s="90"/>
    </row>
    <row r="41" spans="1:27" s="25" customFormat="1" ht="33.75" customHeight="1">
      <c r="A41" s="161"/>
      <c r="B41" s="277"/>
      <c r="C41" s="162"/>
      <c r="D41" s="160"/>
      <c r="E41" s="162"/>
      <c r="F41" s="162"/>
      <c r="G41" s="237"/>
      <c r="H41" s="278"/>
      <c r="I41" s="279"/>
      <c r="J41" s="167"/>
      <c r="K41" s="167"/>
      <c r="L41" s="162"/>
      <c r="M41" s="167"/>
      <c r="N41" s="167"/>
      <c r="O41" s="167"/>
      <c r="P41" s="160"/>
      <c r="Q41" s="160"/>
      <c r="R41" s="164"/>
      <c r="S41" s="160"/>
      <c r="T41" s="164"/>
      <c r="U41" s="137"/>
      <c r="Y41" s="90"/>
      <c r="Z41" s="90"/>
      <c r="AA41" s="90"/>
    </row>
    <row r="42" spans="1:27" s="25" customFormat="1" ht="33.75" customHeight="1">
      <c r="A42" s="161"/>
      <c r="B42" s="277"/>
      <c r="C42" s="162"/>
      <c r="D42" s="160"/>
      <c r="E42" s="162"/>
      <c r="F42" s="162"/>
      <c r="G42" s="237"/>
      <c r="H42" s="278"/>
      <c r="I42" s="279"/>
      <c r="J42" s="167"/>
      <c r="K42" s="167"/>
      <c r="L42" s="162"/>
      <c r="M42" s="167"/>
      <c r="N42" s="167"/>
      <c r="O42" s="167"/>
      <c r="P42" s="160"/>
      <c r="Q42" s="160"/>
      <c r="R42" s="164"/>
      <c r="S42" s="160"/>
      <c r="T42" s="164"/>
      <c r="U42" s="137"/>
      <c r="Y42" s="90"/>
      <c r="Z42" s="90"/>
      <c r="AA42" s="90"/>
    </row>
    <row r="43" spans="1:27" s="25" customFormat="1" ht="33.75" customHeight="1">
      <c r="A43" s="161"/>
      <c r="B43" s="277"/>
      <c r="C43" s="162"/>
      <c r="D43" s="160"/>
      <c r="E43" s="162"/>
      <c r="F43" s="162"/>
      <c r="G43" s="237"/>
      <c r="H43" s="278"/>
      <c r="I43" s="279"/>
      <c r="J43" s="167"/>
      <c r="K43" s="167"/>
      <c r="L43" s="162"/>
      <c r="M43" s="167"/>
      <c r="N43" s="167"/>
      <c r="O43" s="167"/>
      <c r="P43" s="160"/>
      <c r="Q43" s="160"/>
      <c r="R43" s="164"/>
      <c r="S43" s="160"/>
      <c r="T43" s="164"/>
      <c r="U43" s="137"/>
      <c r="Y43" s="90"/>
      <c r="Z43" s="90"/>
      <c r="AA43" s="90"/>
    </row>
    <row r="44" spans="1:27" s="25" customFormat="1" ht="33.75" customHeight="1">
      <c r="A44" s="161"/>
      <c r="B44" s="277"/>
      <c r="C44" s="162"/>
      <c r="D44" s="236"/>
      <c r="E44" s="162"/>
      <c r="F44" s="162"/>
      <c r="G44" s="237"/>
      <c r="H44" s="278"/>
      <c r="I44" s="279"/>
      <c r="J44" s="167"/>
      <c r="K44" s="167"/>
      <c r="L44" s="162"/>
      <c r="M44" s="167"/>
      <c r="N44" s="167"/>
      <c r="O44" s="167"/>
      <c r="P44" s="160"/>
      <c r="Q44" s="160"/>
      <c r="R44" s="164"/>
      <c r="S44" s="160"/>
      <c r="T44" s="164"/>
      <c r="U44" s="137"/>
      <c r="Y44" s="90"/>
      <c r="Z44" s="90"/>
      <c r="AA44" s="90"/>
    </row>
    <row r="45" spans="1:27" s="25" customFormat="1" ht="33.75" customHeight="1">
      <c r="A45" s="161"/>
      <c r="B45" s="277"/>
      <c r="C45" s="162"/>
      <c r="D45" s="160"/>
      <c r="E45" s="162"/>
      <c r="F45" s="162"/>
      <c r="G45" s="237"/>
      <c r="H45" s="278"/>
      <c r="I45" s="279"/>
      <c r="J45" s="167"/>
      <c r="K45" s="167"/>
      <c r="L45" s="162"/>
      <c r="M45" s="167"/>
      <c r="N45" s="167"/>
      <c r="O45" s="167"/>
      <c r="P45" s="160"/>
      <c r="Q45" s="160"/>
      <c r="R45" s="164"/>
      <c r="S45" s="160"/>
      <c r="T45" s="164"/>
      <c r="U45" s="137"/>
      <c r="Y45" s="90"/>
      <c r="Z45" s="90"/>
      <c r="AA45" s="90"/>
    </row>
    <row r="46" spans="1:27" s="25" customFormat="1" ht="33.75" customHeight="1">
      <c r="A46" s="161"/>
      <c r="B46" s="277"/>
      <c r="C46" s="162"/>
      <c r="D46" s="160"/>
      <c r="E46" s="162"/>
      <c r="F46" s="162"/>
      <c r="G46" s="237"/>
      <c r="H46" s="278"/>
      <c r="I46" s="279"/>
      <c r="J46" s="167"/>
      <c r="K46" s="167"/>
      <c r="L46" s="162"/>
      <c r="M46" s="167"/>
      <c r="N46" s="167"/>
      <c r="O46" s="167"/>
      <c r="P46" s="160"/>
      <c r="Q46" s="160"/>
      <c r="R46" s="164"/>
      <c r="S46" s="160"/>
      <c r="T46" s="164"/>
      <c r="U46" s="137"/>
      <c r="Y46" s="90"/>
      <c r="Z46" s="90"/>
      <c r="AA46" s="90"/>
    </row>
    <row r="47" spans="1:27" s="25" customFormat="1" ht="33.75" customHeight="1">
      <c r="A47" s="161"/>
      <c r="B47" s="277"/>
      <c r="C47" s="162"/>
      <c r="D47" s="160"/>
      <c r="E47" s="162"/>
      <c r="F47" s="162"/>
      <c r="G47" s="237"/>
      <c r="H47" s="278"/>
      <c r="I47" s="279"/>
      <c r="J47" s="167"/>
      <c r="K47" s="167"/>
      <c r="L47" s="162"/>
      <c r="M47" s="167"/>
      <c r="N47" s="167"/>
      <c r="O47" s="167"/>
      <c r="P47" s="160"/>
      <c r="Q47" s="160"/>
      <c r="R47" s="164"/>
      <c r="S47" s="160"/>
      <c r="T47" s="164"/>
      <c r="U47" s="137"/>
      <c r="Y47" s="90"/>
      <c r="Z47" s="90"/>
      <c r="AA47" s="90"/>
    </row>
    <row r="48" spans="1:27" s="91" customFormat="1" ht="33.75" customHeight="1">
      <c r="A48" s="161"/>
      <c r="B48" s="277"/>
      <c r="C48" s="162"/>
      <c r="D48" s="160"/>
      <c r="E48" s="162"/>
      <c r="F48" s="162"/>
      <c r="G48" s="237"/>
      <c r="H48" s="278"/>
      <c r="I48" s="279"/>
      <c r="J48" s="167"/>
      <c r="K48" s="167"/>
      <c r="L48" s="162"/>
      <c r="M48" s="167"/>
      <c r="N48" s="167"/>
      <c r="O48" s="167"/>
      <c r="P48" s="160"/>
      <c r="Q48" s="160"/>
      <c r="R48" s="164"/>
      <c r="S48" s="160"/>
      <c r="T48" s="164"/>
      <c r="U48" s="137"/>
      <c r="V48" s="25"/>
      <c r="W48" s="25"/>
      <c r="X48" s="25"/>
      <c r="Y48" s="90"/>
      <c r="Z48" s="90"/>
      <c r="AA48" s="90"/>
    </row>
    <row r="49" spans="1:27" s="91" customFormat="1" ht="33.75" customHeight="1">
      <c r="A49" s="161"/>
      <c r="B49" s="277"/>
      <c r="C49" s="234"/>
      <c r="D49" s="160"/>
      <c r="E49" s="234"/>
      <c r="F49" s="234"/>
      <c r="G49" s="165"/>
      <c r="H49" s="280"/>
      <c r="I49" s="279"/>
      <c r="J49" s="166"/>
      <c r="K49" s="167"/>
      <c r="L49" s="162"/>
      <c r="M49" s="167"/>
      <c r="N49" s="166"/>
      <c r="O49" s="166"/>
      <c r="P49" s="236"/>
      <c r="Q49" s="236"/>
      <c r="R49" s="164"/>
      <c r="S49" s="236"/>
      <c r="T49" s="235"/>
      <c r="U49" s="137"/>
      <c r="V49" s="25"/>
      <c r="W49" s="25"/>
      <c r="X49" s="25"/>
      <c r="Y49" s="90"/>
      <c r="Z49" s="90"/>
      <c r="AA49" s="90"/>
    </row>
    <row r="50" spans="1:27" s="91" customFormat="1" ht="33.75" customHeight="1">
      <c r="A50" s="161"/>
      <c r="B50" s="277"/>
      <c r="C50" s="162"/>
      <c r="D50" s="160"/>
      <c r="E50" s="162"/>
      <c r="F50" s="162"/>
      <c r="G50" s="237"/>
      <c r="H50" s="278"/>
      <c r="I50" s="279"/>
      <c r="J50" s="167"/>
      <c r="K50" s="167"/>
      <c r="L50" s="162"/>
      <c r="M50" s="167"/>
      <c r="N50" s="167"/>
      <c r="O50" s="167"/>
      <c r="P50" s="160"/>
      <c r="Q50" s="160"/>
      <c r="R50" s="164"/>
      <c r="S50" s="160"/>
      <c r="T50" s="164"/>
      <c r="U50" s="137"/>
      <c r="V50" s="25"/>
      <c r="W50" s="25"/>
      <c r="X50" s="25"/>
      <c r="Y50" s="90"/>
      <c r="Z50" s="90"/>
      <c r="AA50" s="90"/>
    </row>
    <row r="51" spans="1:27" s="91" customFormat="1" ht="33.75" customHeight="1">
      <c r="A51" s="161"/>
      <c r="B51" s="277"/>
      <c r="C51" s="234"/>
      <c r="D51" s="236"/>
      <c r="E51" s="234"/>
      <c r="F51" s="234"/>
      <c r="G51" s="165"/>
      <c r="H51" s="280"/>
      <c r="I51" s="279"/>
      <c r="J51" s="166"/>
      <c r="K51" s="166"/>
      <c r="L51" s="234"/>
      <c r="M51" s="166"/>
      <c r="N51" s="167"/>
      <c r="O51" s="166"/>
      <c r="P51" s="236"/>
      <c r="Q51" s="236"/>
      <c r="R51" s="164"/>
      <c r="S51" s="236"/>
      <c r="T51" s="235"/>
      <c r="U51" s="137"/>
      <c r="V51" s="25"/>
      <c r="W51" s="25"/>
      <c r="X51" s="25"/>
      <c r="Y51" s="90"/>
      <c r="Z51" s="90"/>
      <c r="AA51" s="90"/>
    </row>
    <row r="52" spans="1:27" s="25" customFormat="1" ht="33.75" customHeight="1">
      <c r="A52" s="161"/>
      <c r="B52" s="277"/>
      <c r="C52" s="162"/>
      <c r="D52" s="160"/>
      <c r="E52" s="162"/>
      <c r="F52" s="162"/>
      <c r="G52" s="237"/>
      <c r="H52" s="278"/>
      <c r="I52" s="279"/>
      <c r="J52" s="167"/>
      <c r="K52" s="167"/>
      <c r="L52" s="162"/>
      <c r="M52" s="167"/>
      <c r="N52" s="167"/>
      <c r="O52" s="167"/>
      <c r="P52" s="160"/>
      <c r="Q52" s="160"/>
      <c r="R52" s="164"/>
      <c r="S52" s="160"/>
      <c r="T52" s="164"/>
      <c r="U52" s="137"/>
      <c r="Y52" s="90"/>
      <c r="Z52" s="90"/>
      <c r="AA52" s="90"/>
    </row>
    <row r="53" spans="1:27" s="91" customFormat="1" ht="33.75" customHeight="1">
      <c r="A53" s="161"/>
      <c r="B53" s="277"/>
      <c r="C53" s="162"/>
      <c r="D53" s="160"/>
      <c r="E53" s="162"/>
      <c r="F53" s="162"/>
      <c r="G53" s="237"/>
      <c r="H53" s="278"/>
      <c r="I53" s="279"/>
      <c r="J53" s="167"/>
      <c r="K53" s="167"/>
      <c r="L53" s="162"/>
      <c r="M53" s="167"/>
      <c r="N53" s="167"/>
      <c r="O53" s="167"/>
      <c r="P53" s="160"/>
      <c r="Q53" s="160"/>
      <c r="R53" s="164"/>
      <c r="S53" s="160"/>
      <c r="T53" s="164"/>
      <c r="U53" s="137"/>
      <c r="V53" s="25"/>
      <c r="W53" s="25"/>
      <c r="X53" s="25"/>
      <c r="Y53" s="90"/>
      <c r="Z53" s="90"/>
      <c r="AA53" s="90"/>
    </row>
    <row r="54" spans="1:27" s="25" customFormat="1" ht="33.75" customHeight="1">
      <c r="A54" s="161"/>
      <c r="B54" s="277"/>
      <c r="C54" s="162"/>
      <c r="D54" s="160"/>
      <c r="E54" s="162"/>
      <c r="F54" s="162"/>
      <c r="G54" s="237"/>
      <c r="H54" s="278"/>
      <c r="I54" s="279"/>
      <c r="J54" s="167"/>
      <c r="K54" s="167"/>
      <c r="L54" s="162"/>
      <c r="M54" s="167"/>
      <c r="N54" s="167"/>
      <c r="O54" s="167"/>
      <c r="P54" s="160"/>
      <c r="Q54" s="160"/>
      <c r="R54" s="164"/>
      <c r="S54" s="160"/>
      <c r="T54" s="164"/>
      <c r="U54" s="137"/>
      <c r="Y54" s="90"/>
      <c r="Z54" s="90"/>
      <c r="AA54" s="90"/>
    </row>
    <row r="55" spans="1:27" s="25" customFormat="1" ht="33.75" customHeight="1">
      <c r="A55" s="161"/>
      <c r="B55" s="277"/>
      <c r="C55" s="162"/>
      <c r="D55" s="160"/>
      <c r="E55" s="162"/>
      <c r="F55" s="162"/>
      <c r="G55" s="237"/>
      <c r="H55" s="278"/>
      <c r="I55" s="279"/>
      <c r="J55" s="167"/>
      <c r="K55" s="167"/>
      <c r="L55" s="162"/>
      <c r="M55" s="167"/>
      <c r="N55" s="167"/>
      <c r="O55" s="167"/>
      <c r="P55" s="160"/>
      <c r="Q55" s="160"/>
      <c r="R55" s="164"/>
      <c r="S55" s="160"/>
      <c r="T55" s="164"/>
      <c r="U55" s="137"/>
      <c r="Y55" s="90"/>
      <c r="Z55" s="90"/>
      <c r="AA55" s="90"/>
    </row>
    <row r="56" spans="1:27" s="91" customFormat="1" ht="33.75" customHeight="1">
      <c r="A56" s="161"/>
      <c r="B56" s="277"/>
      <c r="C56" s="234"/>
      <c r="D56" s="236"/>
      <c r="E56" s="234"/>
      <c r="F56" s="234"/>
      <c r="G56" s="165"/>
      <c r="H56" s="280"/>
      <c r="I56" s="279"/>
      <c r="J56" s="166"/>
      <c r="K56" s="166"/>
      <c r="L56" s="234"/>
      <c r="M56" s="166"/>
      <c r="N56" s="166"/>
      <c r="O56" s="166"/>
      <c r="P56" s="236"/>
      <c r="Q56" s="236"/>
      <c r="R56" s="235"/>
      <c r="S56" s="236"/>
      <c r="T56" s="235"/>
      <c r="U56" s="137"/>
      <c r="V56" s="25"/>
      <c r="W56" s="25"/>
      <c r="X56" s="25"/>
      <c r="Y56" s="90"/>
      <c r="Z56" s="90"/>
      <c r="AA56" s="90"/>
    </row>
    <row r="57" spans="1:27" s="91" customFormat="1" ht="33.75" customHeight="1">
      <c r="A57" s="161"/>
      <c r="B57" s="277"/>
      <c r="C57" s="234"/>
      <c r="D57" s="236"/>
      <c r="E57" s="234"/>
      <c r="F57" s="234"/>
      <c r="G57" s="165"/>
      <c r="H57" s="280"/>
      <c r="I57" s="279"/>
      <c r="J57" s="166"/>
      <c r="K57" s="166"/>
      <c r="L57" s="234"/>
      <c r="M57" s="166"/>
      <c r="N57" s="166"/>
      <c r="O57" s="166"/>
      <c r="P57" s="236"/>
      <c r="Q57" s="236"/>
      <c r="R57" s="235"/>
      <c r="S57" s="236"/>
      <c r="T57" s="235"/>
      <c r="U57" s="137"/>
      <c r="V57" s="25"/>
      <c r="W57" s="25"/>
      <c r="X57" s="25"/>
      <c r="Y57" s="90"/>
      <c r="Z57" s="90"/>
      <c r="AA57" s="90"/>
    </row>
    <row r="58" spans="1:27" s="91" customFormat="1" ht="33.75" customHeight="1">
      <c r="A58" s="161"/>
      <c r="B58" s="277"/>
      <c r="C58" s="162"/>
      <c r="D58" s="160"/>
      <c r="E58" s="162"/>
      <c r="F58" s="162"/>
      <c r="G58" s="237"/>
      <c r="H58" s="278"/>
      <c r="I58" s="279"/>
      <c r="J58" s="167"/>
      <c r="K58" s="167"/>
      <c r="L58" s="162"/>
      <c r="M58" s="167"/>
      <c r="N58" s="166"/>
      <c r="O58" s="166"/>
      <c r="P58" s="160"/>
      <c r="Q58" s="160"/>
      <c r="R58" s="164"/>
      <c r="S58" s="160"/>
      <c r="T58" s="164"/>
      <c r="U58" s="137"/>
      <c r="V58" s="25"/>
      <c r="W58" s="25"/>
      <c r="X58" s="25"/>
      <c r="Y58" s="90"/>
      <c r="Z58" s="90"/>
      <c r="AA58" s="90"/>
    </row>
    <row r="59" spans="1:27" s="91" customFormat="1" ht="33.75" customHeight="1">
      <c r="A59" s="161"/>
      <c r="B59" s="277"/>
      <c r="C59" s="162"/>
      <c r="D59" s="160"/>
      <c r="E59" s="162"/>
      <c r="F59" s="162"/>
      <c r="G59" s="237"/>
      <c r="H59" s="278"/>
      <c r="I59" s="279"/>
      <c r="J59" s="167"/>
      <c r="K59" s="167"/>
      <c r="L59" s="162"/>
      <c r="M59" s="167"/>
      <c r="N59" s="167"/>
      <c r="O59" s="167"/>
      <c r="P59" s="160"/>
      <c r="Q59" s="160"/>
      <c r="R59" s="164"/>
      <c r="S59" s="160"/>
      <c r="T59" s="164"/>
      <c r="U59" s="137"/>
      <c r="V59" s="25"/>
      <c r="W59" s="25"/>
      <c r="X59" s="25"/>
      <c r="Y59" s="90"/>
      <c r="Z59" s="90"/>
      <c r="AA59" s="90"/>
    </row>
    <row r="60" spans="1:27" s="91" customFormat="1" ht="33.75" customHeight="1">
      <c r="A60" s="161"/>
      <c r="B60" s="277"/>
      <c r="C60" s="162"/>
      <c r="D60" s="160"/>
      <c r="E60" s="162"/>
      <c r="F60" s="162"/>
      <c r="G60" s="237"/>
      <c r="H60" s="278"/>
      <c r="I60" s="279"/>
      <c r="J60" s="167"/>
      <c r="K60" s="166"/>
      <c r="L60" s="234"/>
      <c r="M60" s="166"/>
      <c r="N60" s="167"/>
      <c r="O60" s="167"/>
      <c r="P60" s="160"/>
      <c r="Q60" s="160"/>
      <c r="R60" s="164"/>
      <c r="S60" s="160"/>
      <c r="T60" s="164"/>
      <c r="U60" s="137"/>
      <c r="V60" s="25"/>
      <c r="W60" s="25"/>
      <c r="X60" s="25"/>
      <c r="Y60" s="90"/>
      <c r="Z60" s="90"/>
      <c r="AA60" s="90"/>
    </row>
    <row r="61" spans="1:27" s="25" customFormat="1" ht="33.75" customHeight="1">
      <c r="A61" s="161"/>
      <c r="B61" s="277"/>
      <c r="C61" s="162"/>
      <c r="D61" s="160"/>
      <c r="E61" s="162"/>
      <c r="F61" s="162"/>
      <c r="G61" s="237"/>
      <c r="H61" s="278"/>
      <c r="I61" s="279"/>
      <c r="J61" s="167"/>
      <c r="K61" s="167"/>
      <c r="L61" s="162"/>
      <c r="M61" s="167"/>
      <c r="N61" s="167"/>
      <c r="O61" s="167"/>
      <c r="P61" s="160"/>
      <c r="Q61" s="160"/>
      <c r="R61" s="164"/>
      <c r="S61" s="160"/>
      <c r="T61" s="164"/>
      <c r="U61" s="137"/>
      <c r="Y61" s="90"/>
      <c r="Z61" s="90"/>
      <c r="AA61" s="90"/>
    </row>
    <row r="62" spans="1:27" s="91" customFormat="1" ht="33.75" customHeight="1">
      <c r="A62" s="161"/>
      <c r="B62" s="277"/>
      <c r="C62" s="162"/>
      <c r="D62" s="160"/>
      <c r="E62" s="162"/>
      <c r="F62" s="162"/>
      <c r="G62" s="237"/>
      <c r="H62" s="278"/>
      <c r="I62" s="279"/>
      <c r="J62" s="167"/>
      <c r="K62" s="167"/>
      <c r="L62" s="162"/>
      <c r="M62" s="167"/>
      <c r="N62" s="167"/>
      <c r="O62" s="167"/>
      <c r="P62" s="160"/>
      <c r="Q62" s="160"/>
      <c r="R62" s="164"/>
      <c r="S62" s="160"/>
      <c r="T62" s="164"/>
      <c r="U62" s="137"/>
      <c r="V62" s="25"/>
      <c r="W62" s="25"/>
      <c r="X62" s="25"/>
      <c r="Y62" s="90"/>
      <c r="Z62" s="90"/>
      <c r="AA62" s="90"/>
    </row>
    <row r="63" spans="1:27" s="25" customFormat="1" ht="33.75" customHeight="1">
      <c r="A63" s="161"/>
      <c r="B63" s="277"/>
      <c r="C63" s="162"/>
      <c r="D63" s="160"/>
      <c r="E63" s="162"/>
      <c r="F63" s="162"/>
      <c r="G63" s="237"/>
      <c r="H63" s="278"/>
      <c r="I63" s="279"/>
      <c r="J63" s="167"/>
      <c r="K63" s="167"/>
      <c r="L63" s="162"/>
      <c r="M63" s="167"/>
      <c r="N63" s="167"/>
      <c r="O63" s="167"/>
      <c r="P63" s="160"/>
      <c r="Q63" s="160"/>
      <c r="R63" s="164"/>
      <c r="S63" s="160"/>
      <c r="T63" s="164"/>
      <c r="U63" s="137"/>
      <c r="Y63" s="90"/>
      <c r="Z63" s="90"/>
      <c r="AA63" s="90"/>
    </row>
    <row r="64" spans="1:27" s="91" customFormat="1" ht="33.75" customHeight="1">
      <c r="A64" s="161"/>
      <c r="B64" s="277"/>
      <c r="C64" s="234"/>
      <c r="D64" s="236"/>
      <c r="E64" s="234"/>
      <c r="F64" s="234"/>
      <c r="G64" s="165"/>
      <c r="H64" s="280"/>
      <c r="I64" s="279"/>
      <c r="J64" s="166"/>
      <c r="K64" s="166"/>
      <c r="L64" s="234"/>
      <c r="M64" s="166"/>
      <c r="N64" s="166"/>
      <c r="O64" s="166"/>
      <c r="P64" s="236"/>
      <c r="Q64" s="236"/>
      <c r="R64" s="235"/>
      <c r="S64" s="236"/>
      <c r="T64" s="235"/>
      <c r="U64" s="137"/>
      <c r="V64" s="25"/>
      <c r="W64" s="25"/>
      <c r="X64" s="25"/>
      <c r="Y64" s="90"/>
      <c r="Z64" s="90"/>
      <c r="AA64" s="90"/>
    </row>
    <row r="65" spans="1:27" s="91" customFormat="1" ht="33.75" customHeight="1">
      <c r="A65" s="161"/>
      <c r="B65" s="277"/>
      <c r="C65" s="234"/>
      <c r="D65" s="236"/>
      <c r="E65" s="234"/>
      <c r="F65" s="234"/>
      <c r="G65" s="165"/>
      <c r="H65" s="280"/>
      <c r="I65" s="279"/>
      <c r="J65" s="166"/>
      <c r="K65" s="166"/>
      <c r="L65" s="234"/>
      <c r="M65" s="166"/>
      <c r="N65" s="166"/>
      <c r="O65" s="166"/>
      <c r="P65" s="236"/>
      <c r="Q65" s="236"/>
      <c r="R65" s="235"/>
      <c r="S65" s="236"/>
      <c r="T65" s="235"/>
      <c r="U65" s="137"/>
      <c r="V65" s="25"/>
      <c r="W65" s="25"/>
      <c r="X65" s="25"/>
      <c r="Y65" s="90"/>
      <c r="Z65" s="90"/>
      <c r="AA65" s="90"/>
    </row>
    <row r="66" spans="1:27" s="91" customFormat="1" ht="33.75" customHeight="1">
      <c r="A66" s="161"/>
      <c r="B66" s="277"/>
      <c r="C66" s="234"/>
      <c r="D66" s="236"/>
      <c r="E66" s="234"/>
      <c r="F66" s="234"/>
      <c r="G66" s="165"/>
      <c r="H66" s="280"/>
      <c r="I66" s="279"/>
      <c r="J66" s="166"/>
      <c r="K66" s="166"/>
      <c r="L66" s="234"/>
      <c r="M66" s="166"/>
      <c r="N66" s="166"/>
      <c r="O66" s="166"/>
      <c r="P66" s="236"/>
      <c r="Q66" s="236"/>
      <c r="R66" s="235"/>
      <c r="S66" s="236"/>
      <c r="T66" s="235"/>
      <c r="U66" s="137"/>
      <c r="V66" s="25"/>
      <c r="W66" s="25"/>
      <c r="X66" s="25"/>
      <c r="Y66" s="90"/>
      <c r="Z66" s="90"/>
      <c r="AA66" s="90"/>
    </row>
    <row r="67" spans="1:27" s="91" customFormat="1" ht="33.75" customHeight="1">
      <c r="A67" s="161"/>
      <c r="B67" s="277"/>
      <c r="C67" s="162"/>
      <c r="D67" s="160"/>
      <c r="E67" s="162"/>
      <c r="F67" s="162"/>
      <c r="G67" s="237"/>
      <c r="H67" s="278"/>
      <c r="I67" s="279"/>
      <c r="J67" s="166"/>
      <c r="K67" s="166"/>
      <c r="L67" s="234"/>
      <c r="M67" s="166"/>
      <c r="N67" s="166"/>
      <c r="O67" s="166"/>
      <c r="P67" s="236"/>
      <c r="Q67" s="236"/>
      <c r="R67" s="164"/>
      <c r="S67" s="160"/>
      <c r="T67" s="164"/>
      <c r="U67" s="137"/>
      <c r="V67" s="25"/>
      <c r="W67" s="25"/>
      <c r="X67" s="25"/>
      <c r="Y67" s="90"/>
      <c r="Z67" s="90"/>
      <c r="AA67" s="90"/>
    </row>
    <row r="68" spans="1:27" s="25" customFormat="1" ht="33.75" customHeight="1">
      <c r="A68" s="161"/>
      <c r="B68" s="277"/>
      <c r="C68" s="162"/>
      <c r="D68" s="160"/>
      <c r="E68" s="162"/>
      <c r="F68" s="162"/>
      <c r="G68" s="237"/>
      <c r="H68" s="278"/>
      <c r="I68" s="279"/>
      <c r="J68" s="167"/>
      <c r="K68" s="167"/>
      <c r="L68" s="162"/>
      <c r="M68" s="167"/>
      <c r="N68" s="167"/>
      <c r="O68" s="167"/>
      <c r="P68" s="160"/>
      <c r="Q68" s="160"/>
      <c r="R68" s="164"/>
      <c r="S68" s="160"/>
      <c r="T68" s="164"/>
      <c r="U68" s="137"/>
      <c r="Y68" s="90"/>
      <c r="Z68" s="90"/>
      <c r="AA68" s="90"/>
    </row>
    <row r="69" spans="1:27" s="25" customFormat="1" ht="33.75" customHeight="1">
      <c r="A69" s="163"/>
      <c r="B69" s="162"/>
      <c r="C69" s="279"/>
      <c r="D69" s="279"/>
      <c r="E69" s="279"/>
      <c r="F69" s="279"/>
      <c r="G69" s="279"/>
      <c r="H69" s="279"/>
      <c r="I69" s="279"/>
      <c r="J69" s="166"/>
      <c r="K69" s="166"/>
      <c r="L69" s="279"/>
      <c r="M69" s="166"/>
      <c r="N69" s="166"/>
      <c r="O69" s="166"/>
      <c r="P69" s="279"/>
      <c r="Q69" s="279"/>
      <c r="R69" s="281"/>
      <c r="S69" s="281"/>
      <c r="T69" s="281"/>
    </row>
    <row r="70" spans="1:27" s="91" customFormat="1" ht="33.75" customHeight="1">
      <c r="A70" s="163"/>
      <c r="B70" s="162"/>
      <c r="C70" s="279"/>
      <c r="D70" s="279"/>
      <c r="E70" s="279"/>
      <c r="F70" s="279"/>
      <c r="G70" s="279"/>
      <c r="H70" s="279"/>
      <c r="I70" s="279"/>
      <c r="J70" s="166"/>
      <c r="K70" s="166"/>
      <c r="L70" s="279"/>
      <c r="M70" s="166"/>
      <c r="N70" s="166"/>
      <c r="O70" s="166"/>
      <c r="P70" s="279"/>
      <c r="Q70" s="279"/>
      <c r="R70" s="281"/>
      <c r="S70" s="281"/>
      <c r="T70" s="281"/>
      <c r="V70" s="25" t="str">
        <f t="shared" ref="V70:V133" ca="1" si="0">IF(TODAY()&gt;M70,"완료","진행")</f>
        <v>완료</v>
      </c>
      <c r="W70" s="25">
        <f t="shared" ref="W70:W133" si="1">C70</f>
        <v>0</v>
      </c>
      <c r="X70" s="25" t="str">
        <f t="shared" ref="X70:X133" si="2">IF(O70&gt;0,"완료","진행")</f>
        <v>진행</v>
      </c>
    </row>
    <row r="71" spans="1:27" s="91" customFormat="1" ht="33.75" customHeight="1">
      <c r="A71" s="163"/>
      <c r="B71" s="162"/>
      <c r="C71" s="279"/>
      <c r="D71" s="279"/>
      <c r="E71" s="279"/>
      <c r="F71" s="279"/>
      <c r="G71" s="279"/>
      <c r="H71" s="279"/>
      <c r="I71" s="279"/>
      <c r="J71" s="166"/>
      <c r="K71" s="166"/>
      <c r="L71" s="279"/>
      <c r="M71" s="166"/>
      <c r="N71" s="166"/>
      <c r="O71" s="166"/>
      <c r="P71" s="279"/>
      <c r="Q71" s="279"/>
      <c r="R71" s="281"/>
      <c r="S71" s="281"/>
      <c r="T71" s="281"/>
      <c r="V71" s="25" t="str">
        <f t="shared" ca="1" si="0"/>
        <v>완료</v>
      </c>
      <c r="W71" s="25">
        <f t="shared" si="1"/>
        <v>0</v>
      </c>
      <c r="X71" s="25" t="str">
        <f t="shared" si="2"/>
        <v>진행</v>
      </c>
    </row>
    <row r="72" spans="1:27" s="25" customFormat="1" ht="33.75" customHeight="1">
      <c r="A72" s="163"/>
      <c r="B72" s="162"/>
      <c r="C72" s="162"/>
      <c r="D72" s="162"/>
      <c r="E72" s="162"/>
      <c r="F72" s="162"/>
      <c r="G72" s="278"/>
      <c r="H72" s="278"/>
      <c r="I72" s="279"/>
      <c r="J72" s="162"/>
      <c r="K72" s="162"/>
      <c r="L72" s="162"/>
      <c r="M72" s="162"/>
      <c r="N72" s="162"/>
      <c r="O72" s="162"/>
      <c r="P72" s="162"/>
      <c r="Q72" s="162"/>
      <c r="R72" s="164"/>
      <c r="S72" s="164"/>
      <c r="T72" s="164"/>
      <c r="V72" s="25" t="str">
        <f t="shared" ca="1" si="0"/>
        <v>완료</v>
      </c>
      <c r="W72" s="25">
        <f t="shared" si="1"/>
        <v>0</v>
      </c>
      <c r="X72" s="25" t="str">
        <f t="shared" si="2"/>
        <v>진행</v>
      </c>
    </row>
    <row r="73" spans="1:27" s="25" customFormat="1" ht="33.75" customHeight="1">
      <c r="A73" s="163"/>
      <c r="B73" s="162"/>
      <c r="C73" s="279"/>
      <c r="D73" s="279"/>
      <c r="E73" s="279"/>
      <c r="F73" s="279"/>
      <c r="G73" s="279"/>
      <c r="H73" s="279"/>
      <c r="I73" s="279"/>
      <c r="J73" s="166"/>
      <c r="K73" s="166"/>
      <c r="L73" s="279"/>
      <c r="M73" s="166"/>
      <c r="N73" s="166"/>
      <c r="O73" s="166"/>
      <c r="P73" s="279"/>
      <c r="Q73" s="279"/>
      <c r="R73" s="281"/>
      <c r="S73" s="281"/>
      <c r="T73" s="281"/>
      <c r="V73" s="25" t="str">
        <f t="shared" ca="1" si="0"/>
        <v>완료</v>
      </c>
      <c r="W73" s="25">
        <f t="shared" si="1"/>
        <v>0</v>
      </c>
      <c r="X73" s="25" t="str">
        <f t="shared" si="2"/>
        <v>진행</v>
      </c>
    </row>
    <row r="74" spans="1:27" s="25" customFormat="1" ht="33.75" customHeight="1">
      <c r="A74" s="163"/>
      <c r="B74" s="162"/>
      <c r="C74" s="162"/>
      <c r="D74" s="162"/>
      <c r="E74" s="162"/>
      <c r="F74" s="162"/>
      <c r="G74" s="278"/>
      <c r="H74" s="278"/>
      <c r="I74" s="279"/>
      <c r="J74" s="162"/>
      <c r="K74" s="162"/>
      <c r="L74" s="162"/>
      <c r="M74" s="162"/>
      <c r="N74" s="162"/>
      <c r="O74" s="162"/>
      <c r="P74" s="162"/>
      <c r="Q74" s="162"/>
      <c r="R74" s="164"/>
      <c r="S74" s="164"/>
      <c r="T74" s="164"/>
      <c r="V74" s="25" t="str">
        <f t="shared" ca="1" si="0"/>
        <v>완료</v>
      </c>
      <c r="W74" s="25">
        <f t="shared" si="1"/>
        <v>0</v>
      </c>
      <c r="X74" s="25" t="str">
        <f t="shared" si="2"/>
        <v>진행</v>
      </c>
    </row>
    <row r="75" spans="1:27" s="25" customFormat="1" ht="33.75" customHeight="1">
      <c r="A75" s="163"/>
      <c r="B75" s="162"/>
      <c r="C75" s="162"/>
      <c r="D75" s="162"/>
      <c r="E75" s="162"/>
      <c r="F75" s="162"/>
      <c r="G75" s="278"/>
      <c r="H75" s="278"/>
      <c r="I75" s="279"/>
      <c r="J75" s="167"/>
      <c r="K75" s="167"/>
      <c r="L75" s="162"/>
      <c r="M75" s="167"/>
      <c r="N75" s="162"/>
      <c r="O75" s="162"/>
      <c r="P75" s="162"/>
      <c r="Q75" s="162"/>
      <c r="R75" s="164"/>
      <c r="S75" s="164"/>
      <c r="T75" s="164"/>
      <c r="V75" s="25" t="str">
        <f t="shared" ca="1" si="0"/>
        <v>완료</v>
      </c>
      <c r="W75" s="25">
        <f t="shared" si="1"/>
        <v>0</v>
      </c>
      <c r="X75" s="25" t="str">
        <f t="shared" si="2"/>
        <v>진행</v>
      </c>
    </row>
    <row r="76" spans="1:27" s="25" customFormat="1" ht="33.75" customHeight="1">
      <c r="A76" s="163"/>
      <c r="B76" s="162"/>
      <c r="C76" s="162"/>
      <c r="D76" s="162"/>
      <c r="E76" s="162"/>
      <c r="F76" s="162"/>
      <c r="G76" s="278"/>
      <c r="H76" s="278"/>
      <c r="I76" s="279"/>
      <c r="J76" s="162"/>
      <c r="K76" s="162"/>
      <c r="L76" s="162"/>
      <c r="M76" s="162"/>
      <c r="N76" s="162"/>
      <c r="O76" s="162"/>
      <c r="P76" s="162"/>
      <c r="Q76" s="162"/>
      <c r="R76" s="164"/>
      <c r="S76" s="164"/>
      <c r="T76" s="164"/>
      <c r="V76" s="25" t="str">
        <f t="shared" ca="1" si="0"/>
        <v>완료</v>
      </c>
      <c r="W76" s="25">
        <f t="shared" si="1"/>
        <v>0</v>
      </c>
      <c r="X76" s="25" t="str">
        <f t="shared" si="2"/>
        <v>진행</v>
      </c>
    </row>
    <row r="77" spans="1:27" s="91" customFormat="1" ht="33.75" customHeight="1">
      <c r="A77" s="163"/>
      <c r="B77" s="162"/>
      <c r="C77" s="279"/>
      <c r="D77" s="279"/>
      <c r="E77" s="279"/>
      <c r="F77" s="279"/>
      <c r="G77" s="279"/>
      <c r="H77" s="279"/>
      <c r="I77" s="279"/>
      <c r="J77" s="166"/>
      <c r="K77" s="166"/>
      <c r="L77" s="279"/>
      <c r="M77" s="166"/>
      <c r="N77" s="166"/>
      <c r="O77" s="166"/>
      <c r="P77" s="279"/>
      <c r="Q77" s="279"/>
      <c r="R77" s="281"/>
      <c r="S77" s="281"/>
      <c r="T77" s="281"/>
      <c r="V77" s="25" t="str">
        <f t="shared" ca="1" si="0"/>
        <v>완료</v>
      </c>
      <c r="W77" s="25">
        <f t="shared" si="1"/>
        <v>0</v>
      </c>
      <c r="X77" s="25" t="str">
        <f t="shared" si="2"/>
        <v>진행</v>
      </c>
    </row>
    <row r="78" spans="1:27" s="25" customFormat="1" ht="33.75" customHeight="1">
      <c r="A78" s="163"/>
      <c r="B78" s="162"/>
      <c r="C78" s="162"/>
      <c r="D78" s="162"/>
      <c r="E78" s="162"/>
      <c r="F78" s="162"/>
      <c r="G78" s="278"/>
      <c r="H78" s="278"/>
      <c r="I78" s="279"/>
      <c r="J78" s="162"/>
      <c r="K78" s="162"/>
      <c r="L78" s="162"/>
      <c r="M78" s="162"/>
      <c r="N78" s="162"/>
      <c r="O78" s="162"/>
      <c r="P78" s="162"/>
      <c r="Q78" s="162"/>
      <c r="R78" s="164"/>
      <c r="S78" s="164"/>
      <c r="T78" s="164"/>
      <c r="V78" s="25" t="str">
        <f t="shared" ca="1" si="0"/>
        <v>완료</v>
      </c>
      <c r="W78" s="25">
        <f t="shared" si="1"/>
        <v>0</v>
      </c>
      <c r="X78" s="25" t="str">
        <f t="shared" si="2"/>
        <v>진행</v>
      </c>
    </row>
    <row r="79" spans="1:27" s="91" customFormat="1" ht="33.75" customHeight="1">
      <c r="A79" s="163"/>
      <c r="B79" s="162"/>
      <c r="C79" s="279"/>
      <c r="D79" s="279"/>
      <c r="E79" s="279"/>
      <c r="F79" s="279"/>
      <c r="G79" s="279"/>
      <c r="H79" s="279"/>
      <c r="I79" s="279"/>
      <c r="J79" s="166"/>
      <c r="K79" s="166"/>
      <c r="L79" s="279"/>
      <c r="M79" s="166"/>
      <c r="N79" s="166"/>
      <c r="O79" s="166"/>
      <c r="P79" s="279"/>
      <c r="Q79" s="279"/>
      <c r="R79" s="281"/>
      <c r="S79" s="281"/>
      <c r="T79" s="281"/>
      <c r="V79" s="25" t="str">
        <f t="shared" ca="1" si="0"/>
        <v>완료</v>
      </c>
      <c r="W79" s="25">
        <f t="shared" si="1"/>
        <v>0</v>
      </c>
      <c r="X79" s="25" t="str">
        <f t="shared" si="2"/>
        <v>진행</v>
      </c>
    </row>
    <row r="80" spans="1:27" s="91" customFormat="1" ht="33.75" customHeight="1">
      <c r="A80" s="163"/>
      <c r="B80" s="162"/>
      <c r="C80" s="279"/>
      <c r="D80" s="279"/>
      <c r="E80" s="279"/>
      <c r="F80" s="279"/>
      <c r="G80" s="279"/>
      <c r="H80" s="279"/>
      <c r="I80" s="279"/>
      <c r="J80" s="166"/>
      <c r="K80" s="166"/>
      <c r="L80" s="279"/>
      <c r="M80" s="166"/>
      <c r="N80" s="166"/>
      <c r="O80" s="166"/>
      <c r="P80" s="279"/>
      <c r="Q80" s="279"/>
      <c r="R80" s="281"/>
      <c r="S80" s="281"/>
      <c r="T80" s="281"/>
      <c r="V80" s="25" t="str">
        <f t="shared" ca="1" si="0"/>
        <v>완료</v>
      </c>
      <c r="W80" s="25">
        <f t="shared" si="1"/>
        <v>0</v>
      </c>
      <c r="X80" s="25" t="str">
        <f t="shared" si="2"/>
        <v>진행</v>
      </c>
    </row>
    <row r="81" spans="1:24" s="91" customFormat="1" ht="33.75" customHeight="1">
      <c r="A81" s="163"/>
      <c r="B81" s="162"/>
      <c r="C81" s="162"/>
      <c r="D81" s="162"/>
      <c r="E81" s="162"/>
      <c r="F81" s="162"/>
      <c r="G81" s="278"/>
      <c r="H81" s="278"/>
      <c r="I81" s="279"/>
      <c r="J81" s="166"/>
      <c r="K81" s="162"/>
      <c r="L81" s="162"/>
      <c r="M81" s="166"/>
      <c r="N81" s="162"/>
      <c r="O81" s="162"/>
      <c r="P81" s="162"/>
      <c r="Q81" s="162"/>
      <c r="R81" s="164"/>
      <c r="S81" s="164"/>
      <c r="T81" s="164"/>
      <c r="U81" s="92"/>
      <c r="V81" s="25" t="str">
        <f t="shared" ca="1" si="0"/>
        <v>완료</v>
      </c>
      <c r="W81" s="25">
        <f t="shared" si="1"/>
        <v>0</v>
      </c>
      <c r="X81" s="25" t="str">
        <f t="shared" si="2"/>
        <v>진행</v>
      </c>
    </row>
    <row r="82" spans="1:24" s="91" customFormat="1" ht="33.75" customHeight="1">
      <c r="A82" s="163"/>
      <c r="B82" s="162"/>
      <c r="C82" s="162"/>
      <c r="D82" s="162"/>
      <c r="E82" s="279"/>
      <c r="F82" s="279"/>
      <c r="G82" s="279"/>
      <c r="H82" s="279"/>
      <c r="I82" s="279"/>
      <c r="J82" s="166"/>
      <c r="K82" s="166"/>
      <c r="L82" s="279"/>
      <c r="M82" s="166"/>
      <c r="N82" s="166"/>
      <c r="O82" s="166"/>
      <c r="P82" s="279"/>
      <c r="Q82" s="279"/>
      <c r="R82" s="281"/>
      <c r="S82" s="281"/>
      <c r="T82" s="281"/>
      <c r="U82" s="92"/>
      <c r="V82" s="25" t="str">
        <f t="shared" ca="1" si="0"/>
        <v>완료</v>
      </c>
      <c r="W82" s="25">
        <f t="shared" si="1"/>
        <v>0</v>
      </c>
      <c r="X82" s="25" t="str">
        <f t="shared" si="2"/>
        <v>진행</v>
      </c>
    </row>
    <row r="83" spans="1:24" s="25" customFormat="1" ht="33.75" customHeight="1">
      <c r="A83" s="163"/>
      <c r="B83" s="162"/>
      <c r="C83" s="279"/>
      <c r="D83" s="279"/>
      <c r="E83" s="279"/>
      <c r="F83" s="279"/>
      <c r="G83" s="279"/>
      <c r="H83" s="279"/>
      <c r="I83" s="279"/>
      <c r="J83" s="166"/>
      <c r="K83" s="166"/>
      <c r="L83" s="279"/>
      <c r="M83" s="166"/>
      <c r="N83" s="166"/>
      <c r="O83" s="166"/>
      <c r="P83" s="279"/>
      <c r="Q83" s="279"/>
      <c r="R83" s="281"/>
      <c r="S83" s="281"/>
      <c r="T83" s="281"/>
      <c r="U83" s="87"/>
      <c r="V83" s="25" t="str">
        <f t="shared" ca="1" si="0"/>
        <v>완료</v>
      </c>
      <c r="W83" s="25">
        <f t="shared" si="1"/>
        <v>0</v>
      </c>
      <c r="X83" s="25" t="str">
        <f t="shared" si="2"/>
        <v>진행</v>
      </c>
    </row>
    <row r="84" spans="1:24" s="25" customFormat="1" ht="33.75" customHeight="1">
      <c r="A84" s="163"/>
      <c r="B84" s="162"/>
      <c r="C84" s="279"/>
      <c r="D84" s="279"/>
      <c r="E84" s="279"/>
      <c r="F84" s="279"/>
      <c r="G84" s="279"/>
      <c r="H84" s="279"/>
      <c r="I84" s="279"/>
      <c r="J84" s="166"/>
      <c r="K84" s="166"/>
      <c r="L84" s="279"/>
      <c r="M84" s="166"/>
      <c r="N84" s="166"/>
      <c r="O84" s="166"/>
      <c r="P84" s="279"/>
      <c r="Q84" s="279"/>
      <c r="R84" s="281"/>
      <c r="S84" s="281"/>
      <c r="T84" s="281"/>
      <c r="U84" s="87"/>
      <c r="V84" s="25" t="str">
        <f t="shared" ca="1" si="0"/>
        <v>완료</v>
      </c>
      <c r="W84" s="25">
        <f t="shared" si="1"/>
        <v>0</v>
      </c>
      <c r="X84" s="25" t="str">
        <f t="shared" si="2"/>
        <v>진행</v>
      </c>
    </row>
    <row r="85" spans="1:24" s="25" customFormat="1" ht="33.75" customHeight="1">
      <c r="A85" s="163"/>
      <c r="B85" s="162"/>
      <c r="C85" s="162"/>
      <c r="D85" s="162"/>
      <c r="E85" s="162"/>
      <c r="F85" s="162"/>
      <c r="G85" s="278"/>
      <c r="H85" s="278"/>
      <c r="I85" s="279"/>
      <c r="J85" s="162"/>
      <c r="K85" s="162"/>
      <c r="L85" s="162"/>
      <c r="M85" s="162"/>
      <c r="N85" s="162"/>
      <c r="O85" s="162"/>
      <c r="P85" s="162"/>
      <c r="Q85" s="162"/>
      <c r="R85" s="164"/>
      <c r="S85" s="164"/>
      <c r="T85" s="164"/>
      <c r="V85" s="25" t="str">
        <f t="shared" ca="1" si="0"/>
        <v>완료</v>
      </c>
      <c r="W85" s="25">
        <f t="shared" si="1"/>
        <v>0</v>
      </c>
      <c r="X85" s="25" t="str">
        <f t="shared" si="2"/>
        <v>진행</v>
      </c>
    </row>
    <row r="86" spans="1:24" s="25" customFormat="1" ht="33.75" customHeight="1">
      <c r="A86" s="163"/>
      <c r="B86" s="162"/>
      <c r="C86" s="279"/>
      <c r="D86" s="279"/>
      <c r="E86" s="279"/>
      <c r="F86" s="279"/>
      <c r="G86" s="279"/>
      <c r="H86" s="279"/>
      <c r="I86" s="279"/>
      <c r="J86" s="166"/>
      <c r="K86" s="166"/>
      <c r="L86" s="279"/>
      <c r="M86" s="166"/>
      <c r="N86" s="166"/>
      <c r="O86" s="166"/>
      <c r="P86" s="279"/>
      <c r="Q86" s="279"/>
      <c r="R86" s="281"/>
      <c r="S86" s="281"/>
      <c r="T86" s="281"/>
      <c r="V86" s="25" t="str">
        <f t="shared" ca="1" si="0"/>
        <v>완료</v>
      </c>
      <c r="W86" s="25">
        <f t="shared" si="1"/>
        <v>0</v>
      </c>
      <c r="X86" s="25" t="str">
        <f t="shared" si="2"/>
        <v>진행</v>
      </c>
    </row>
    <row r="87" spans="1:24" s="25" customFormat="1" ht="33.75" customHeight="1">
      <c r="A87" s="163"/>
      <c r="B87" s="162"/>
      <c r="C87" s="279"/>
      <c r="D87" s="279"/>
      <c r="E87" s="279"/>
      <c r="F87" s="279"/>
      <c r="G87" s="279"/>
      <c r="H87" s="279"/>
      <c r="I87" s="279"/>
      <c r="J87" s="166"/>
      <c r="K87" s="166"/>
      <c r="L87" s="279"/>
      <c r="M87" s="166"/>
      <c r="N87" s="166"/>
      <c r="O87" s="166"/>
      <c r="P87" s="279"/>
      <c r="Q87" s="279"/>
      <c r="R87" s="281"/>
      <c r="S87" s="281"/>
      <c r="T87" s="281"/>
      <c r="V87" s="25" t="str">
        <f t="shared" ca="1" si="0"/>
        <v>완료</v>
      </c>
      <c r="W87" s="25">
        <f t="shared" si="1"/>
        <v>0</v>
      </c>
      <c r="X87" s="25" t="str">
        <f t="shared" si="2"/>
        <v>진행</v>
      </c>
    </row>
    <row r="88" spans="1:24" s="25" customFormat="1" ht="33.75" customHeight="1">
      <c r="A88" s="163"/>
      <c r="B88" s="162"/>
      <c r="C88" s="162"/>
      <c r="D88" s="162"/>
      <c r="E88" s="162"/>
      <c r="F88" s="162"/>
      <c r="G88" s="278"/>
      <c r="H88" s="278"/>
      <c r="I88" s="278"/>
      <c r="J88" s="162"/>
      <c r="K88" s="162"/>
      <c r="L88" s="162"/>
      <c r="M88" s="162"/>
      <c r="N88" s="162"/>
      <c r="O88" s="162"/>
      <c r="P88" s="162"/>
      <c r="Q88" s="162"/>
      <c r="R88" s="164"/>
      <c r="S88" s="164"/>
      <c r="T88" s="164"/>
      <c r="V88" s="25" t="str">
        <f t="shared" ca="1" si="0"/>
        <v>완료</v>
      </c>
      <c r="W88" s="25">
        <f t="shared" si="1"/>
        <v>0</v>
      </c>
      <c r="X88" s="25" t="str">
        <f t="shared" si="2"/>
        <v>진행</v>
      </c>
    </row>
    <row r="89" spans="1:24" s="25" customFormat="1" ht="33.75" customHeight="1">
      <c r="A89" s="163"/>
      <c r="B89" s="162"/>
      <c r="C89" s="279"/>
      <c r="D89" s="279"/>
      <c r="E89" s="279"/>
      <c r="F89" s="279"/>
      <c r="G89" s="279"/>
      <c r="H89" s="279"/>
      <c r="I89" s="278"/>
      <c r="J89" s="166"/>
      <c r="K89" s="166"/>
      <c r="L89" s="279"/>
      <c r="M89" s="166"/>
      <c r="N89" s="166"/>
      <c r="O89" s="166"/>
      <c r="P89" s="279"/>
      <c r="Q89" s="279"/>
      <c r="R89" s="281"/>
      <c r="S89" s="281"/>
      <c r="T89" s="281"/>
      <c r="V89" s="25" t="str">
        <f t="shared" ca="1" si="0"/>
        <v>완료</v>
      </c>
      <c r="W89" s="25">
        <f t="shared" si="1"/>
        <v>0</v>
      </c>
      <c r="X89" s="25" t="str">
        <f t="shared" si="2"/>
        <v>진행</v>
      </c>
    </row>
    <row r="90" spans="1:24" s="25" customFormat="1" ht="33.75" customHeight="1">
      <c r="A90" s="163"/>
      <c r="B90" s="162"/>
      <c r="C90" s="279"/>
      <c r="D90" s="279"/>
      <c r="E90" s="279"/>
      <c r="F90" s="279"/>
      <c r="G90" s="279"/>
      <c r="H90" s="279"/>
      <c r="I90" s="278"/>
      <c r="J90" s="166"/>
      <c r="K90" s="166"/>
      <c r="L90" s="279"/>
      <c r="M90" s="166"/>
      <c r="N90" s="166"/>
      <c r="O90" s="166"/>
      <c r="P90" s="279"/>
      <c r="Q90" s="279"/>
      <c r="R90" s="281"/>
      <c r="S90" s="281"/>
      <c r="T90" s="281"/>
      <c r="V90" s="25" t="str">
        <f t="shared" ca="1" si="0"/>
        <v>완료</v>
      </c>
      <c r="W90" s="25">
        <f t="shared" si="1"/>
        <v>0</v>
      </c>
      <c r="X90" s="25" t="str">
        <f t="shared" si="2"/>
        <v>진행</v>
      </c>
    </row>
    <row r="91" spans="1:24" s="25" customFormat="1" ht="33.75" customHeight="1">
      <c r="A91" s="163"/>
      <c r="B91" s="164"/>
      <c r="C91" s="164"/>
      <c r="D91" s="168"/>
      <c r="E91" s="164"/>
      <c r="F91" s="164"/>
      <c r="G91" s="282"/>
      <c r="H91" s="282"/>
      <c r="I91" s="282"/>
      <c r="J91" s="164"/>
      <c r="K91" s="164"/>
      <c r="L91" s="164"/>
      <c r="M91" s="164"/>
      <c r="N91" s="164"/>
      <c r="O91" s="164"/>
      <c r="P91" s="164"/>
      <c r="Q91" s="164"/>
      <c r="R91" s="164"/>
      <c r="S91" s="164"/>
      <c r="T91" s="164"/>
      <c r="V91" s="25" t="str">
        <f t="shared" ca="1" si="0"/>
        <v>완료</v>
      </c>
      <c r="W91" s="25">
        <f t="shared" si="1"/>
        <v>0</v>
      </c>
      <c r="X91" s="25" t="str">
        <f t="shared" si="2"/>
        <v>진행</v>
      </c>
    </row>
    <row r="92" spans="1:24" s="25" customFormat="1" ht="33.75" customHeight="1">
      <c r="A92" s="163"/>
      <c r="B92" s="164"/>
      <c r="C92" s="281"/>
      <c r="D92" s="283"/>
      <c r="E92" s="281"/>
      <c r="F92" s="281"/>
      <c r="G92" s="281"/>
      <c r="H92" s="281"/>
      <c r="I92" s="282"/>
      <c r="J92" s="169"/>
      <c r="K92" s="169"/>
      <c r="L92" s="281"/>
      <c r="M92" s="169"/>
      <c r="N92" s="169"/>
      <c r="O92" s="169"/>
      <c r="P92" s="281"/>
      <c r="Q92" s="281"/>
      <c r="R92" s="281"/>
      <c r="S92" s="281"/>
      <c r="T92" s="281"/>
      <c r="V92" s="25" t="str">
        <f t="shared" ca="1" si="0"/>
        <v>완료</v>
      </c>
      <c r="W92" s="25">
        <f t="shared" si="1"/>
        <v>0</v>
      </c>
      <c r="X92" s="25" t="str">
        <f t="shared" si="2"/>
        <v>진행</v>
      </c>
    </row>
    <row r="93" spans="1:24" s="25" customFormat="1" ht="33.75" customHeight="1">
      <c r="A93" s="163"/>
      <c r="B93" s="164"/>
      <c r="C93" s="164"/>
      <c r="D93" s="168"/>
      <c r="E93" s="164"/>
      <c r="F93" s="164"/>
      <c r="G93" s="282"/>
      <c r="H93" s="282"/>
      <c r="I93" s="282"/>
      <c r="J93" s="164"/>
      <c r="K93" s="164"/>
      <c r="L93" s="164"/>
      <c r="M93" s="164"/>
      <c r="N93" s="164"/>
      <c r="O93" s="164"/>
      <c r="P93" s="164"/>
      <c r="Q93" s="164"/>
      <c r="R93" s="164"/>
      <c r="S93" s="164"/>
      <c r="T93" s="164"/>
      <c r="V93" s="25" t="str">
        <f t="shared" ca="1" si="0"/>
        <v>완료</v>
      </c>
      <c r="W93" s="25">
        <f t="shared" si="1"/>
        <v>0</v>
      </c>
      <c r="X93" s="25" t="str">
        <f t="shared" si="2"/>
        <v>진행</v>
      </c>
    </row>
    <row r="94" spans="1:24" s="25" customFormat="1" ht="33.75" customHeight="1">
      <c r="A94" s="163"/>
      <c r="B94" s="164"/>
      <c r="C94" s="281"/>
      <c r="D94" s="283"/>
      <c r="E94" s="281"/>
      <c r="F94" s="281"/>
      <c r="G94" s="281"/>
      <c r="H94" s="281"/>
      <c r="I94" s="282"/>
      <c r="J94" s="169"/>
      <c r="K94" s="169"/>
      <c r="L94" s="281"/>
      <c r="M94" s="169"/>
      <c r="N94" s="169"/>
      <c r="O94" s="169"/>
      <c r="P94" s="281"/>
      <c r="Q94" s="281"/>
      <c r="R94" s="281"/>
      <c r="S94" s="281"/>
      <c r="T94" s="281"/>
      <c r="V94" s="25" t="str">
        <f t="shared" ca="1" si="0"/>
        <v>완료</v>
      </c>
      <c r="W94" s="25">
        <f t="shared" si="1"/>
        <v>0</v>
      </c>
      <c r="X94" s="25" t="str">
        <f t="shared" si="2"/>
        <v>진행</v>
      </c>
    </row>
    <row r="95" spans="1:24" s="25" customFormat="1" ht="33.75" customHeight="1">
      <c r="A95" s="163"/>
      <c r="B95" s="164"/>
      <c r="C95" s="281"/>
      <c r="D95" s="283"/>
      <c r="E95" s="281"/>
      <c r="F95" s="281"/>
      <c r="G95" s="281"/>
      <c r="H95" s="281"/>
      <c r="I95" s="282"/>
      <c r="J95" s="169"/>
      <c r="K95" s="169"/>
      <c r="L95" s="281"/>
      <c r="M95" s="169"/>
      <c r="N95" s="169"/>
      <c r="O95" s="169"/>
      <c r="P95" s="281"/>
      <c r="Q95" s="281"/>
      <c r="R95" s="281"/>
      <c r="S95" s="281"/>
      <c r="T95" s="281"/>
      <c r="V95" s="25" t="str">
        <f t="shared" ca="1" si="0"/>
        <v>완료</v>
      </c>
      <c r="W95" s="25">
        <f t="shared" si="1"/>
        <v>0</v>
      </c>
      <c r="X95" s="25" t="str">
        <f t="shared" si="2"/>
        <v>진행</v>
      </c>
    </row>
    <row r="96" spans="1:24" s="25" customFormat="1" ht="33.75" customHeight="1">
      <c r="A96" s="163"/>
      <c r="B96" s="164"/>
      <c r="C96" s="281"/>
      <c r="D96" s="283"/>
      <c r="E96" s="281"/>
      <c r="F96" s="281"/>
      <c r="G96" s="281"/>
      <c r="H96" s="281"/>
      <c r="I96" s="282"/>
      <c r="J96" s="169"/>
      <c r="K96" s="169"/>
      <c r="L96" s="281"/>
      <c r="M96" s="169"/>
      <c r="N96" s="169"/>
      <c r="O96" s="169"/>
      <c r="P96" s="281"/>
      <c r="Q96" s="281"/>
      <c r="R96" s="281"/>
      <c r="S96" s="281"/>
      <c r="T96" s="281"/>
      <c r="V96" s="25" t="str">
        <f t="shared" ca="1" si="0"/>
        <v>완료</v>
      </c>
      <c r="W96" s="25">
        <f t="shared" si="1"/>
        <v>0</v>
      </c>
      <c r="X96" s="25" t="str">
        <f t="shared" si="2"/>
        <v>진행</v>
      </c>
    </row>
    <row r="97" spans="1:24" s="25" customFormat="1" ht="33.75" customHeight="1">
      <c r="A97" s="163"/>
      <c r="B97" s="164"/>
      <c r="C97" s="281"/>
      <c r="D97" s="283"/>
      <c r="E97" s="281"/>
      <c r="F97" s="281"/>
      <c r="G97" s="281"/>
      <c r="H97" s="281"/>
      <c r="I97" s="282"/>
      <c r="J97" s="169"/>
      <c r="K97" s="169"/>
      <c r="L97" s="281"/>
      <c r="M97" s="169"/>
      <c r="N97" s="169"/>
      <c r="O97" s="169"/>
      <c r="P97" s="281"/>
      <c r="Q97" s="281"/>
      <c r="R97" s="281"/>
      <c r="S97" s="281"/>
      <c r="T97" s="281"/>
      <c r="V97" s="25" t="str">
        <f t="shared" ca="1" si="0"/>
        <v>완료</v>
      </c>
      <c r="W97" s="25">
        <f t="shared" si="1"/>
        <v>0</v>
      </c>
      <c r="X97" s="25" t="str">
        <f t="shared" si="2"/>
        <v>진행</v>
      </c>
    </row>
    <row r="98" spans="1:24" s="25" customFormat="1" ht="33.75" customHeight="1">
      <c r="A98" s="163"/>
      <c r="B98" s="164"/>
      <c r="C98" s="281"/>
      <c r="D98" s="283"/>
      <c r="E98" s="281"/>
      <c r="F98" s="281"/>
      <c r="G98" s="281"/>
      <c r="H98" s="281"/>
      <c r="I98" s="282"/>
      <c r="J98" s="169"/>
      <c r="K98" s="169"/>
      <c r="L98" s="281"/>
      <c r="M98" s="169"/>
      <c r="N98" s="169"/>
      <c r="O98" s="169"/>
      <c r="P98" s="281"/>
      <c r="Q98" s="281"/>
      <c r="R98" s="281"/>
      <c r="S98" s="281"/>
      <c r="T98" s="281"/>
      <c r="V98" s="25" t="str">
        <f t="shared" ca="1" si="0"/>
        <v>완료</v>
      </c>
      <c r="W98" s="25">
        <f t="shared" si="1"/>
        <v>0</v>
      </c>
      <c r="X98" s="25" t="str">
        <f t="shared" si="2"/>
        <v>진행</v>
      </c>
    </row>
    <row r="99" spans="1:24" s="25" customFormat="1" ht="33.75" customHeight="1">
      <c r="A99" s="163"/>
      <c r="B99" s="164"/>
      <c r="C99" s="281"/>
      <c r="D99" s="283"/>
      <c r="E99" s="281"/>
      <c r="F99" s="281"/>
      <c r="G99" s="281"/>
      <c r="H99" s="281"/>
      <c r="I99" s="282"/>
      <c r="J99" s="169"/>
      <c r="K99" s="169"/>
      <c r="L99" s="281"/>
      <c r="M99" s="169"/>
      <c r="N99" s="169"/>
      <c r="O99" s="169"/>
      <c r="P99" s="281"/>
      <c r="Q99" s="281"/>
      <c r="R99" s="281"/>
      <c r="S99" s="281"/>
      <c r="T99" s="281"/>
      <c r="V99" s="25" t="str">
        <f t="shared" ca="1" si="0"/>
        <v>완료</v>
      </c>
      <c r="W99" s="25">
        <f t="shared" si="1"/>
        <v>0</v>
      </c>
      <c r="X99" s="25" t="str">
        <f t="shared" si="2"/>
        <v>진행</v>
      </c>
    </row>
    <row r="100" spans="1:24" s="25" customFormat="1" ht="33.75" customHeight="1">
      <c r="A100" s="163"/>
      <c r="B100" s="164"/>
      <c r="C100" s="281"/>
      <c r="D100" s="283"/>
      <c r="E100" s="281"/>
      <c r="F100" s="281"/>
      <c r="G100" s="281"/>
      <c r="H100" s="281"/>
      <c r="I100" s="282"/>
      <c r="J100" s="169"/>
      <c r="K100" s="169"/>
      <c r="L100" s="281"/>
      <c r="M100" s="169"/>
      <c r="N100" s="169"/>
      <c r="O100" s="169"/>
      <c r="P100" s="281"/>
      <c r="Q100" s="281"/>
      <c r="R100" s="281"/>
      <c r="S100" s="281"/>
      <c r="T100" s="281"/>
      <c r="V100" s="25" t="str">
        <f t="shared" ca="1" si="0"/>
        <v>완료</v>
      </c>
      <c r="W100" s="25">
        <f t="shared" si="1"/>
        <v>0</v>
      </c>
      <c r="X100" s="25" t="str">
        <f t="shared" si="2"/>
        <v>진행</v>
      </c>
    </row>
    <row r="101" spans="1:24" s="25" customFormat="1" ht="33.75" customHeight="1">
      <c r="A101" s="163"/>
      <c r="B101" s="164"/>
      <c r="C101" s="281"/>
      <c r="D101" s="283"/>
      <c r="E101" s="281"/>
      <c r="F101" s="281"/>
      <c r="G101" s="281"/>
      <c r="H101" s="281"/>
      <c r="I101" s="282">
        <f t="shared" ref="I101:I164" si="3">G101+H101</f>
        <v>0</v>
      </c>
      <c r="J101" s="169"/>
      <c r="K101" s="169"/>
      <c r="L101" s="281"/>
      <c r="M101" s="169"/>
      <c r="N101" s="169"/>
      <c r="O101" s="169"/>
      <c r="P101" s="281"/>
      <c r="Q101" s="281"/>
      <c r="R101" s="281"/>
      <c r="S101" s="281"/>
      <c r="T101" s="281"/>
      <c r="V101" s="25" t="str">
        <f t="shared" ca="1" si="0"/>
        <v>완료</v>
      </c>
      <c r="W101" s="25">
        <f t="shared" si="1"/>
        <v>0</v>
      </c>
      <c r="X101" s="25" t="str">
        <f t="shared" si="2"/>
        <v>진행</v>
      </c>
    </row>
    <row r="102" spans="1:24" s="25" customFormat="1" ht="33.75" customHeight="1">
      <c r="A102" s="163"/>
      <c r="B102" s="164"/>
      <c r="C102" s="281"/>
      <c r="D102" s="283"/>
      <c r="E102" s="281"/>
      <c r="F102" s="281"/>
      <c r="G102" s="281"/>
      <c r="H102" s="281"/>
      <c r="I102" s="282">
        <f t="shared" si="3"/>
        <v>0</v>
      </c>
      <c r="J102" s="169"/>
      <c r="K102" s="169"/>
      <c r="L102" s="281"/>
      <c r="M102" s="169"/>
      <c r="N102" s="169"/>
      <c r="O102" s="169"/>
      <c r="P102" s="281"/>
      <c r="Q102" s="281"/>
      <c r="R102" s="281"/>
      <c r="S102" s="281"/>
      <c r="T102" s="281"/>
      <c r="V102" s="25" t="str">
        <f t="shared" ca="1" si="0"/>
        <v>완료</v>
      </c>
      <c r="W102" s="25">
        <f t="shared" si="1"/>
        <v>0</v>
      </c>
      <c r="X102" s="25" t="str">
        <f t="shared" si="2"/>
        <v>진행</v>
      </c>
    </row>
    <row r="103" spans="1:24" s="25" customFormat="1" ht="33.75" customHeight="1">
      <c r="A103" s="163"/>
      <c r="B103" s="164"/>
      <c r="C103" s="281"/>
      <c r="D103" s="283"/>
      <c r="E103" s="281"/>
      <c r="F103" s="281"/>
      <c r="G103" s="281"/>
      <c r="H103" s="281"/>
      <c r="I103" s="282">
        <f t="shared" si="3"/>
        <v>0</v>
      </c>
      <c r="J103" s="169"/>
      <c r="K103" s="169"/>
      <c r="L103" s="281"/>
      <c r="M103" s="169"/>
      <c r="N103" s="169"/>
      <c r="O103" s="169"/>
      <c r="P103" s="281"/>
      <c r="Q103" s="281"/>
      <c r="R103" s="281"/>
      <c r="S103" s="281"/>
      <c r="T103" s="281"/>
      <c r="V103" s="25" t="str">
        <f t="shared" ca="1" si="0"/>
        <v>완료</v>
      </c>
      <c r="W103" s="25">
        <f t="shared" si="1"/>
        <v>0</v>
      </c>
      <c r="X103" s="25" t="str">
        <f t="shared" si="2"/>
        <v>진행</v>
      </c>
    </row>
    <row r="104" spans="1:24" ht="39.950000000000003" customHeight="1">
      <c r="A104" s="163"/>
      <c r="B104" s="164"/>
      <c r="C104" s="281"/>
      <c r="D104" s="283"/>
      <c r="E104" s="281"/>
      <c r="F104" s="281"/>
      <c r="G104" s="281"/>
      <c r="H104" s="281"/>
      <c r="I104" s="282">
        <f t="shared" si="3"/>
        <v>0</v>
      </c>
      <c r="J104" s="169"/>
      <c r="K104" s="169"/>
      <c r="L104" s="281"/>
      <c r="M104" s="169"/>
      <c r="N104" s="169"/>
      <c r="O104" s="169"/>
      <c r="P104" s="281"/>
      <c r="Q104" s="281"/>
      <c r="R104" s="281"/>
      <c r="S104" s="281"/>
      <c r="T104" s="281"/>
      <c r="V104" s="25" t="str">
        <f t="shared" ca="1" si="0"/>
        <v>완료</v>
      </c>
      <c r="W104" s="25">
        <f t="shared" si="1"/>
        <v>0</v>
      </c>
      <c r="X104" s="25" t="str">
        <f t="shared" si="2"/>
        <v>진행</v>
      </c>
    </row>
    <row r="105" spans="1:24" ht="39.950000000000003" customHeight="1">
      <c r="A105" s="163"/>
      <c r="B105" s="164"/>
      <c r="C105" s="164"/>
      <c r="D105" s="168"/>
      <c r="E105" s="164"/>
      <c r="F105" s="164"/>
      <c r="G105" s="282"/>
      <c r="H105" s="282"/>
      <c r="I105" s="282">
        <f t="shared" si="3"/>
        <v>0</v>
      </c>
      <c r="J105" s="164"/>
      <c r="K105" s="164"/>
      <c r="L105" s="164"/>
      <c r="M105" s="164"/>
      <c r="N105" s="164"/>
      <c r="O105" s="164"/>
      <c r="P105" s="164"/>
      <c r="Q105" s="164"/>
      <c r="R105" s="164"/>
      <c r="S105" s="164"/>
      <c r="T105" s="164"/>
      <c r="U105" s="87"/>
      <c r="V105" s="25" t="str">
        <f t="shared" ca="1" si="0"/>
        <v>완료</v>
      </c>
      <c r="W105" s="25">
        <f t="shared" si="1"/>
        <v>0</v>
      </c>
      <c r="X105" s="25" t="str">
        <f t="shared" si="2"/>
        <v>진행</v>
      </c>
    </row>
    <row r="106" spans="1:24" ht="39.950000000000003" customHeight="1">
      <c r="A106" s="163"/>
      <c r="B106" s="164"/>
      <c r="C106" s="281"/>
      <c r="D106" s="283"/>
      <c r="E106" s="281"/>
      <c r="F106" s="281"/>
      <c r="G106" s="281"/>
      <c r="H106" s="281"/>
      <c r="I106" s="282">
        <f t="shared" si="3"/>
        <v>0</v>
      </c>
      <c r="J106" s="169"/>
      <c r="K106" s="169"/>
      <c r="L106" s="281"/>
      <c r="M106" s="169"/>
      <c r="N106" s="169"/>
      <c r="O106" s="169"/>
      <c r="P106" s="281"/>
      <c r="Q106" s="281"/>
      <c r="R106" s="281"/>
      <c r="S106" s="281"/>
      <c r="T106" s="281"/>
      <c r="U106" s="87"/>
      <c r="V106" s="25" t="str">
        <f t="shared" ca="1" si="0"/>
        <v>완료</v>
      </c>
      <c r="W106" s="25">
        <f t="shared" si="1"/>
        <v>0</v>
      </c>
      <c r="X106" s="25" t="str">
        <f t="shared" si="2"/>
        <v>진행</v>
      </c>
    </row>
    <row r="107" spans="1:24" ht="39.950000000000003" customHeight="1">
      <c r="A107" s="163"/>
      <c r="B107" s="164"/>
      <c r="C107" s="281"/>
      <c r="D107" s="283"/>
      <c r="E107" s="281"/>
      <c r="F107" s="281"/>
      <c r="G107" s="281"/>
      <c r="H107" s="281"/>
      <c r="I107" s="282">
        <f t="shared" si="3"/>
        <v>0</v>
      </c>
      <c r="J107" s="169"/>
      <c r="K107" s="169"/>
      <c r="L107" s="281"/>
      <c r="M107" s="169"/>
      <c r="N107" s="169"/>
      <c r="O107" s="169"/>
      <c r="P107" s="281"/>
      <c r="Q107" s="281"/>
      <c r="R107" s="281"/>
      <c r="S107" s="281"/>
      <c r="T107" s="281"/>
      <c r="U107" s="87"/>
      <c r="V107" s="25" t="str">
        <f t="shared" ca="1" si="0"/>
        <v>완료</v>
      </c>
      <c r="W107" s="25">
        <f t="shared" si="1"/>
        <v>0</v>
      </c>
      <c r="X107" s="25" t="str">
        <f t="shared" si="2"/>
        <v>진행</v>
      </c>
    </row>
    <row r="108" spans="1:24" ht="39.950000000000003" customHeight="1">
      <c r="A108" s="163"/>
      <c r="B108" s="164"/>
      <c r="C108" s="164"/>
      <c r="D108" s="168"/>
      <c r="E108" s="164"/>
      <c r="F108" s="164"/>
      <c r="G108" s="282"/>
      <c r="H108" s="282"/>
      <c r="I108" s="282">
        <f t="shared" si="3"/>
        <v>0</v>
      </c>
      <c r="J108" s="164"/>
      <c r="K108" s="164"/>
      <c r="L108" s="164"/>
      <c r="M108" s="164"/>
      <c r="N108" s="164"/>
      <c r="O108" s="164"/>
      <c r="P108" s="164"/>
      <c r="Q108" s="164"/>
      <c r="R108" s="164"/>
      <c r="S108" s="164"/>
      <c r="T108" s="164"/>
      <c r="U108" s="87"/>
      <c r="V108" s="25" t="str">
        <f t="shared" ca="1" si="0"/>
        <v>완료</v>
      </c>
      <c r="W108" s="25">
        <f t="shared" si="1"/>
        <v>0</v>
      </c>
      <c r="X108" s="25" t="str">
        <f t="shared" si="2"/>
        <v>진행</v>
      </c>
    </row>
    <row r="109" spans="1:24" ht="39.950000000000003" customHeight="1">
      <c r="A109" s="163"/>
      <c r="B109" s="164"/>
      <c r="C109" s="281"/>
      <c r="D109" s="283"/>
      <c r="E109" s="281"/>
      <c r="F109" s="281"/>
      <c r="G109" s="281"/>
      <c r="H109" s="281"/>
      <c r="I109" s="282">
        <f t="shared" si="3"/>
        <v>0</v>
      </c>
      <c r="J109" s="169"/>
      <c r="K109" s="169"/>
      <c r="L109" s="281"/>
      <c r="M109" s="169"/>
      <c r="N109" s="169"/>
      <c r="O109" s="169"/>
      <c r="P109" s="281"/>
      <c r="Q109" s="281"/>
      <c r="R109" s="281"/>
      <c r="S109" s="281"/>
      <c r="T109" s="281"/>
      <c r="U109" s="87"/>
      <c r="V109" s="25" t="str">
        <f t="shared" ca="1" si="0"/>
        <v>완료</v>
      </c>
      <c r="W109" s="25">
        <f t="shared" si="1"/>
        <v>0</v>
      </c>
      <c r="X109" s="25" t="str">
        <f t="shared" si="2"/>
        <v>진행</v>
      </c>
    </row>
    <row r="110" spans="1:24" ht="39.950000000000003" customHeight="1">
      <c r="A110" s="163"/>
      <c r="B110" s="164"/>
      <c r="C110" s="281"/>
      <c r="D110" s="283"/>
      <c r="E110" s="281"/>
      <c r="F110" s="281"/>
      <c r="G110" s="281"/>
      <c r="H110" s="281"/>
      <c r="I110" s="282">
        <f t="shared" si="3"/>
        <v>0</v>
      </c>
      <c r="J110" s="169"/>
      <c r="K110" s="169"/>
      <c r="L110" s="281"/>
      <c r="M110" s="169"/>
      <c r="N110" s="169"/>
      <c r="O110" s="169"/>
      <c r="P110" s="281"/>
      <c r="Q110" s="281"/>
      <c r="R110" s="281"/>
      <c r="S110" s="281"/>
      <c r="T110" s="281"/>
      <c r="V110" s="25" t="str">
        <f t="shared" ca="1" si="0"/>
        <v>완료</v>
      </c>
      <c r="W110" s="25">
        <f t="shared" si="1"/>
        <v>0</v>
      </c>
      <c r="X110" s="25" t="str">
        <f t="shared" si="2"/>
        <v>진행</v>
      </c>
    </row>
    <row r="111" spans="1:24" ht="39.950000000000003" customHeight="1">
      <c r="A111" s="163"/>
      <c r="B111" s="164"/>
      <c r="C111" s="281"/>
      <c r="D111" s="283"/>
      <c r="E111" s="281"/>
      <c r="F111" s="281"/>
      <c r="G111" s="281"/>
      <c r="H111" s="281"/>
      <c r="I111" s="282">
        <f t="shared" si="3"/>
        <v>0</v>
      </c>
      <c r="J111" s="169"/>
      <c r="K111" s="169"/>
      <c r="L111" s="281"/>
      <c r="M111" s="169"/>
      <c r="N111" s="169"/>
      <c r="O111" s="169"/>
      <c r="P111" s="281"/>
      <c r="Q111" s="281"/>
      <c r="R111" s="281"/>
      <c r="S111" s="281"/>
      <c r="T111" s="281"/>
      <c r="V111" s="25" t="str">
        <f t="shared" ca="1" si="0"/>
        <v>완료</v>
      </c>
      <c r="W111" s="25">
        <f t="shared" si="1"/>
        <v>0</v>
      </c>
      <c r="X111" s="25" t="str">
        <f t="shared" si="2"/>
        <v>진행</v>
      </c>
    </row>
    <row r="112" spans="1:24" ht="39.950000000000003" customHeight="1">
      <c r="A112" s="163"/>
      <c r="B112" s="164"/>
      <c r="C112" s="281"/>
      <c r="D112" s="283"/>
      <c r="E112" s="281"/>
      <c r="F112" s="281"/>
      <c r="G112" s="281"/>
      <c r="H112" s="281"/>
      <c r="I112" s="282">
        <f t="shared" si="3"/>
        <v>0</v>
      </c>
      <c r="J112" s="169"/>
      <c r="K112" s="169"/>
      <c r="L112" s="281"/>
      <c r="M112" s="169"/>
      <c r="N112" s="169"/>
      <c r="O112" s="169"/>
      <c r="P112" s="281"/>
      <c r="Q112" s="281"/>
      <c r="R112" s="281"/>
      <c r="S112" s="281"/>
      <c r="T112" s="281"/>
      <c r="V112" s="25" t="str">
        <f t="shared" ca="1" si="0"/>
        <v>완료</v>
      </c>
      <c r="W112" s="25">
        <f t="shared" si="1"/>
        <v>0</v>
      </c>
      <c r="X112" s="25" t="str">
        <f t="shared" si="2"/>
        <v>진행</v>
      </c>
    </row>
    <row r="113" spans="1:24" ht="39.950000000000003" customHeight="1">
      <c r="A113" s="163"/>
      <c r="B113" s="164"/>
      <c r="C113" s="281"/>
      <c r="D113" s="283"/>
      <c r="E113" s="281"/>
      <c r="F113" s="281"/>
      <c r="G113" s="281"/>
      <c r="H113" s="281"/>
      <c r="I113" s="282">
        <f t="shared" si="3"/>
        <v>0</v>
      </c>
      <c r="J113" s="169"/>
      <c r="K113" s="169"/>
      <c r="L113" s="281"/>
      <c r="M113" s="169"/>
      <c r="N113" s="169"/>
      <c r="O113" s="169"/>
      <c r="P113" s="281"/>
      <c r="Q113" s="281"/>
      <c r="R113" s="281"/>
      <c r="S113" s="281"/>
      <c r="T113" s="281"/>
      <c r="V113" s="25" t="str">
        <f t="shared" ca="1" si="0"/>
        <v>완료</v>
      </c>
      <c r="W113" s="25">
        <f t="shared" si="1"/>
        <v>0</v>
      </c>
      <c r="X113" s="25" t="str">
        <f t="shared" si="2"/>
        <v>진행</v>
      </c>
    </row>
    <row r="114" spans="1:24" ht="39.950000000000003" customHeight="1">
      <c r="A114" s="163"/>
      <c r="B114" s="164"/>
      <c r="C114" s="164"/>
      <c r="D114" s="168"/>
      <c r="E114" s="164"/>
      <c r="F114" s="164"/>
      <c r="G114" s="282"/>
      <c r="H114" s="282"/>
      <c r="I114" s="282">
        <f t="shared" si="3"/>
        <v>0</v>
      </c>
      <c r="J114" s="164"/>
      <c r="K114" s="164"/>
      <c r="L114" s="164"/>
      <c r="M114" s="164"/>
      <c r="N114" s="164"/>
      <c r="O114" s="164"/>
      <c r="P114" s="164"/>
      <c r="Q114" s="164"/>
      <c r="R114" s="164"/>
      <c r="S114" s="164"/>
      <c r="T114" s="164"/>
      <c r="V114" s="25" t="str">
        <f t="shared" ca="1" si="0"/>
        <v>완료</v>
      </c>
      <c r="W114" s="25">
        <f t="shared" si="1"/>
        <v>0</v>
      </c>
      <c r="X114" s="25" t="str">
        <f t="shared" si="2"/>
        <v>진행</v>
      </c>
    </row>
    <row r="115" spans="1:24" ht="39.950000000000003" customHeight="1">
      <c r="A115" s="163"/>
      <c r="B115" s="164"/>
      <c r="C115" s="281"/>
      <c r="D115" s="283"/>
      <c r="E115" s="281"/>
      <c r="F115" s="281"/>
      <c r="G115" s="281"/>
      <c r="H115" s="281"/>
      <c r="I115" s="282">
        <f t="shared" si="3"/>
        <v>0</v>
      </c>
      <c r="J115" s="169"/>
      <c r="K115" s="169"/>
      <c r="L115" s="281"/>
      <c r="M115" s="169"/>
      <c r="N115" s="169"/>
      <c r="O115" s="169"/>
      <c r="P115" s="281"/>
      <c r="Q115" s="281"/>
      <c r="R115" s="281"/>
      <c r="S115" s="281"/>
      <c r="T115" s="281"/>
      <c r="V115" s="25" t="str">
        <f t="shared" ca="1" si="0"/>
        <v>완료</v>
      </c>
      <c r="W115" s="25">
        <f t="shared" si="1"/>
        <v>0</v>
      </c>
      <c r="X115" s="25" t="str">
        <f t="shared" si="2"/>
        <v>진행</v>
      </c>
    </row>
    <row r="116" spans="1:24" ht="39.950000000000003" customHeight="1">
      <c r="A116" s="163"/>
      <c r="B116" s="164"/>
      <c r="C116" s="281"/>
      <c r="D116" s="283"/>
      <c r="E116" s="281"/>
      <c r="F116" s="281"/>
      <c r="G116" s="281"/>
      <c r="H116" s="281"/>
      <c r="I116" s="282">
        <f t="shared" si="3"/>
        <v>0</v>
      </c>
      <c r="J116" s="169"/>
      <c r="K116" s="169"/>
      <c r="L116" s="281"/>
      <c r="M116" s="169"/>
      <c r="N116" s="169"/>
      <c r="O116" s="169"/>
      <c r="P116" s="281"/>
      <c r="Q116" s="281"/>
      <c r="R116" s="281"/>
      <c r="S116" s="281"/>
      <c r="T116" s="281"/>
      <c r="V116" s="25" t="str">
        <f t="shared" ca="1" si="0"/>
        <v>완료</v>
      </c>
      <c r="W116" s="25">
        <f t="shared" si="1"/>
        <v>0</v>
      </c>
      <c r="X116" s="25" t="str">
        <f t="shared" si="2"/>
        <v>진행</v>
      </c>
    </row>
    <row r="117" spans="1:24" ht="39.950000000000003" customHeight="1">
      <c r="A117" s="163"/>
      <c r="B117" s="164"/>
      <c r="C117" s="281"/>
      <c r="D117" s="283"/>
      <c r="E117" s="281"/>
      <c r="F117" s="281"/>
      <c r="G117" s="281"/>
      <c r="H117" s="281"/>
      <c r="I117" s="282">
        <f t="shared" si="3"/>
        <v>0</v>
      </c>
      <c r="J117" s="169"/>
      <c r="K117" s="169"/>
      <c r="L117" s="281"/>
      <c r="M117" s="169"/>
      <c r="N117" s="169"/>
      <c r="O117" s="169"/>
      <c r="P117" s="281"/>
      <c r="Q117" s="281"/>
      <c r="R117" s="281"/>
      <c r="S117" s="281"/>
      <c r="T117" s="281"/>
      <c r="V117" s="25" t="str">
        <f t="shared" ca="1" si="0"/>
        <v>완료</v>
      </c>
      <c r="W117" s="25">
        <f t="shared" si="1"/>
        <v>0</v>
      </c>
      <c r="X117" s="25" t="str">
        <f t="shared" si="2"/>
        <v>진행</v>
      </c>
    </row>
    <row r="118" spans="1:24" ht="39.950000000000003" customHeight="1">
      <c r="A118" s="163"/>
      <c r="B118" s="164"/>
      <c r="C118" s="164"/>
      <c r="D118" s="168"/>
      <c r="E118" s="164"/>
      <c r="F118" s="164"/>
      <c r="G118" s="282"/>
      <c r="H118" s="282"/>
      <c r="I118" s="282">
        <f t="shared" si="3"/>
        <v>0</v>
      </c>
      <c r="J118" s="164"/>
      <c r="K118" s="164"/>
      <c r="L118" s="164"/>
      <c r="M118" s="164"/>
      <c r="N118" s="164"/>
      <c r="O118" s="164"/>
      <c r="P118" s="164"/>
      <c r="Q118" s="164"/>
      <c r="R118" s="164"/>
      <c r="S118" s="164"/>
      <c r="T118" s="164"/>
      <c r="V118" s="25" t="str">
        <f t="shared" ca="1" si="0"/>
        <v>완료</v>
      </c>
      <c r="W118" s="25">
        <f t="shared" si="1"/>
        <v>0</v>
      </c>
      <c r="X118" s="25" t="str">
        <f t="shared" si="2"/>
        <v>진행</v>
      </c>
    </row>
    <row r="119" spans="1:24" ht="39.950000000000003" customHeight="1">
      <c r="A119" s="163"/>
      <c r="B119" s="164"/>
      <c r="C119" s="281"/>
      <c r="D119" s="283"/>
      <c r="E119" s="281"/>
      <c r="F119" s="281"/>
      <c r="G119" s="281"/>
      <c r="H119" s="281"/>
      <c r="I119" s="282">
        <f t="shared" si="3"/>
        <v>0</v>
      </c>
      <c r="J119" s="169"/>
      <c r="K119" s="169"/>
      <c r="L119" s="281"/>
      <c r="M119" s="169"/>
      <c r="N119" s="169"/>
      <c r="O119" s="169"/>
      <c r="P119" s="281"/>
      <c r="Q119" s="281"/>
      <c r="R119" s="281"/>
      <c r="S119" s="281"/>
      <c r="T119" s="281"/>
      <c r="V119" s="25" t="str">
        <f t="shared" ca="1" si="0"/>
        <v>완료</v>
      </c>
      <c r="W119" s="25">
        <f t="shared" si="1"/>
        <v>0</v>
      </c>
      <c r="X119" s="25" t="str">
        <f t="shared" si="2"/>
        <v>진행</v>
      </c>
    </row>
    <row r="120" spans="1:24" ht="39.950000000000003" customHeight="1">
      <c r="A120" s="163"/>
      <c r="B120" s="164"/>
      <c r="C120" s="281"/>
      <c r="D120" s="283"/>
      <c r="E120" s="281"/>
      <c r="F120" s="281"/>
      <c r="G120" s="281"/>
      <c r="H120" s="281"/>
      <c r="I120" s="282">
        <f t="shared" si="3"/>
        <v>0</v>
      </c>
      <c r="J120" s="169"/>
      <c r="K120" s="169"/>
      <c r="L120" s="281"/>
      <c r="M120" s="169"/>
      <c r="N120" s="169"/>
      <c r="O120" s="169"/>
      <c r="P120" s="281"/>
      <c r="Q120" s="281"/>
      <c r="R120" s="281"/>
      <c r="S120" s="164"/>
      <c r="T120" s="281"/>
      <c r="V120" s="25" t="str">
        <f t="shared" ca="1" si="0"/>
        <v>완료</v>
      </c>
      <c r="W120" s="25">
        <f t="shared" si="1"/>
        <v>0</v>
      </c>
      <c r="X120" s="25" t="str">
        <f t="shared" si="2"/>
        <v>진행</v>
      </c>
    </row>
    <row r="121" spans="1:24" ht="39.950000000000003" customHeight="1">
      <c r="A121" s="163"/>
      <c r="B121" s="164"/>
      <c r="C121" s="281"/>
      <c r="D121" s="283"/>
      <c r="E121" s="281"/>
      <c r="F121" s="281"/>
      <c r="G121" s="281"/>
      <c r="H121" s="281"/>
      <c r="I121" s="282">
        <f t="shared" si="3"/>
        <v>0</v>
      </c>
      <c r="J121" s="169"/>
      <c r="K121" s="169"/>
      <c r="L121" s="281"/>
      <c r="M121" s="169"/>
      <c r="N121" s="169"/>
      <c r="O121" s="169"/>
      <c r="P121" s="281"/>
      <c r="Q121" s="281"/>
      <c r="R121" s="281"/>
      <c r="S121" s="281"/>
      <c r="T121" s="281"/>
      <c r="V121" s="25" t="str">
        <f t="shared" ca="1" si="0"/>
        <v>완료</v>
      </c>
      <c r="W121" s="25">
        <f t="shared" si="1"/>
        <v>0</v>
      </c>
      <c r="X121" s="25" t="str">
        <f t="shared" si="2"/>
        <v>진행</v>
      </c>
    </row>
    <row r="122" spans="1:24" ht="39.950000000000003" customHeight="1">
      <c r="A122" s="163"/>
      <c r="B122" s="164"/>
      <c r="C122" s="281"/>
      <c r="D122" s="283"/>
      <c r="E122" s="281"/>
      <c r="F122" s="281"/>
      <c r="G122" s="281"/>
      <c r="H122" s="281"/>
      <c r="I122" s="282">
        <f t="shared" si="3"/>
        <v>0</v>
      </c>
      <c r="J122" s="169"/>
      <c r="K122" s="169"/>
      <c r="L122" s="281"/>
      <c r="M122" s="169"/>
      <c r="N122" s="169"/>
      <c r="O122" s="169"/>
      <c r="P122" s="281"/>
      <c r="Q122" s="281"/>
      <c r="R122" s="281"/>
      <c r="S122" s="281"/>
      <c r="T122" s="281"/>
      <c r="V122" s="25" t="str">
        <f t="shared" ca="1" si="0"/>
        <v>완료</v>
      </c>
      <c r="W122" s="25">
        <f t="shared" si="1"/>
        <v>0</v>
      </c>
      <c r="X122" s="25" t="str">
        <f t="shared" si="2"/>
        <v>진행</v>
      </c>
    </row>
    <row r="123" spans="1:24" ht="39.950000000000003" customHeight="1">
      <c r="A123" s="163"/>
      <c r="B123" s="164"/>
      <c r="C123" s="281"/>
      <c r="D123" s="283"/>
      <c r="E123" s="281"/>
      <c r="F123" s="281"/>
      <c r="G123" s="281"/>
      <c r="H123" s="281"/>
      <c r="I123" s="282">
        <f t="shared" si="3"/>
        <v>0</v>
      </c>
      <c r="J123" s="169"/>
      <c r="K123" s="169"/>
      <c r="L123" s="281"/>
      <c r="M123" s="169"/>
      <c r="N123" s="169"/>
      <c r="O123" s="169"/>
      <c r="P123" s="281"/>
      <c r="Q123" s="281"/>
      <c r="R123" s="281"/>
      <c r="S123" s="281"/>
      <c r="T123" s="281"/>
      <c r="V123" s="25" t="str">
        <f t="shared" ca="1" si="0"/>
        <v>완료</v>
      </c>
      <c r="W123" s="25">
        <f t="shared" si="1"/>
        <v>0</v>
      </c>
      <c r="X123" s="25" t="str">
        <f t="shared" si="2"/>
        <v>진행</v>
      </c>
    </row>
    <row r="124" spans="1:24" ht="39.950000000000003" customHeight="1">
      <c r="A124" s="163"/>
      <c r="B124" s="164"/>
      <c r="C124" s="281"/>
      <c r="D124" s="283"/>
      <c r="E124" s="281"/>
      <c r="F124" s="281"/>
      <c r="G124" s="281"/>
      <c r="H124" s="281"/>
      <c r="I124" s="282">
        <f t="shared" si="3"/>
        <v>0</v>
      </c>
      <c r="J124" s="169"/>
      <c r="K124" s="169"/>
      <c r="L124" s="281"/>
      <c r="M124" s="169"/>
      <c r="N124" s="169"/>
      <c r="O124" s="169"/>
      <c r="P124" s="281"/>
      <c r="Q124" s="281"/>
      <c r="R124" s="281"/>
      <c r="S124" s="281"/>
      <c r="T124" s="281"/>
      <c r="V124" s="25" t="str">
        <f t="shared" ca="1" si="0"/>
        <v>완료</v>
      </c>
      <c r="W124" s="25">
        <f t="shared" si="1"/>
        <v>0</v>
      </c>
      <c r="X124" s="25" t="str">
        <f t="shared" si="2"/>
        <v>진행</v>
      </c>
    </row>
    <row r="125" spans="1:24" ht="39.950000000000003" customHeight="1">
      <c r="A125" s="163"/>
      <c r="B125" s="164"/>
      <c r="C125" s="164"/>
      <c r="D125" s="168"/>
      <c r="E125" s="164"/>
      <c r="F125" s="164"/>
      <c r="G125" s="282"/>
      <c r="H125" s="282"/>
      <c r="I125" s="282">
        <f t="shared" si="3"/>
        <v>0</v>
      </c>
      <c r="J125" s="164"/>
      <c r="K125" s="164"/>
      <c r="L125" s="164"/>
      <c r="M125" s="164"/>
      <c r="N125" s="164"/>
      <c r="O125" s="164"/>
      <c r="P125" s="164"/>
      <c r="Q125" s="164"/>
      <c r="R125" s="164"/>
      <c r="S125" s="164"/>
      <c r="T125" s="164"/>
      <c r="V125" s="25" t="str">
        <f t="shared" ca="1" si="0"/>
        <v>완료</v>
      </c>
      <c r="W125" s="25">
        <f t="shared" si="1"/>
        <v>0</v>
      </c>
      <c r="X125" s="25" t="str">
        <f t="shared" si="2"/>
        <v>진행</v>
      </c>
    </row>
    <row r="126" spans="1:24" ht="39.950000000000003" customHeight="1">
      <c r="A126" s="163"/>
      <c r="B126" s="164"/>
      <c r="C126" s="281"/>
      <c r="D126" s="283"/>
      <c r="E126" s="281"/>
      <c r="F126" s="281"/>
      <c r="G126" s="281"/>
      <c r="H126" s="281"/>
      <c r="I126" s="282">
        <f t="shared" si="3"/>
        <v>0</v>
      </c>
      <c r="J126" s="169"/>
      <c r="K126" s="169"/>
      <c r="L126" s="281"/>
      <c r="M126" s="169"/>
      <c r="N126" s="169"/>
      <c r="O126" s="169"/>
      <c r="P126" s="281"/>
      <c r="Q126" s="281"/>
      <c r="R126" s="281"/>
      <c r="S126" s="281"/>
      <c r="T126" s="281"/>
      <c r="V126" s="25" t="str">
        <f t="shared" ca="1" si="0"/>
        <v>완료</v>
      </c>
      <c r="W126" s="25">
        <f t="shared" si="1"/>
        <v>0</v>
      </c>
      <c r="X126" s="25" t="str">
        <f t="shared" si="2"/>
        <v>진행</v>
      </c>
    </row>
    <row r="127" spans="1:24" ht="39.950000000000003" customHeight="1">
      <c r="A127" s="163"/>
      <c r="B127" s="164"/>
      <c r="C127" s="164"/>
      <c r="D127" s="168"/>
      <c r="E127" s="164"/>
      <c r="F127" s="164"/>
      <c r="G127" s="282"/>
      <c r="H127" s="282"/>
      <c r="I127" s="282">
        <f t="shared" si="3"/>
        <v>0</v>
      </c>
      <c r="J127" s="164"/>
      <c r="K127" s="164"/>
      <c r="L127" s="164"/>
      <c r="M127" s="164"/>
      <c r="N127" s="164"/>
      <c r="O127" s="164"/>
      <c r="P127" s="164"/>
      <c r="Q127" s="164"/>
      <c r="R127" s="164"/>
      <c r="S127" s="164"/>
      <c r="T127" s="164"/>
      <c r="V127" s="25" t="str">
        <f t="shared" ca="1" si="0"/>
        <v>완료</v>
      </c>
      <c r="W127" s="25">
        <f t="shared" si="1"/>
        <v>0</v>
      </c>
      <c r="X127" s="25" t="str">
        <f t="shared" si="2"/>
        <v>진행</v>
      </c>
    </row>
    <row r="128" spans="1:24" ht="39.950000000000003" customHeight="1">
      <c r="A128" s="163"/>
      <c r="B128" s="164"/>
      <c r="C128" s="281"/>
      <c r="D128" s="283"/>
      <c r="E128" s="281"/>
      <c r="F128" s="281"/>
      <c r="G128" s="281"/>
      <c r="H128" s="281"/>
      <c r="I128" s="282">
        <f t="shared" si="3"/>
        <v>0</v>
      </c>
      <c r="J128" s="169"/>
      <c r="K128" s="169"/>
      <c r="L128" s="281"/>
      <c r="M128" s="169"/>
      <c r="N128" s="169"/>
      <c r="O128" s="169"/>
      <c r="P128" s="281"/>
      <c r="Q128" s="281"/>
      <c r="R128" s="281"/>
      <c r="S128" s="281"/>
      <c r="T128" s="281"/>
      <c r="V128" s="25" t="str">
        <f t="shared" ca="1" si="0"/>
        <v>완료</v>
      </c>
      <c r="W128" s="25">
        <f t="shared" si="1"/>
        <v>0</v>
      </c>
      <c r="X128" s="25" t="str">
        <f t="shared" si="2"/>
        <v>진행</v>
      </c>
    </row>
    <row r="129" spans="1:24" ht="39.950000000000003" customHeight="1">
      <c r="A129" s="163"/>
      <c r="B129" s="164"/>
      <c r="C129" s="281"/>
      <c r="D129" s="283"/>
      <c r="E129" s="281"/>
      <c r="F129" s="281"/>
      <c r="G129" s="281"/>
      <c r="H129" s="281"/>
      <c r="I129" s="282">
        <f t="shared" si="3"/>
        <v>0</v>
      </c>
      <c r="J129" s="169"/>
      <c r="K129" s="169"/>
      <c r="L129" s="281"/>
      <c r="M129" s="169"/>
      <c r="N129" s="169"/>
      <c r="O129" s="169"/>
      <c r="P129" s="281"/>
      <c r="Q129" s="281"/>
      <c r="R129" s="281"/>
      <c r="S129" s="281"/>
      <c r="T129" s="281"/>
      <c r="V129" s="25" t="str">
        <f t="shared" ca="1" si="0"/>
        <v>완료</v>
      </c>
      <c r="W129" s="25">
        <f t="shared" si="1"/>
        <v>0</v>
      </c>
      <c r="X129" s="25" t="str">
        <f t="shared" si="2"/>
        <v>진행</v>
      </c>
    </row>
    <row r="130" spans="1:24" ht="39.950000000000003" customHeight="1">
      <c r="A130" s="163"/>
      <c r="B130" s="164"/>
      <c r="C130" s="164"/>
      <c r="D130" s="168"/>
      <c r="E130" s="164"/>
      <c r="F130" s="164"/>
      <c r="G130" s="282"/>
      <c r="H130" s="282"/>
      <c r="I130" s="282">
        <f t="shared" si="3"/>
        <v>0</v>
      </c>
      <c r="J130" s="164"/>
      <c r="K130" s="164"/>
      <c r="L130" s="164"/>
      <c r="M130" s="164"/>
      <c r="N130" s="164"/>
      <c r="O130" s="164"/>
      <c r="P130" s="164"/>
      <c r="Q130" s="164"/>
      <c r="R130" s="164"/>
      <c r="S130" s="164"/>
      <c r="T130" s="164"/>
      <c r="V130" s="25" t="str">
        <f t="shared" ca="1" si="0"/>
        <v>완료</v>
      </c>
      <c r="W130" s="25">
        <f t="shared" si="1"/>
        <v>0</v>
      </c>
      <c r="X130" s="25" t="str">
        <f t="shared" si="2"/>
        <v>진행</v>
      </c>
    </row>
    <row r="131" spans="1:24" ht="39.950000000000003" customHeight="1">
      <c r="A131" s="163"/>
      <c r="B131" s="164"/>
      <c r="C131" s="281"/>
      <c r="D131" s="283"/>
      <c r="E131" s="281"/>
      <c r="F131" s="281"/>
      <c r="G131" s="281"/>
      <c r="H131" s="281"/>
      <c r="I131" s="282">
        <f t="shared" si="3"/>
        <v>0</v>
      </c>
      <c r="J131" s="169"/>
      <c r="K131" s="169"/>
      <c r="L131" s="281"/>
      <c r="M131" s="169"/>
      <c r="N131" s="169"/>
      <c r="O131" s="169"/>
      <c r="P131" s="281"/>
      <c r="Q131" s="281"/>
      <c r="R131" s="281"/>
      <c r="S131" s="281"/>
      <c r="T131" s="281"/>
      <c r="V131" s="25" t="str">
        <f t="shared" ca="1" si="0"/>
        <v>완료</v>
      </c>
      <c r="W131" s="25">
        <f t="shared" si="1"/>
        <v>0</v>
      </c>
      <c r="X131" s="25" t="str">
        <f t="shared" si="2"/>
        <v>진행</v>
      </c>
    </row>
    <row r="132" spans="1:24" ht="39.950000000000003" customHeight="1">
      <c r="A132" s="163"/>
      <c r="B132" s="164"/>
      <c r="C132" s="164"/>
      <c r="D132" s="168"/>
      <c r="E132" s="164"/>
      <c r="F132" s="164"/>
      <c r="G132" s="282"/>
      <c r="H132" s="282"/>
      <c r="I132" s="282">
        <f t="shared" si="3"/>
        <v>0</v>
      </c>
      <c r="J132" s="164"/>
      <c r="K132" s="164"/>
      <c r="L132" s="164"/>
      <c r="M132" s="164"/>
      <c r="N132" s="164"/>
      <c r="O132" s="164"/>
      <c r="P132" s="164"/>
      <c r="Q132" s="164"/>
      <c r="R132" s="164"/>
      <c r="S132" s="164"/>
      <c r="T132" s="164"/>
      <c r="V132" s="25" t="str">
        <f t="shared" ca="1" si="0"/>
        <v>완료</v>
      </c>
      <c r="W132" s="25">
        <f t="shared" si="1"/>
        <v>0</v>
      </c>
      <c r="X132" s="25" t="str">
        <f t="shared" si="2"/>
        <v>진행</v>
      </c>
    </row>
    <row r="133" spans="1:24" ht="39.950000000000003" customHeight="1">
      <c r="A133" s="163"/>
      <c r="B133" s="164"/>
      <c r="C133" s="281"/>
      <c r="D133" s="283"/>
      <c r="E133" s="281"/>
      <c r="F133" s="281"/>
      <c r="G133" s="281"/>
      <c r="H133" s="281"/>
      <c r="I133" s="282">
        <f t="shared" si="3"/>
        <v>0</v>
      </c>
      <c r="J133" s="169"/>
      <c r="K133" s="169"/>
      <c r="L133" s="281"/>
      <c r="M133" s="169"/>
      <c r="N133" s="169"/>
      <c r="O133" s="169"/>
      <c r="P133" s="281"/>
      <c r="Q133" s="281"/>
      <c r="R133" s="281"/>
      <c r="S133" s="281"/>
      <c r="T133" s="281"/>
      <c r="V133" s="25" t="str">
        <f t="shared" ca="1" si="0"/>
        <v>완료</v>
      </c>
      <c r="W133" s="25">
        <f t="shared" si="1"/>
        <v>0</v>
      </c>
      <c r="X133" s="25" t="str">
        <f t="shared" si="2"/>
        <v>진행</v>
      </c>
    </row>
    <row r="134" spans="1:24" ht="39.950000000000003" customHeight="1">
      <c r="A134" s="163"/>
      <c r="B134" s="164"/>
      <c r="C134" s="281"/>
      <c r="D134" s="283"/>
      <c r="E134" s="281"/>
      <c r="F134" s="281"/>
      <c r="G134" s="281"/>
      <c r="H134" s="281"/>
      <c r="I134" s="282">
        <f t="shared" si="3"/>
        <v>0</v>
      </c>
      <c r="J134" s="169"/>
      <c r="K134" s="169"/>
      <c r="L134" s="281"/>
      <c r="M134" s="169"/>
      <c r="N134" s="169"/>
      <c r="O134" s="169"/>
      <c r="P134" s="281"/>
      <c r="Q134" s="281"/>
      <c r="R134" s="281"/>
      <c r="S134" s="281"/>
      <c r="T134" s="281"/>
      <c r="V134" s="25" t="str">
        <f t="shared" ref="V134:V197" ca="1" si="4">IF(TODAY()&gt;M134,"완료","진행")</f>
        <v>완료</v>
      </c>
      <c r="W134" s="25">
        <f t="shared" ref="W134:W197" si="5">C134</f>
        <v>0</v>
      </c>
      <c r="X134" s="25" t="str">
        <f t="shared" ref="X134:X197" si="6">IF(O134&gt;0,"완료","진행")</f>
        <v>진행</v>
      </c>
    </row>
    <row r="135" spans="1:24" ht="39.950000000000003" customHeight="1">
      <c r="A135" s="163"/>
      <c r="B135" s="164"/>
      <c r="C135" s="281"/>
      <c r="D135" s="283"/>
      <c r="E135" s="281"/>
      <c r="F135" s="281"/>
      <c r="G135" s="281"/>
      <c r="H135" s="281"/>
      <c r="I135" s="282">
        <f t="shared" si="3"/>
        <v>0</v>
      </c>
      <c r="J135" s="169"/>
      <c r="K135" s="169"/>
      <c r="L135" s="281"/>
      <c r="M135" s="169"/>
      <c r="N135" s="169"/>
      <c r="O135" s="169"/>
      <c r="P135" s="281"/>
      <c r="Q135" s="281"/>
      <c r="R135" s="281"/>
      <c r="S135" s="281"/>
      <c r="T135" s="281"/>
      <c r="V135" s="25" t="str">
        <f t="shared" ca="1" si="4"/>
        <v>완료</v>
      </c>
      <c r="W135" s="25">
        <f t="shared" si="5"/>
        <v>0</v>
      </c>
      <c r="X135" s="25" t="str">
        <f t="shared" si="6"/>
        <v>진행</v>
      </c>
    </row>
    <row r="136" spans="1:24" ht="39.950000000000003" customHeight="1">
      <c r="A136" s="163"/>
      <c r="B136" s="164"/>
      <c r="C136" s="281"/>
      <c r="D136" s="283"/>
      <c r="E136" s="281"/>
      <c r="F136" s="281"/>
      <c r="G136" s="281"/>
      <c r="H136" s="281"/>
      <c r="I136" s="282">
        <f t="shared" si="3"/>
        <v>0</v>
      </c>
      <c r="J136" s="169"/>
      <c r="K136" s="169"/>
      <c r="L136" s="281"/>
      <c r="M136" s="169"/>
      <c r="N136" s="169"/>
      <c r="O136" s="169"/>
      <c r="P136" s="281"/>
      <c r="Q136" s="281"/>
      <c r="R136" s="281"/>
      <c r="S136" s="281"/>
      <c r="T136" s="281"/>
      <c r="V136" s="25" t="str">
        <f t="shared" ca="1" si="4"/>
        <v>완료</v>
      </c>
      <c r="W136" s="25">
        <f t="shared" si="5"/>
        <v>0</v>
      </c>
      <c r="X136" s="25" t="str">
        <f t="shared" si="6"/>
        <v>진행</v>
      </c>
    </row>
    <row r="137" spans="1:24" ht="39.950000000000003" customHeight="1">
      <c r="A137" s="163"/>
      <c r="B137" s="164"/>
      <c r="C137" s="164"/>
      <c r="D137" s="168"/>
      <c r="E137" s="164"/>
      <c r="F137" s="164"/>
      <c r="G137" s="282"/>
      <c r="H137" s="282"/>
      <c r="I137" s="282">
        <f t="shared" si="3"/>
        <v>0</v>
      </c>
      <c r="J137" s="164"/>
      <c r="K137" s="164"/>
      <c r="L137" s="164"/>
      <c r="M137" s="164"/>
      <c r="N137" s="164"/>
      <c r="O137" s="164"/>
      <c r="P137" s="164"/>
      <c r="Q137" s="164"/>
      <c r="R137" s="164"/>
      <c r="S137" s="164"/>
      <c r="T137" s="164"/>
      <c r="V137" s="25" t="str">
        <f t="shared" ca="1" si="4"/>
        <v>완료</v>
      </c>
      <c r="W137" s="25">
        <f t="shared" si="5"/>
        <v>0</v>
      </c>
      <c r="X137" s="25" t="str">
        <f t="shared" si="6"/>
        <v>진행</v>
      </c>
    </row>
    <row r="138" spans="1:24" ht="39.950000000000003" customHeight="1">
      <c r="A138" s="163"/>
      <c r="B138" s="164"/>
      <c r="C138" s="281"/>
      <c r="D138" s="283"/>
      <c r="E138" s="281"/>
      <c r="F138" s="281"/>
      <c r="G138" s="281"/>
      <c r="H138" s="281"/>
      <c r="I138" s="282">
        <f t="shared" si="3"/>
        <v>0</v>
      </c>
      <c r="J138" s="169"/>
      <c r="K138" s="169"/>
      <c r="L138" s="281"/>
      <c r="M138" s="169"/>
      <c r="N138" s="169"/>
      <c r="O138" s="169"/>
      <c r="P138" s="281"/>
      <c r="Q138" s="281"/>
      <c r="R138" s="281"/>
      <c r="S138" s="281"/>
      <c r="T138" s="281"/>
      <c r="V138" s="25" t="str">
        <f t="shared" ca="1" si="4"/>
        <v>완료</v>
      </c>
      <c r="W138" s="25">
        <f t="shared" si="5"/>
        <v>0</v>
      </c>
      <c r="X138" s="25" t="str">
        <f t="shared" si="6"/>
        <v>진행</v>
      </c>
    </row>
    <row r="139" spans="1:24" ht="39.950000000000003" customHeight="1">
      <c r="A139" s="163"/>
      <c r="B139" s="164"/>
      <c r="C139" s="164"/>
      <c r="D139" s="168"/>
      <c r="E139" s="164"/>
      <c r="F139" s="164"/>
      <c r="G139" s="282"/>
      <c r="H139" s="282"/>
      <c r="I139" s="282">
        <f t="shared" si="3"/>
        <v>0</v>
      </c>
      <c r="J139" s="164"/>
      <c r="K139" s="164"/>
      <c r="L139" s="164"/>
      <c r="M139" s="164"/>
      <c r="N139" s="164"/>
      <c r="O139" s="164"/>
      <c r="P139" s="164"/>
      <c r="Q139" s="164"/>
      <c r="R139" s="164"/>
      <c r="S139" s="164"/>
      <c r="T139" s="164"/>
      <c r="V139" s="25" t="str">
        <f t="shared" ca="1" si="4"/>
        <v>완료</v>
      </c>
      <c r="W139" s="25">
        <f t="shared" si="5"/>
        <v>0</v>
      </c>
      <c r="X139" s="25" t="str">
        <f t="shared" si="6"/>
        <v>진행</v>
      </c>
    </row>
    <row r="140" spans="1:24" ht="39.950000000000003" customHeight="1">
      <c r="A140" s="163"/>
      <c r="B140" s="164"/>
      <c r="C140" s="281"/>
      <c r="D140" s="283"/>
      <c r="E140" s="281"/>
      <c r="F140" s="281"/>
      <c r="G140" s="281"/>
      <c r="H140" s="281"/>
      <c r="I140" s="282">
        <f t="shared" si="3"/>
        <v>0</v>
      </c>
      <c r="J140" s="169"/>
      <c r="K140" s="169"/>
      <c r="L140" s="281"/>
      <c r="M140" s="169"/>
      <c r="N140" s="169"/>
      <c r="O140" s="169"/>
      <c r="P140" s="281"/>
      <c r="Q140" s="281"/>
      <c r="R140" s="281"/>
      <c r="S140" s="281"/>
      <c r="T140" s="281"/>
      <c r="V140" s="25" t="str">
        <f t="shared" ca="1" si="4"/>
        <v>완료</v>
      </c>
      <c r="W140" s="25">
        <f t="shared" si="5"/>
        <v>0</v>
      </c>
      <c r="X140" s="25" t="str">
        <f t="shared" si="6"/>
        <v>진행</v>
      </c>
    </row>
    <row r="141" spans="1:24" ht="39.950000000000003" customHeight="1">
      <c r="A141" s="163"/>
      <c r="B141" s="164"/>
      <c r="C141" s="164"/>
      <c r="D141" s="168"/>
      <c r="E141" s="164"/>
      <c r="F141" s="164"/>
      <c r="G141" s="282"/>
      <c r="H141" s="282"/>
      <c r="I141" s="282">
        <f t="shared" si="3"/>
        <v>0</v>
      </c>
      <c r="J141" s="164"/>
      <c r="K141" s="164"/>
      <c r="L141" s="164"/>
      <c r="M141" s="164"/>
      <c r="N141" s="164"/>
      <c r="O141" s="164"/>
      <c r="P141" s="164"/>
      <c r="Q141" s="164"/>
      <c r="R141" s="164"/>
      <c r="S141" s="164"/>
      <c r="T141" s="164"/>
      <c r="V141" s="25" t="str">
        <f t="shared" ca="1" si="4"/>
        <v>완료</v>
      </c>
      <c r="W141" s="25">
        <f t="shared" si="5"/>
        <v>0</v>
      </c>
      <c r="X141" s="25" t="str">
        <f t="shared" si="6"/>
        <v>진행</v>
      </c>
    </row>
    <row r="142" spans="1:24" ht="39.950000000000003" customHeight="1">
      <c r="A142" s="163"/>
      <c r="B142" s="164"/>
      <c r="C142" s="281"/>
      <c r="D142" s="283"/>
      <c r="E142" s="281"/>
      <c r="F142" s="281"/>
      <c r="G142" s="281"/>
      <c r="H142" s="281"/>
      <c r="I142" s="282">
        <f t="shared" si="3"/>
        <v>0</v>
      </c>
      <c r="J142" s="169"/>
      <c r="K142" s="169"/>
      <c r="L142" s="281"/>
      <c r="M142" s="169"/>
      <c r="N142" s="169"/>
      <c r="O142" s="169"/>
      <c r="P142" s="281"/>
      <c r="Q142" s="281"/>
      <c r="R142" s="281"/>
      <c r="S142" s="281"/>
      <c r="T142" s="281"/>
      <c r="V142" s="25" t="str">
        <f t="shared" ca="1" si="4"/>
        <v>완료</v>
      </c>
      <c r="W142" s="25">
        <f t="shared" si="5"/>
        <v>0</v>
      </c>
      <c r="X142" s="25" t="str">
        <f t="shared" si="6"/>
        <v>진행</v>
      </c>
    </row>
    <row r="143" spans="1:24" ht="39.950000000000003" customHeight="1">
      <c r="A143" s="163"/>
      <c r="B143" s="164"/>
      <c r="C143" s="164"/>
      <c r="D143" s="168"/>
      <c r="E143" s="164"/>
      <c r="F143" s="164"/>
      <c r="G143" s="282"/>
      <c r="H143" s="282"/>
      <c r="I143" s="282">
        <f t="shared" si="3"/>
        <v>0</v>
      </c>
      <c r="J143" s="164"/>
      <c r="K143" s="164"/>
      <c r="L143" s="164"/>
      <c r="M143" s="164"/>
      <c r="N143" s="164"/>
      <c r="O143" s="164"/>
      <c r="P143" s="164"/>
      <c r="Q143" s="164"/>
      <c r="R143" s="164"/>
      <c r="S143" s="164"/>
      <c r="T143" s="164"/>
      <c r="V143" s="25" t="str">
        <f t="shared" ca="1" si="4"/>
        <v>완료</v>
      </c>
      <c r="W143" s="25">
        <f t="shared" si="5"/>
        <v>0</v>
      </c>
      <c r="X143" s="25" t="str">
        <f t="shared" si="6"/>
        <v>진행</v>
      </c>
    </row>
    <row r="144" spans="1:24" ht="39.950000000000003" customHeight="1">
      <c r="A144" s="163"/>
      <c r="B144" s="164"/>
      <c r="C144" s="281"/>
      <c r="D144" s="283"/>
      <c r="E144" s="281"/>
      <c r="F144" s="281"/>
      <c r="G144" s="281"/>
      <c r="H144" s="281"/>
      <c r="I144" s="282">
        <f t="shared" si="3"/>
        <v>0</v>
      </c>
      <c r="J144" s="169"/>
      <c r="K144" s="169"/>
      <c r="L144" s="281"/>
      <c r="M144" s="169"/>
      <c r="N144" s="169"/>
      <c r="O144" s="169"/>
      <c r="P144" s="281"/>
      <c r="Q144" s="281"/>
      <c r="R144" s="281"/>
      <c r="S144" s="281"/>
      <c r="T144" s="281"/>
      <c r="V144" s="25" t="str">
        <f t="shared" ca="1" si="4"/>
        <v>완료</v>
      </c>
      <c r="W144" s="25">
        <f t="shared" si="5"/>
        <v>0</v>
      </c>
      <c r="X144" s="25" t="str">
        <f t="shared" si="6"/>
        <v>진행</v>
      </c>
    </row>
    <row r="145" spans="1:24" ht="39.950000000000003" customHeight="1">
      <c r="A145" s="163"/>
      <c r="B145" s="164"/>
      <c r="C145" s="281"/>
      <c r="D145" s="283"/>
      <c r="E145" s="281"/>
      <c r="F145" s="281"/>
      <c r="G145" s="281"/>
      <c r="H145" s="281"/>
      <c r="I145" s="282">
        <f t="shared" si="3"/>
        <v>0</v>
      </c>
      <c r="J145" s="169"/>
      <c r="K145" s="169"/>
      <c r="L145" s="281"/>
      <c r="M145" s="169"/>
      <c r="N145" s="169"/>
      <c r="O145" s="169"/>
      <c r="P145" s="281"/>
      <c r="Q145" s="281"/>
      <c r="R145" s="281"/>
      <c r="S145" s="281"/>
      <c r="T145" s="281"/>
      <c r="V145" s="25" t="str">
        <f t="shared" ca="1" si="4"/>
        <v>완료</v>
      </c>
      <c r="W145" s="25">
        <f t="shared" si="5"/>
        <v>0</v>
      </c>
      <c r="X145" s="25" t="str">
        <f t="shared" si="6"/>
        <v>진행</v>
      </c>
    </row>
    <row r="146" spans="1:24" ht="39.950000000000003" customHeight="1">
      <c r="A146" s="163"/>
      <c r="B146" s="164"/>
      <c r="C146" s="281"/>
      <c r="D146" s="283"/>
      <c r="E146" s="281"/>
      <c r="F146" s="281"/>
      <c r="G146" s="281"/>
      <c r="H146" s="281"/>
      <c r="I146" s="282">
        <f t="shared" si="3"/>
        <v>0</v>
      </c>
      <c r="J146" s="169"/>
      <c r="K146" s="169"/>
      <c r="L146" s="281"/>
      <c r="M146" s="169"/>
      <c r="N146" s="169"/>
      <c r="O146" s="169"/>
      <c r="P146" s="281"/>
      <c r="Q146" s="281"/>
      <c r="R146" s="281"/>
      <c r="S146" s="281"/>
      <c r="T146" s="281"/>
      <c r="V146" s="25" t="str">
        <f t="shared" ca="1" si="4"/>
        <v>완료</v>
      </c>
      <c r="W146" s="25">
        <f t="shared" si="5"/>
        <v>0</v>
      </c>
      <c r="X146" s="25" t="str">
        <f t="shared" si="6"/>
        <v>진행</v>
      </c>
    </row>
    <row r="147" spans="1:24" ht="39.950000000000003" customHeight="1">
      <c r="A147" s="163"/>
      <c r="B147" s="164"/>
      <c r="C147" s="281"/>
      <c r="D147" s="283"/>
      <c r="E147" s="281"/>
      <c r="F147" s="281"/>
      <c r="G147" s="281"/>
      <c r="H147" s="281"/>
      <c r="I147" s="282">
        <f t="shared" si="3"/>
        <v>0</v>
      </c>
      <c r="J147" s="169"/>
      <c r="K147" s="169"/>
      <c r="L147" s="281"/>
      <c r="M147" s="169"/>
      <c r="N147" s="169"/>
      <c r="O147" s="169"/>
      <c r="P147" s="281"/>
      <c r="Q147" s="281"/>
      <c r="R147" s="281"/>
      <c r="S147" s="281"/>
      <c r="T147" s="281"/>
      <c r="V147" s="25" t="str">
        <f t="shared" ca="1" si="4"/>
        <v>완료</v>
      </c>
      <c r="W147" s="25">
        <f t="shared" si="5"/>
        <v>0</v>
      </c>
      <c r="X147" s="25" t="str">
        <f t="shared" si="6"/>
        <v>진행</v>
      </c>
    </row>
    <row r="148" spans="1:24" ht="39.950000000000003" customHeight="1">
      <c r="A148" s="163"/>
      <c r="B148" s="164"/>
      <c r="C148" s="164"/>
      <c r="D148" s="168"/>
      <c r="E148" s="164"/>
      <c r="F148" s="164"/>
      <c r="G148" s="282"/>
      <c r="H148" s="282"/>
      <c r="I148" s="282">
        <f t="shared" si="3"/>
        <v>0</v>
      </c>
      <c r="J148" s="164"/>
      <c r="K148" s="164"/>
      <c r="L148" s="164"/>
      <c r="M148" s="164"/>
      <c r="N148" s="164"/>
      <c r="O148" s="164"/>
      <c r="P148" s="164"/>
      <c r="Q148" s="164"/>
      <c r="R148" s="164"/>
      <c r="S148" s="164"/>
      <c r="T148" s="164"/>
      <c r="V148" s="25" t="str">
        <f t="shared" ca="1" si="4"/>
        <v>완료</v>
      </c>
      <c r="W148" s="25">
        <f t="shared" si="5"/>
        <v>0</v>
      </c>
      <c r="X148" s="25" t="str">
        <f t="shared" si="6"/>
        <v>진행</v>
      </c>
    </row>
    <row r="149" spans="1:24" ht="39.950000000000003" customHeight="1">
      <c r="A149" s="163"/>
      <c r="B149" s="164"/>
      <c r="C149" s="281"/>
      <c r="D149" s="283"/>
      <c r="E149" s="281"/>
      <c r="F149" s="281"/>
      <c r="G149" s="281"/>
      <c r="H149" s="281"/>
      <c r="I149" s="282">
        <f t="shared" si="3"/>
        <v>0</v>
      </c>
      <c r="J149" s="169"/>
      <c r="K149" s="169"/>
      <c r="L149" s="281"/>
      <c r="M149" s="169"/>
      <c r="N149" s="169"/>
      <c r="O149" s="169"/>
      <c r="P149" s="281"/>
      <c r="Q149" s="281"/>
      <c r="R149" s="281"/>
      <c r="S149" s="281"/>
      <c r="T149" s="281"/>
      <c r="V149" s="25" t="str">
        <f t="shared" ca="1" si="4"/>
        <v>완료</v>
      </c>
      <c r="W149" s="25">
        <f t="shared" si="5"/>
        <v>0</v>
      </c>
      <c r="X149" s="25" t="str">
        <f t="shared" si="6"/>
        <v>진행</v>
      </c>
    </row>
    <row r="150" spans="1:24" ht="39.950000000000003" customHeight="1">
      <c r="A150" s="163"/>
      <c r="B150" s="164"/>
      <c r="C150" s="164"/>
      <c r="D150" s="168"/>
      <c r="E150" s="164"/>
      <c r="F150" s="164"/>
      <c r="G150" s="282"/>
      <c r="H150" s="282"/>
      <c r="I150" s="282">
        <f t="shared" si="3"/>
        <v>0</v>
      </c>
      <c r="J150" s="164"/>
      <c r="K150" s="164"/>
      <c r="L150" s="164"/>
      <c r="M150" s="164"/>
      <c r="N150" s="164"/>
      <c r="O150" s="164"/>
      <c r="P150" s="164"/>
      <c r="Q150" s="164"/>
      <c r="R150" s="164"/>
      <c r="S150" s="164"/>
      <c r="T150" s="164"/>
      <c r="V150" s="25" t="str">
        <f t="shared" ca="1" si="4"/>
        <v>완료</v>
      </c>
      <c r="W150" s="25">
        <f t="shared" si="5"/>
        <v>0</v>
      </c>
      <c r="X150" s="25" t="str">
        <f t="shared" si="6"/>
        <v>진행</v>
      </c>
    </row>
    <row r="151" spans="1:24" ht="39.950000000000003" customHeight="1">
      <c r="A151" s="163"/>
      <c r="B151" s="164"/>
      <c r="C151" s="281"/>
      <c r="D151" s="283"/>
      <c r="E151" s="281"/>
      <c r="F151" s="281"/>
      <c r="G151" s="281"/>
      <c r="H151" s="281"/>
      <c r="I151" s="282">
        <f t="shared" si="3"/>
        <v>0</v>
      </c>
      <c r="J151" s="169"/>
      <c r="K151" s="169"/>
      <c r="L151" s="281"/>
      <c r="M151" s="169"/>
      <c r="N151" s="169"/>
      <c r="O151" s="169"/>
      <c r="P151" s="281"/>
      <c r="Q151" s="281"/>
      <c r="R151" s="281"/>
      <c r="S151" s="281"/>
      <c r="T151" s="281"/>
      <c r="V151" s="25" t="str">
        <f t="shared" ca="1" si="4"/>
        <v>완료</v>
      </c>
      <c r="W151" s="25">
        <f t="shared" si="5"/>
        <v>0</v>
      </c>
      <c r="X151" s="25" t="str">
        <f t="shared" si="6"/>
        <v>진행</v>
      </c>
    </row>
    <row r="152" spans="1:24" ht="39.950000000000003" customHeight="1">
      <c r="A152" s="163"/>
      <c r="B152" s="164"/>
      <c r="C152" s="164"/>
      <c r="D152" s="168"/>
      <c r="E152" s="164"/>
      <c r="F152" s="164"/>
      <c r="G152" s="282"/>
      <c r="H152" s="282"/>
      <c r="I152" s="282">
        <f t="shared" si="3"/>
        <v>0</v>
      </c>
      <c r="J152" s="164"/>
      <c r="K152" s="164"/>
      <c r="L152" s="164"/>
      <c r="M152" s="164"/>
      <c r="N152" s="164"/>
      <c r="O152" s="164"/>
      <c r="P152" s="164"/>
      <c r="Q152" s="164"/>
      <c r="R152" s="164"/>
      <c r="S152" s="164"/>
      <c r="T152" s="164"/>
      <c r="V152" s="25" t="str">
        <f t="shared" ca="1" si="4"/>
        <v>완료</v>
      </c>
      <c r="W152" s="25">
        <f t="shared" si="5"/>
        <v>0</v>
      </c>
      <c r="X152" s="25" t="str">
        <f t="shared" si="6"/>
        <v>진행</v>
      </c>
    </row>
    <row r="153" spans="1:24" ht="39.950000000000003" customHeight="1">
      <c r="A153" s="163"/>
      <c r="B153" s="164"/>
      <c r="C153" s="281"/>
      <c r="D153" s="283"/>
      <c r="E153" s="281"/>
      <c r="F153" s="281"/>
      <c r="G153" s="281"/>
      <c r="H153" s="281"/>
      <c r="I153" s="282">
        <f t="shared" si="3"/>
        <v>0</v>
      </c>
      <c r="J153" s="169"/>
      <c r="K153" s="169"/>
      <c r="L153" s="281"/>
      <c r="M153" s="169"/>
      <c r="N153" s="169"/>
      <c r="O153" s="169"/>
      <c r="P153" s="164"/>
      <c r="Q153" s="164"/>
      <c r="R153" s="164"/>
      <c r="S153" s="164"/>
      <c r="T153" s="164"/>
      <c r="V153" s="25" t="str">
        <f t="shared" ca="1" si="4"/>
        <v>완료</v>
      </c>
      <c r="W153" s="25">
        <f t="shared" si="5"/>
        <v>0</v>
      </c>
      <c r="X153" s="25" t="str">
        <f t="shared" si="6"/>
        <v>진행</v>
      </c>
    </row>
    <row r="154" spans="1:24" ht="39.950000000000003" customHeight="1">
      <c r="A154" s="163"/>
      <c r="B154" s="164"/>
      <c r="C154" s="164"/>
      <c r="D154" s="168"/>
      <c r="E154" s="164"/>
      <c r="F154" s="164"/>
      <c r="G154" s="282"/>
      <c r="H154" s="282"/>
      <c r="I154" s="282">
        <f t="shared" si="3"/>
        <v>0</v>
      </c>
      <c r="J154" s="164"/>
      <c r="K154" s="164"/>
      <c r="L154" s="164"/>
      <c r="M154" s="164"/>
      <c r="N154" s="164"/>
      <c r="O154" s="164"/>
      <c r="P154" s="164"/>
      <c r="Q154" s="164"/>
      <c r="R154" s="164"/>
      <c r="S154" s="164"/>
      <c r="T154" s="164"/>
      <c r="V154" s="25" t="str">
        <f t="shared" ca="1" si="4"/>
        <v>완료</v>
      </c>
      <c r="W154" s="25">
        <f t="shared" si="5"/>
        <v>0</v>
      </c>
      <c r="X154" s="25" t="str">
        <f t="shared" si="6"/>
        <v>진행</v>
      </c>
    </row>
    <row r="155" spans="1:24" ht="39.950000000000003" customHeight="1">
      <c r="A155" s="163"/>
      <c r="B155" s="164"/>
      <c r="C155" s="281"/>
      <c r="D155" s="283"/>
      <c r="E155" s="281"/>
      <c r="F155" s="281"/>
      <c r="G155" s="281"/>
      <c r="H155" s="281"/>
      <c r="I155" s="282">
        <f t="shared" si="3"/>
        <v>0</v>
      </c>
      <c r="J155" s="169"/>
      <c r="K155" s="169"/>
      <c r="L155" s="281"/>
      <c r="M155" s="169"/>
      <c r="N155" s="169"/>
      <c r="O155" s="169"/>
      <c r="P155" s="281"/>
      <c r="Q155" s="281"/>
      <c r="R155" s="281"/>
      <c r="S155" s="281"/>
      <c r="T155" s="281"/>
      <c r="V155" s="25" t="str">
        <f t="shared" ca="1" si="4"/>
        <v>완료</v>
      </c>
      <c r="W155" s="25">
        <f t="shared" si="5"/>
        <v>0</v>
      </c>
      <c r="X155" s="25" t="str">
        <f t="shared" si="6"/>
        <v>진행</v>
      </c>
    </row>
    <row r="156" spans="1:24" ht="39.950000000000003" customHeight="1">
      <c r="A156" s="163"/>
      <c r="B156" s="164"/>
      <c r="C156" s="281"/>
      <c r="D156" s="283"/>
      <c r="E156" s="281"/>
      <c r="F156" s="281"/>
      <c r="G156" s="281"/>
      <c r="H156" s="281"/>
      <c r="I156" s="282">
        <f t="shared" si="3"/>
        <v>0</v>
      </c>
      <c r="J156" s="169"/>
      <c r="K156" s="169"/>
      <c r="L156" s="281"/>
      <c r="M156" s="169"/>
      <c r="N156" s="169"/>
      <c r="O156" s="169"/>
      <c r="P156" s="281"/>
      <c r="Q156" s="281"/>
      <c r="R156" s="281"/>
      <c r="S156" s="281"/>
      <c r="T156" s="281"/>
      <c r="V156" s="25" t="str">
        <f t="shared" ca="1" si="4"/>
        <v>완료</v>
      </c>
      <c r="W156" s="25">
        <f t="shared" si="5"/>
        <v>0</v>
      </c>
      <c r="X156" s="25" t="str">
        <f t="shared" si="6"/>
        <v>진행</v>
      </c>
    </row>
    <row r="157" spans="1:24" ht="39.950000000000003" customHeight="1">
      <c r="A157" s="163"/>
      <c r="B157" s="164"/>
      <c r="C157" s="281"/>
      <c r="D157" s="283"/>
      <c r="E157" s="281"/>
      <c r="F157" s="281"/>
      <c r="G157" s="281"/>
      <c r="H157" s="281"/>
      <c r="I157" s="282">
        <f t="shared" si="3"/>
        <v>0</v>
      </c>
      <c r="J157" s="169"/>
      <c r="K157" s="169"/>
      <c r="L157" s="281"/>
      <c r="M157" s="169"/>
      <c r="N157" s="169"/>
      <c r="O157" s="169"/>
      <c r="P157" s="281"/>
      <c r="Q157" s="281"/>
      <c r="R157" s="281"/>
      <c r="S157" s="281"/>
      <c r="T157" s="281"/>
      <c r="V157" s="25" t="str">
        <f t="shared" ca="1" si="4"/>
        <v>완료</v>
      </c>
      <c r="W157" s="25">
        <f t="shared" si="5"/>
        <v>0</v>
      </c>
      <c r="X157" s="25" t="str">
        <f t="shared" si="6"/>
        <v>진행</v>
      </c>
    </row>
    <row r="158" spans="1:24" ht="39.950000000000003" customHeight="1">
      <c r="A158" s="163"/>
      <c r="B158" s="164"/>
      <c r="C158" s="281"/>
      <c r="D158" s="284"/>
      <c r="E158" s="281"/>
      <c r="F158" s="281"/>
      <c r="G158" s="281"/>
      <c r="H158" s="281"/>
      <c r="I158" s="282">
        <f t="shared" si="3"/>
        <v>0</v>
      </c>
      <c r="J158" s="169"/>
      <c r="K158" s="169"/>
      <c r="L158" s="281"/>
      <c r="M158" s="169"/>
      <c r="N158" s="169"/>
      <c r="O158" s="169"/>
      <c r="P158" s="281"/>
      <c r="Q158" s="281"/>
      <c r="R158" s="281"/>
      <c r="S158" s="281"/>
      <c r="T158" s="281"/>
      <c r="V158" s="25" t="str">
        <f t="shared" ca="1" si="4"/>
        <v>완료</v>
      </c>
      <c r="W158" s="25">
        <f t="shared" si="5"/>
        <v>0</v>
      </c>
      <c r="X158" s="25" t="str">
        <f t="shared" si="6"/>
        <v>진행</v>
      </c>
    </row>
    <row r="159" spans="1:24" ht="39.950000000000003" customHeight="1">
      <c r="A159" s="163"/>
      <c r="B159" s="164"/>
      <c r="C159" s="164"/>
      <c r="D159" s="170"/>
      <c r="E159" s="164"/>
      <c r="F159" s="164"/>
      <c r="G159" s="282"/>
      <c r="H159" s="282"/>
      <c r="I159" s="282">
        <f t="shared" si="3"/>
        <v>0</v>
      </c>
      <c r="J159" s="164"/>
      <c r="K159" s="164"/>
      <c r="L159" s="164"/>
      <c r="M159" s="164"/>
      <c r="N159" s="164"/>
      <c r="O159" s="164"/>
      <c r="P159" s="164"/>
      <c r="Q159" s="164"/>
      <c r="R159" s="164"/>
      <c r="S159" s="164"/>
      <c r="T159" s="164"/>
      <c r="V159" s="25" t="str">
        <f t="shared" ca="1" si="4"/>
        <v>완료</v>
      </c>
      <c r="W159" s="25">
        <f t="shared" si="5"/>
        <v>0</v>
      </c>
      <c r="X159" s="25" t="str">
        <f t="shared" si="6"/>
        <v>진행</v>
      </c>
    </row>
    <row r="160" spans="1:24" ht="39.950000000000003" customHeight="1">
      <c r="A160" s="163"/>
      <c r="B160" s="164"/>
      <c r="C160" s="281"/>
      <c r="D160" s="284"/>
      <c r="E160" s="281"/>
      <c r="F160" s="281"/>
      <c r="G160" s="281"/>
      <c r="H160" s="281"/>
      <c r="I160" s="282">
        <f t="shared" si="3"/>
        <v>0</v>
      </c>
      <c r="J160" s="169"/>
      <c r="K160" s="169"/>
      <c r="L160" s="281"/>
      <c r="M160" s="169"/>
      <c r="N160" s="169"/>
      <c r="O160" s="169"/>
      <c r="P160" s="281"/>
      <c r="Q160" s="281"/>
      <c r="R160" s="281"/>
      <c r="S160" s="281"/>
      <c r="T160" s="281"/>
      <c r="V160" s="25" t="str">
        <f t="shared" ca="1" si="4"/>
        <v>완료</v>
      </c>
      <c r="W160" s="25">
        <f t="shared" si="5"/>
        <v>0</v>
      </c>
      <c r="X160" s="25" t="str">
        <f t="shared" si="6"/>
        <v>진행</v>
      </c>
    </row>
    <row r="161" spans="1:24" ht="39.950000000000003" customHeight="1">
      <c r="A161" s="163"/>
      <c r="B161" s="164"/>
      <c r="C161" s="164"/>
      <c r="D161" s="170"/>
      <c r="E161" s="164"/>
      <c r="F161" s="164"/>
      <c r="G161" s="282"/>
      <c r="H161" s="282"/>
      <c r="I161" s="282">
        <f t="shared" si="3"/>
        <v>0</v>
      </c>
      <c r="J161" s="164"/>
      <c r="K161" s="164"/>
      <c r="L161" s="164"/>
      <c r="M161" s="164"/>
      <c r="N161" s="164"/>
      <c r="O161" s="164"/>
      <c r="P161" s="164"/>
      <c r="Q161" s="164"/>
      <c r="R161" s="164"/>
      <c r="S161" s="164"/>
      <c r="T161" s="164"/>
      <c r="V161" s="25" t="str">
        <f t="shared" ca="1" si="4"/>
        <v>완료</v>
      </c>
      <c r="W161" s="25">
        <f t="shared" si="5"/>
        <v>0</v>
      </c>
      <c r="X161" s="25" t="str">
        <f t="shared" si="6"/>
        <v>진행</v>
      </c>
    </row>
    <row r="162" spans="1:24" ht="39.950000000000003" customHeight="1">
      <c r="A162" s="163"/>
      <c r="B162" s="164"/>
      <c r="C162" s="281"/>
      <c r="D162" s="284"/>
      <c r="E162" s="281"/>
      <c r="F162" s="281"/>
      <c r="G162" s="281"/>
      <c r="H162" s="281"/>
      <c r="I162" s="282">
        <f t="shared" si="3"/>
        <v>0</v>
      </c>
      <c r="J162" s="169"/>
      <c r="K162" s="169"/>
      <c r="L162" s="281"/>
      <c r="M162" s="169"/>
      <c r="N162" s="169"/>
      <c r="O162" s="169"/>
      <c r="P162" s="281"/>
      <c r="Q162" s="281"/>
      <c r="R162" s="281"/>
      <c r="S162" s="281"/>
      <c r="T162" s="281"/>
      <c r="V162" s="25" t="str">
        <f t="shared" ca="1" si="4"/>
        <v>완료</v>
      </c>
      <c r="W162" s="25">
        <f t="shared" si="5"/>
        <v>0</v>
      </c>
      <c r="X162" s="25" t="str">
        <f t="shared" si="6"/>
        <v>진행</v>
      </c>
    </row>
    <row r="163" spans="1:24" ht="39.950000000000003" customHeight="1">
      <c r="A163" s="163"/>
      <c r="B163" s="164"/>
      <c r="C163" s="281"/>
      <c r="D163" s="284"/>
      <c r="E163" s="281"/>
      <c r="F163" s="281"/>
      <c r="G163" s="281"/>
      <c r="H163" s="281"/>
      <c r="I163" s="282">
        <f t="shared" si="3"/>
        <v>0</v>
      </c>
      <c r="J163" s="169"/>
      <c r="K163" s="169"/>
      <c r="L163" s="281"/>
      <c r="M163" s="169"/>
      <c r="N163" s="169"/>
      <c r="O163" s="169"/>
      <c r="P163" s="281"/>
      <c r="Q163" s="281"/>
      <c r="R163" s="281"/>
      <c r="S163" s="281"/>
      <c r="T163" s="281"/>
      <c r="V163" s="25" t="str">
        <f t="shared" ca="1" si="4"/>
        <v>완료</v>
      </c>
      <c r="W163" s="25">
        <f t="shared" si="5"/>
        <v>0</v>
      </c>
      <c r="X163" s="25" t="str">
        <f t="shared" si="6"/>
        <v>진행</v>
      </c>
    </row>
    <row r="164" spans="1:24" ht="39.950000000000003" customHeight="1">
      <c r="A164" s="163"/>
      <c r="B164" s="164"/>
      <c r="C164" s="281"/>
      <c r="D164" s="284"/>
      <c r="E164" s="281"/>
      <c r="F164" s="281"/>
      <c r="G164" s="281"/>
      <c r="H164" s="281"/>
      <c r="I164" s="282">
        <f t="shared" si="3"/>
        <v>0</v>
      </c>
      <c r="J164" s="169"/>
      <c r="K164" s="169"/>
      <c r="L164" s="281"/>
      <c r="M164" s="169"/>
      <c r="N164" s="169"/>
      <c r="O164" s="169"/>
      <c r="P164" s="281"/>
      <c r="Q164" s="281"/>
      <c r="R164" s="281"/>
      <c r="S164" s="281"/>
      <c r="T164" s="281"/>
      <c r="V164" s="25" t="str">
        <f t="shared" ca="1" si="4"/>
        <v>완료</v>
      </c>
      <c r="W164" s="25">
        <f t="shared" si="5"/>
        <v>0</v>
      </c>
      <c r="X164" s="25" t="str">
        <f t="shared" si="6"/>
        <v>진행</v>
      </c>
    </row>
    <row r="165" spans="1:24" ht="39.950000000000003" customHeight="1">
      <c r="A165" s="163"/>
      <c r="B165" s="164"/>
      <c r="C165" s="281"/>
      <c r="D165" s="284"/>
      <c r="E165" s="281"/>
      <c r="F165" s="281"/>
      <c r="G165" s="281"/>
      <c r="H165" s="281"/>
      <c r="I165" s="282">
        <f t="shared" ref="I165:I228" si="7">G165+H165</f>
        <v>0</v>
      </c>
      <c r="J165" s="169"/>
      <c r="K165" s="169"/>
      <c r="L165" s="281"/>
      <c r="M165" s="169"/>
      <c r="N165" s="169"/>
      <c r="O165" s="169"/>
      <c r="P165" s="281"/>
      <c r="Q165" s="281"/>
      <c r="R165" s="281"/>
      <c r="S165" s="281"/>
      <c r="T165" s="281"/>
      <c r="V165" s="25" t="str">
        <f t="shared" ca="1" si="4"/>
        <v>완료</v>
      </c>
      <c r="W165" s="25">
        <f t="shared" si="5"/>
        <v>0</v>
      </c>
      <c r="X165" s="25" t="str">
        <f t="shared" si="6"/>
        <v>진행</v>
      </c>
    </row>
    <row r="166" spans="1:24" ht="39.950000000000003" customHeight="1">
      <c r="A166" s="163"/>
      <c r="B166" s="164"/>
      <c r="C166" s="281"/>
      <c r="D166" s="284"/>
      <c r="E166" s="281"/>
      <c r="F166" s="281"/>
      <c r="G166" s="281"/>
      <c r="H166" s="281"/>
      <c r="I166" s="282">
        <f t="shared" si="7"/>
        <v>0</v>
      </c>
      <c r="J166" s="169"/>
      <c r="K166" s="169"/>
      <c r="L166" s="281"/>
      <c r="M166" s="169"/>
      <c r="N166" s="169"/>
      <c r="O166" s="169"/>
      <c r="P166" s="281"/>
      <c r="Q166" s="281"/>
      <c r="R166" s="281"/>
      <c r="S166" s="281"/>
      <c r="T166" s="281"/>
      <c r="V166" s="25" t="str">
        <f t="shared" ca="1" si="4"/>
        <v>완료</v>
      </c>
      <c r="W166" s="25">
        <f t="shared" si="5"/>
        <v>0</v>
      </c>
      <c r="X166" s="25" t="str">
        <f t="shared" si="6"/>
        <v>진행</v>
      </c>
    </row>
    <row r="167" spans="1:24" ht="39.950000000000003" customHeight="1">
      <c r="A167" s="163"/>
      <c r="B167" s="164"/>
      <c r="C167" s="281"/>
      <c r="D167" s="284"/>
      <c r="E167" s="281"/>
      <c r="F167" s="281"/>
      <c r="G167" s="281"/>
      <c r="H167" s="281"/>
      <c r="I167" s="282">
        <f t="shared" si="7"/>
        <v>0</v>
      </c>
      <c r="J167" s="169"/>
      <c r="K167" s="169"/>
      <c r="L167" s="281"/>
      <c r="M167" s="169"/>
      <c r="N167" s="169"/>
      <c r="O167" s="169"/>
      <c r="P167" s="281"/>
      <c r="Q167" s="281"/>
      <c r="R167" s="281"/>
      <c r="S167" s="281"/>
      <c r="T167" s="281"/>
      <c r="V167" s="25" t="str">
        <f t="shared" ca="1" si="4"/>
        <v>완료</v>
      </c>
      <c r="W167" s="25">
        <f t="shared" si="5"/>
        <v>0</v>
      </c>
      <c r="X167" s="25" t="str">
        <f t="shared" si="6"/>
        <v>진행</v>
      </c>
    </row>
    <row r="168" spans="1:24" ht="39.950000000000003" customHeight="1">
      <c r="A168" s="163"/>
      <c r="B168" s="164"/>
      <c r="C168" s="281"/>
      <c r="D168" s="284"/>
      <c r="E168" s="281"/>
      <c r="F168" s="281"/>
      <c r="G168" s="281"/>
      <c r="H168" s="281"/>
      <c r="I168" s="282">
        <f t="shared" si="7"/>
        <v>0</v>
      </c>
      <c r="J168" s="169"/>
      <c r="K168" s="169"/>
      <c r="L168" s="281"/>
      <c r="M168" s="169"/>
      <c r="N168" s="169"/>
      <c r="O168" s="169"/>
      <c r="P168" s="281"/>
      <c r="Q168" s="281"/>
      <c r="R168" s="281"/>
      <c r="S168" s="281"/>
      <c r="T168" s="281"/>
      <c r="V168" s="25" t="str">
        <f t="shared" ca="1" si="4"/>
        <v>완료</v>
      </c>
      <c r="W168" s="25">
        <f t="shared" si="5"/>
        <v>0</v>
      </c>
      <c r="X168" s="25" t="str">
        <f t="shared" si="6"/>
        <v>진행</v>
      </c>
    </row>
    <row r="169" spans="1:24" ht="39.950000000000003" customHeight="1">
      <c r="A169" s="163"/>
      <c r="B169" s="164"/>
      <c r="C169" s="281"/>
      <c r="D169" s="284"/>
      <c r="E169" s="281"/>
      <c r="F169" s="281"/>
      <c r="G169" s="281"/>
      <c r="H169" s="281"/>
      <c r="I169" s="282">
        <f t="shared" si="7"/>
        <v>0</v>
      </c>
      <c r="J169" s="169"/>
      <c r="K169" s="169"/>
      <c r="L169" s="281"/>
      <c r="M169" s="169"/>
      <c r="N169" s="169"/>
      <c r="O169" s="169"/>
      <c r="P169" s="281"/>
      <c r="Q169" s="281"/>
      <c r="R169" s="281"/>
      <c r="S169" s="281"/>
      <c r="T169" s="281"/>
      <c r="V169" s="25" t="str">
        <f t="shared" ca="1" si="4"/>
        <v>완료</v>
      </c>
      <c r="W169" s="25">
        <f t="shared" si="5"/>
        <v>0</v>
      </c>
      <c r="X169" s="25" t="str">
        <f t="shared" si="6"/>
        <v>진행</v>
      </c>
    </row>
    <row r="170" spans="1:24" ht="39.950000000000003" customHeight="1">
      <c r="A170" s="163"/>
      <c r="B170" s="164"/>
      <c r="C170" s="281"/>
      <c r="D170" s="284"/>
      <c r="E170" s="281"/>
      <c r="F170" s="281"/>
      <c r="G170" s="281"/>
      <c r="H170" s="281"/>
      <c r="I170" s="282">
        <f t="shared" si="7"/>
        <v>0</v>
      </c>
      <c r="J170" s="169"/>
      <c r="K170" s="169"/>
      <c r="L170" s="281"/>
      <c r="M170" s="169"/>
      <c r="N170" s="169"/>
      <c r="O170" s="169"/>
      <c r="P170" s="281"/>
      <c r="Q170" s="281"/>
      <c r="R170" s="281"/>
      <c r="S170" s="281"/>
      <c r="T170" s="281"/>
      <c r="V170" s="25" t="str">
        <f t="shared" ca="1" si="4"/>
        <v>완료</v>
      </c>
      <c r="W170" s="25">
        <f t="shared" si="5"/>
        <v>0</v>
      </c>
      <c r="X170" s="25" t="str">
        <f t="shared" si="6"/>
        <v>진행</v>
      </c>
    </row>
    <row r="171" spans="1:24" ht="39.950000000000003" customHeight="1">
      <c r="A171" s="163"/>
      <c r="B171" s="164"/>
      <c r="C171" s="164"/>
      <c r="D171" s="170"/>
      <c r="E171" s="164"/>
      <c r="F171" s="164"/>
      <c r="G171" s="282"/>
      <c r="H171" s="282"/>
      <c r="I171" s="282">
        <f t="shared" si="7"/>
        <v>0</v>
      </c>
      <c r="J171" s="164"/>
      <c r="K171" s="164"/>
      <c r="L171" s="164"/>
      <c r="M171" s="164"/>
      <c r="N171" s="164"/>
      <c r="O171" s="164"/>
      <c r="P171" s="164"/>
      <c r="Q171" s="164"/>
      <c r="R171" s="164"/>
      <c r="S171" s="164"/>
      <c r="T171" s="164"/>
      <c r="V171" s="25" t="str">
        <f t="shared" ca="1" si="4"/>
        <v>완료</v>
      </c>
      <c r="W171" s="25">
        <f t="shared" si="5"/>
        <v>0</v>
      </c>
      <c r="X171" s="25" t="str">
        <f t="shared" si="6"/>
        <v>진행</v>
      </c>
    </row>
    <row r="172" spans="1:24" ht="39.950000000000003" customHeight="1">
      <c r="A172" s="163"/>
      <c r="B172" s="164"/>
      <c r="C172" s="281"/>
      <c r="D172" s="284"/>
      <c r="E172" s="281"/>
      <c r="F172" s="281"/>
      <c r="G172" s="281"/>
      <c r="H172" s="281"/>
      <c r="I172" s="282">
        <f t="shared" si="7"/>
        <v>0</v>
      </c>
      <c r="J172" s="169"/>
      <c r="K172" s="169"/>
      <c r="L172" s="281"/>
      <c r="M172" s="169"/>
      <c r="N172" s="169"/>
      <c r="O172" s="169"/>
      <c r="P172" s="281"/>
      <c r="Q172" s="281"/>
      <c r="R172" s="281"/>
      <c r="S172" s="281"/>
      <c r="T172" s="281"/>
      <c r="V172" s="25" t="str">
        <f t="shared" ca="1" si="4"/>
        <v>완료</v>
      </c>
      <c r="W172" s="25">
        <f t="shared" si="5"/>
        <v>0</v>
      </c>
      <c r="X172" s="25" t="str">
        <f t="shared" si="6"/>
        <v>진행</v>
      </c>
    </row>
    <row r="173" spans="1:24" ht="39.950000000000003" customHeight="1">
      <c r="A173" s="163"/>
      <c r="B173" s="164"/>
      <c r="C173" s="164"/>
      <c r="D173" s="170"/>
      <c r="E173" s="164"/>
      <c r="F173" s="164"/>
      <c r="G173" s="282"/>
      <c r="H173" s="282"/>
      <c r="I173" s="282">
        <f t="shared" si="7"/>
        <v>0</v>
      </c>
      <c r="J173" s="164"/>
      <c r="K173" s="164"/>
      <c r="L173" s="164"/>
      <c r="M173" s="164"/>
      <c r="N173" s="164"/>
      <c r="O173" s="164"/>
      <c r="P173" s="164"/>
      <c r="Q173" s="164"/>
      <c r="R173" s="164"/>
      <c r="S173" s="164"/>
      <c r="T173" s="164"/>
      <c r="V173" s="25" t="str">
        <f t="shared" ca="1" si="4"/>
        <v>완료</v>
      </c>
      <c r="W173" s="25">
        <f t="shared" si="5"/>
        <v>0</v>
      </c>
      <c r="X173" s="25" t="str">
        <f t="shared" si="6"/>
        <v>진행</v>
      </c>
    </row>
    <row r="174" spans="1:24" ht="39.950000000000003" customHeight="1">
      <c r="A174" s="163"/>
      <c r="B174" s="164"/>
      <c r="C174" s="281"/>
      <c r="D174" s="284"/>
      <c r="E174" s="281"/>
      <c r="F174" s="281"/>
      <c r="G174" s="281"/>
      <c r="H174" s="281"/>
      <c r="I174" s="282">
        <f t="shared" si="7"/>
        <v>0</v>
      </c>
      <c r="J174" s="169"/>
      <c r="K174" s="169"/>
      <c r="L174" s="281"/>
      <c r="M174" s="169"/>
      <c r="N174" s="169"/>
      <c r="O174" s="169"/>
      <c r="P174" s="281"/>
      <c r="Q174" s="281"/>
      <c r="R174" s="281"/>
      <c r="S174" s="281"/>
      <c r="T174" s="281"/>
      <c r="V174" s="25" t="str">
        <f t="shared" ca="1" si="4"/>
        <v>완료</v>
      </c>
      <c r="W174" s="25">
        <f t="shared" si="5"/>
        <v>0</v>
      </c>
      <c r="X174" s="25" t="str">
        <f t="shared" si="6"/>
        <v>진행</v>
      </c>
    </row>
    <row r="175" spans="1:24" ht="39.950000000000003" customHeight="1">
      <c r="A175" s="163"/>
      <c r="B175" s="164"/>
      <c r="C175" s="281"/>
      <c r="D175" s="284"/>
      <c r="E175" s="281"/>
      <c r="F175" s="281"/>
      <c r="G175" s="281"/>
      <c r="H175" s="281"/>
      <c r="I175" s="282">
        <f t="shared" si="7"/>
        <v>0</v>
      </c>
      <c r="J175" s="169"/>
      <c r="K175" s="169"/>
      <c r="L175" s="281"/>
      <c r="M175" s="169"/>
      <c r="N175" s="169"/>
      <c r="O175" s="169"/>
      <c r="P175" s="281"/>
      <c r="Q175" s="281"/>
      <c r="R175" s="281"/>
      <c r="S175" s="281"/>
      <c r="T175" s="281"/>
      <c r="V175" s="25" t="str">
        <f t="shared" ca="1" si="4"/>
        <v>완료</v>
      </c>
      <c r="W175" s="25">
        <f t="shared" si="5"/>
        <v>0</v>
      </c>
      <c r="X175" s="25" t="str">
        <f t="shared" si="6"/>
        <v>진행</v>
      </c>
    </row>
    <row r="176" spans="1:24" ht="39.950000000000003" customHeight="1">
      <c r="A176" s="163"/>
      <c r="B176" s="164"/>
      <c r="C176" s="281"/>
      <c r="D176" s="284"/>
      <c r="E176" s="281"/>
      <c r="F176" s="281"/>
      <c r="G176" s="281"/>
      <c r="H176" s="281"/>
      <c r="I176" s="282">
        <f t="shared" si="7"/>
        <v>0</v>
      </c>
      <c r="J176" s="169"/>
      <c r="K176" s="169"/>
      <c r="L176" s="281"/>
      <c r="M176" s="169"/>
      <c r="N176" s="169"/>
      <c r="O176" s="169"/>
      <c r="P176" s="281"/>
      <c r="Q176" s="281"/>
      <c r="R176" s="281"/>
      <c r="S176" s="281"/>
      <c r="T176" s="281"/>
      <c r="V176" s="25" t="str">
        <f t="shared" ca="1" si="4"/>
        <v>완료</v>
      </c>
      <c r="W176" s="25">
        <f t="shared" si="5"/>
        <v>0</v>
      </c>
      <c r="X176" s="25" t="str">
        <f t="shared" si="6"/>
        <v>진행</v>
      </c>
    </row>
    <row r="177" spans="1:24" ht="39.950000000000003" customHeight="1">
      <c r="A177" s="163"/>
      <c r="B177" s="164"/>
      <c r="C177" s="281"/>
      <c r="D177" s="284"/>
      <c r="E177" s="281"/>
      <c r="F177" s="281"/>
      <c r="G177" s="281"/>
      <c r="H177" s="281"/>
      <c r="I177" s="282">
        <f t="shared" si="7"/>
        <v>0</v>
      </c>
      <c r="J177" s="169"/>
      <c r="K177" s="169"/>
      <c r="L177" s="281"/>
      <c r="M177" s="169"/>
      <c r="N177" s="169"/>
      <c r="O177" s="169"/>
      <c r="P177" s="281"/>
      <c r="Q177" s="281"/>
      <c r="R177" s="281"/>
      <c r="S177" s="281"/>
      <c r="T177" s="281"/>
      <c r="V177" s="25" t="str">
        <f t="shared" ca="1" si="4"/>
        <v>완료</v>
      </c>
      <c r="W177" s="25">
        <f t="shared" si="5"/>
        <v>0</v>
      </c>
      <c r="X177" s="25" t="str">
        <f t="shared" si="6"/>
        <v>진행</v>
      </c>
    </row>
    <row r="178" spans="1:24" ht="39.950000000000003" customHeight="1">
      <c r="A178" s="163"/>
      <c r="B178" s="164"/>
      <c r="C178" s="164"/>
      <c r="D178" s="170"/>
      <c r="E178" s="164"/>
      <c r="F178" s="164"/>
      <c r="G178" s="282"/>
      <c r="H178" s="282"/>
      <c r="I178" s="282">
        <f t="shared" si="7"/>
        <v>0</v>
      </c>
      <c r="J178" s="164"/>
      <c r="K178" s="164"/>
      <c r="L178" s="164"/>
      <c r="M178" s="164"/>
      <c r="N178" s="164"/>
      <c r="O178" s="164"/>
      <c r="P178" s="164"/>
      <c r="Q178" s="164"/>
      <c r="R178" s="164"/>
      <c r="S178" s="164"/>
      <c r="T178" s="164"/>
      <c r="V178" s="25" t="str">
        <f t="shared" ca="1" si="4"/>
        <v>완료</v>
      </c>
      <c r="W178" s="25">
        <f t="shared" si="5"/>
        <v>0</v>
      </c>
      <c r="X178" s="25" t="str">
        <f t="shared" si="6"/>
        <v>진행</v>
      </c>
    </row>
    <row r="179" spans="1:24" ht="39.950000000000003" customHeight="1">
      <c r="A179" s="163"/>
      <c r="B179" s="164"/>
      <c r="C179" s="281"/>
      <c r="D179" s="284"/>
      <c r="E179" s="281"/>
      <c r="F179" s="281"/>
      <c r="G179" s="281"/>
      <c r="H179" s="281"/>
      <c r="I179" s="282">
        <f t="shared" si="7"/>
        <v>0</v>
      </c>
      <c r="J179" s="169"/>
      <c r="K179" s="169"/>
      <c r="L179" s="281"/>
      <c r="M179" s="169"/>
      <c r="N179" s="169"/>
      <c r="O179" s="169"/>
      <c r="P179" s="281"/>
      <c r="Q179" s="281"/>
      <c r="R179" s="281"/>
      <c r="S179" s="281"/>
      <c r="T179" s="281"/>
      <c r="V179" s="25" t="str">
        <f t="shared" ca="1" si="4"/>
        <v>완료</v>
      </c>
      <c r="W179" s="25">
        <f t="shared" si="5"/>
        <v>0</v>
      </c>
      <c r="X179" s="25" t="str">
        <f t="shared" si="6"/>
        <v>진행</v>
      </c>
    </row>
    <row r="180" spans="1:24" ht="39.950000000000003" customHeight="1">
      <c r="A180" s="163"/>
      <c r="B180" s="164"/>
      <c r="C180" s="281"/>
      <c r="D180" s="284"/>
      <c r="E180" s="281"/>
      <c r="F180" s="281"/>
      <c r="G180" s="281"/>
      <c r="H180" s="281"/>
      <c r="I180" s="282">
        <f t="shared" si="7"/>
        <v>0</v>
      </c>
      <c r="J180" s="169"/>
      <c r="K180" s="169"/>
      <c r="L180" s="281"/>
      <c r="M180" s="169"/>
      <c r="N180" s="169"/>
      <c r="O180" s="169"/>
      <c r="P180" s="281"/>
      <c r="Q180" s="281"/>
      <c r="R180" s="281"/>
      <c r="S180" s="281"/>
      <c r="T180" s="281"/>
      <c r="V180" s="25" t="str">
        <f t="shared" ca="1" si="4"/>
        <v>완료</v>
      </c>
      <c r="W180" s="25">
        <f t="shared" si="5"/>
        <v>0</v>
      </c>
      <c r="X180" s="25" t="str">
        <f t="shared" si="6"/>
        <v>진행</v>
      </c>
    </row>
    <row r="181" spans="1:24" ht="39.950000000000003" customHeight="1">
      <c r="A181" s="163"/>
      <c r="B181" s="164"/>
      <c r="C181" s="281"/>
      <c r="D181" s="284"/>
      <c r="E181" s="281"/>
      <c r="F181" s="281"/>
      <c r="G181" s="281"/>
      <c r="H181" s="281"/>
      <c r="I181" s="282">
        <f t="shared" si="7"/>
        <v>0</v>
      </c>
      <c r="J181" s="169"/>
      <c r="K181" s="169"/>
      <c r="L181" s="281"/>
      <c r="M181" s="169"/>
      <c r="N181" s="169"/>
      <c r="O181" s="169"/>
      <c r="P181" s="281"/>
      <c r="Q181" s="281"/>
      <c r="R181" s="281"/>
      <c r="S181" s="281"/>
      <c r="T181" s="281"/>
      <c r="V181" s="25" t="str">
        <f t="shared" ca="1" si="4"/>
        <v>완료</v>
      </c>
      <c r="W181" s="25">
        <f t="shared" si="5"/>
        <v>0</v>
      </c>
      <c r="X181" s="25" t="str">
        <f t="shared" si="6"/>
        <v>진행</v>
      </c>
    </row>
    <row r="182" spans="1:24" ht="39.950000000000003" customHeight="1">
      <c r="A182" s="163"/>
      <c r="B182" s="164"/>
      <c r="C182" s="164"/>
      <c r="D182" s="170"/>
      <c r="E182" s="164"/>
      <c r="F182" s="164"/>
      <c r="G182" s="282"/>
      <c r="H182" s="282"/>
      <c r="I182" s="282">
        <f t="shared" si="7"/>
        <v>0</v>
      </c>
      <c r="J182" s="164"/>
      <c r="K182" s="164"/>
      <c r="L182" s="164"/>
      <c r="M182" s="164"/>
      <c r="N182" s="164"/>
      <c r="O182" s="164"/>
      <c r="P182" s="164"/>
      <c r="Q182" s="164"/>
      <c r="R182" s="164"/>
      <c r="S182" s="164"/>
      <c r="T182" s="164"/>
      <c r="V182" s="25" t="str">
        <f t="shared" ca="1" si="4"/>
        <v>완료</v>
      </c>
      <c r="W182" s="25">
        <f t="shared" si="5"/>
        <v>0</v>
      </c>
      <c r="X182" s="25" t="str">
        <f t="shared" si="6"/>
        <v>진행</v>
      </c>
    </row>
    <row r="183" spans="1:24" ht="39.950000000000003" customHeight="1">
      <c r="A183" s="163"/>
      <c r="B183" s="164"/>
      <c r="C183" s="281"/>
      <c r="D183" s="284"/>
      <c r="E183" s="281"/>
      <c r="F183" s="281"/>
      <c r="G183" s="281"/>
      <c r="H183" s="281"/>
      <c r="I183" s="282">
        <f t="shared" si="7"/>
        <v>0</v>
      </c>
      <c r="J183" s="169"/>
      <c r="K183" s="169"/>
      <c r="L183" s="281"/>
      <c r="M183" s="169"/>
      <c r="N183" s="169"/>
      <c r="O183" s="169"/>
      <c r="P183" s="281"/>
      <c r="Q183" s="281"/>
      <c r="R183" s="281"/>
      <c r="S183" s="281"/>
      <c r="T183" s="281"/>
      <c r="V183" s="25" t="str">
        <f t="shared" ca="1" si="4"/>
        <v>완료</v>
      </c>
      <c r="W183" s="25">
        <f t="shared" si="5"/>
        <v>0</v>
      </c>
      <c r="X183" s="25" t="str">
        <f t="shared" si="6"/>
        <v>진행</v>
      </c>
    </row>
    <row r="184" spans="1:24" ht="39.950000000000003" customHeight="1">
      <c r="A184" s="163"/>
      <c r="B184" s="164"/>
      <c r="C184" s="281"/>
      <c r="D184" s="284"/>
      <c r="E184" s="281"/>
      <c r="F184" s="281"/>
      <c r="G184" s="281"/>
      <c r="H184" s="281"/>
      <c r="I184" s="282">
        <f t="shared" si="7"/>
        <v>0</v>
      </c>
      <c r="J184" s="169"/>
      <c r="K184" s="169"/>
      <c r="L184" s="281"/>
      <c r="M184" s="169"/>
      <c r="N184" s="169"/>
      <c r="O184" s="169"/>
      <c r="P184" s="281"/>
      <c r="Q184" s="281"/>
      <c r="R184" s="281"/>
      <c r="S184" s="281"/>
      <c r="T184" s="281"/>
      <c r="V184" s="25" t="str">
        <f t="shared" ca="1" si="4"/>
        <v>완료</v>
      </c>
      <c r="W184" s="25">
        <f t="shared" si="5"/>
        <v>0</v>
      </c>
      <c r="X184" s="25" t="str">
        <f t="shared" si="6"/>
        <v>진행</v>
      </c>
    </row>
    <row r="185" spans="1:24" ht="39.950000000000003" customHeight="1">
      <c r="A185" s="163"/>
      <c r="B185" s="164"/>
      <c r="C185" s="164"/>
      <c r="D185" s="170"/>
      <c r="E185" s="164"/>
      <c r="F185" s="164"/>
      <c r="G185" s="282"/>
      <c r="H185" s="282"/>
      <c r="I185" s="282">
        <f t="shared" si="7"/>
        <v>0</v>
      </c>
      <c r="J185" s="164"/>
      <c r="K185" s="164"/>
      <c r="L185" s="164"/>
      <c r="M185" s="164"/>
      <c r="N185" s="164"/>
      <c r="O185" s="164"/>
      <c r="P185" s="164"/>
      <c r="Q185" s="164"/>
      <c r="R185" s="164"/>
      <c r="S185" s="164"/>
      <c r="T185" s="164"/>
      <c r="V185" s="25" t="str">
        <f t="shared" ca="1" si="4"/>
        <v>완료</v>
      </c>
      <c r="W185" s="25">
        <f t="shared" si="5"/>
        <v>0</v>
      </c>
      <c r="X185" s="25" t="str">
        <f t="shared" si="6"/>
        <v>진행</v>
      </c>
    </row>
    <row r="186" spans="1:24" ht="39.950000000000003" customHeight="1">
      <c r="A186" s="163"/>
      <c r="B186" s="164"/>
      <c r="C186" s="281"/>
      <c r="D186" s="284"/>
      <c r="E186" s="281"/>
      <c r="F186" s="281"/>
      <c r="G186" s="281"/>
      <c r="H186" s="281"/>
      <c r="I186" s="282">
        <f t="shared" si="7"/>
        <v>0</v>
      </c>
      <c r="J186" s="169"/>
      <c r="K186" s="169"/>
      <c r="L186" s="281"/>
      <c r="M186" s="169"/>
      <c r="N186" s="169"/>
      <c r="O186" s="169"/>
      <c r="P186" s="281"/>
      <c r="Q186" s="281"/>
      <c r="R186" s="281"/>
      <c r="S186" s="281"/>
      <c r="T186" s="281"/>
      <c r="V186" s="25" t="str">
        <f t="shared" ca="1" si="4"/>
        <v>완료</v>
      </c>
      <c r="W186" s="25">
        <f t="shared" si="5"/>
        <v>0</v>
      </c>
      <c r="X186" s="25" t="str">
        <f t="shared" si="6"/>
        <v>진행</v>
      </c>
    </row>
    <row r="187" spans="1:24" ht="39.950000000000003" customHeight="1">
      <c r="A187" s="163"/>
      <c r="B187" s="164"/>
      <c r="C187" s="281"/>
      <c r="D187" s="284"/>
      <c r="E187" s="281"/>
      <c r="F187" s="281"/>
      <c r="G187" s="281"/>
      <c r="H187" s="281"/>
      <c r="I187" s="282">
        <f t="shared" si="7"/>
        <v>0</v>
      </c>
      <c r="J187" s="169"/>
      <c r="K187" s="169"/>
      <c r="L187" s="281"/>
      <c r="M187" s="169"/>
      <c r="N187" s="169"/>
      <c r="O187" s="169"/>
      <c r="P187" s="281"/>
      <c r="Q187" s="281"/>
      <c r="R187" s="281"/>
      <c r="S187" s="281"/>
      <c r="T187" s="281"/>
      <c r="V187" s="25" t="str">
        <f t="shared" ca="1" si="4"/>
        <v>완료</v>
      </c>
      <c r="W187" s="25">
        <f t="shared" si="5"/>
        <v>0</v>
      </c>
      <c r="X187" s="25" t="str">
        <f t="shared" si="6"/>
        <v>진행</v>
      </c>
    </row>
    <row r="188" spans="1:24" ht="39.950000000000003" customHeight="1">
      <c r="A188" s="163"/>
      <c r="B188" s="164"/>
      <c r="C188" s="281"/>
      <c r="D188" s="284"/>
      <c r="E188" s="281"/>
      <c r="F188" s="281"/>
      <c r="G188" s="281"/>
      <c r="H188" s="281"/>
      <c r="I188" s="282">
        <f t="shared" si="7"/>
        <v>0</v>
      </c>
      <c r="J188" s="169"/>
      <c r="K188" s="169"/>
      <c r="L188" s="281"/>
      <c r="M188" s="169"/>
      <c r="N188" s="169"/>
      <c r="O188" s="169"/>
      <c r="P188" s="281"/>
      <c r="Q188" s="281"/>
      <c r="R188" s="281"/>
      <c r="S188" s="281"/>
      <c r="T188" s="281"/>
      <c r="V188" s="25" t="str">
        <f t="shared" ca="1" si="4"/>
        <v>완료</v>
      </c>
      <c r="W188" s="25">
        <f t="shared" si="5"/>
        <v>0</v>
      </c>
      <c r="X188" s="25" t="str">
        <f t="shared" si="6"/>
        <v>진행</v>
      </c>
    </row>
    <row r="189" spans="1:24" ht="39.950000000000003" customHeight="1">
      <c r="A189" s="163"/>
      <c r="B189" s="164"/>
      <c r="C189" s="281"/>
      <c r="D189" s="284"/>
      <c r="E189" s="281"/>
      <c r="F189" s="281"/>
      <c r="G189" s="281"/>
      <c r="H189" s="281"/>
      <c r="I189" s="282">
        <f t="shared" si="7"/>
        <v>0</v>
      </c>
      <c r="J189" s="169"/>
      <c r="K189" s="169"/>
      <c r="L189" s="281"/>
      <c r="M189" s="169"/>
      <c r="N189" s="169"/>
      <c r="O189" s="169"/>
      <c r="P189" s="281"/>
      <c r="Q189" s="281"/>
      <c r="R189" s="281"/>
      <c r="S189" s="281"/>
      <c r="T189" s="281"/>
      <c r="V189" s="25" t="str">
        <f t="shared" ca="1" si="4"/>
        <v>완료</v>
      </c>
      <c r="W189" s="25">
        <f t="shared" si="5"/>
        <v>0</v>
      </c>
      <c r="X189" s="25" t="str">
        <f t="shared" si="6"/>
        <v>진행</v>
      </c>
    </row>
    <row r="190" spans="1:24" ht="39.950000000000003" customHeight="1">
      <c r="A190" s="163"/>
      <c r="B190" s="164"/>
      <c r="C190" s="281"/>
      <c r="D190" s="284"/>
      <c r="E190" s="281"/>
      <c r="F190" s="281"/>
      <c r="G190" s="281"/>
      <c r="H190" s="281"/>
      <c r="I190" s="282">
        <f t="shared" si="7"/>
        <v>0</v>
      </c>
      <c r="J190" s="169"/>
      <c r="K190" s="169"/>
      <c r="L190" s="281"/>
      <c r="M190" s="169"/>
      <c r="N190" s="169"/>
      <c r="O190" s="169"/>
      <c r="P190" s="281"/>
      <c r="Q190" s="281"/>
      <c r="R190" s="281"/>
      <c r="S190" s="281"/>
      <c r="T190" s="281"/>
      <c r="V190" s="25" t="str">
        <f t="shared" ca="1" si="4"/>
        <v>완료</v>
      </c>
      <c r="W190" s="25">
        <f t="shared" si="5"/>
        <v>0</v>
      </c>
      <c r="X190" s="25" t="str">
        <f t="shared" si="6"/>
        <v>진행</v>
      </c>
    </row>
    <row r="191" spans="1:24" ht="39.950000000000003" customHeight="1">
      <c r="A191" s="163"/>
      <c r="B191" s="164"/>
      <c r="C191" s="281"/>
      <c r="D191" s="284"/>
      <c r="E191" s="281"/>
      <c r="F191" s="281"/>
      <c r="G191" s="281"/>
      <c r="H191" s="281"/>
      <c r="I191" s="282">
        <f t="shared" si="7"/>
        <v>0</v>
      </c>
      <c r="J191" s="169"/>
      <c r="K191" s="169"/>
      <c r="L191" s="281"/>
      <c r="M191" s="169"/>
      <c r="N191" s="169"/>
      <c r="O191" s="169"/>
      <c r="P191" s="281"/>
      <c r="Q191" s="281"/>
      <c r="R191" s="281"/>
      <c r="S191" s="281"/>
      <c r="T191" s="281"/>
      <c r="V191" s="25" t="str">
        <f t="shared" ca="1" si="4"/>
        <v>완료</v>
      </c>
      <c r="W191" s="25">
        <f t="shared" si="5"/>
        <v>0</v>
      </c>
      <c r="X191" s="25" t="str">
        <f t="shared" si="6"/>
        <v>진행</v>
      </c>
    </row>
    <row r="192" spans="1:24" ht="39.950000000000003" customHeight="1">
      <c r="A192" s="163"/>
      <c r="B192" s="164"/>
      <c r="C192" s="281"/>
      <c r="D192" s="284"/>
      <c r="E192" s="281"/>
      <c r="F192" s="281"/>
      <c r="G192" s="281"/>
      <c r="H192" s="281"/>
      <c r="I192" s="282">
        <f t="shared" si="7"/>
        <v>0</v>
      </c>
      <c r="J192" s="169"/>
      <c r="K192" s="169"/>
      <c r="L192" s="281"/>
      <c r="M192" s="169"/>
      <c r="N192" s="169"/>
      <c r="O192" s="169"/>
      <c r="P192" s="281"/>
      <c r="Q192" s="281"/>
      <c r="R192" s="281"/>
      <c r="S192" s="281"/>
      <c r="T192" s="281"/>
      <c r="V192" s="25" t="str">
        <f t="shared" ca="1" si="4"/>
        <v>완료</v>
      </c>
      <c r="W192" s="25">
        <f t="shared" si="5"/>
        <v>0</v>
      </c>
      <c r="X192" s="25" t="str">
        <f t="shared" si="6"/>
        <v>진행</v>
      </c>
    </row>
    <row r="193" spans="1:24" ht="39.950000000000003" customHeight="1">
      <c r="A193" s="163"/>
      <c r="B193" s="164"/>
      <c r="C193" s="281"/>
      <c r="D193" s="284"/>
      <c r="E193" s="281"/>
      <c r="F193" s="281"/>
      <c r="G193" s="281"/>
      <c r="H193" s="281"/>
      <c r="I193" s="282">
        <f t="shared" si="7"/>
        <v>0</v>
      </c>
      <c r="J193" s="169"/>
      <c r="K193" s="169"/>
      <c r="L193" s="281"/>
      <c r="M193" s="169"/>
      <c r="N193" s="169"/>
      <c r="O193" s="169"/>
      <c r="P193" s="281"/>
      <c r="Q193" s="281"/>
      <c r="R193" s="281"/>
      <c r="S193" s="281"/>
      <c r="T193" s="281"/>
      <c r="V193" s="25" t="str">
        <f t="shared" ca="1" si="4"/>
        <v>완료</v>
      </c>
      <c r="W193" s="25">
        <f t="shared" si="5"/>
        <v>0</v>
      </c>
      <c r="X193" s="25" t="str">
        <f t="shared" si="6"/>
        <v>진행</v>
      </c>
    </row>
    <row r="194" spans="1:24" ht="39.950000000000003" customHeight="1">
      <c r="A194" s="163"/>
      <c r="B194" s="164"/>
      <c r="C194" s="281"/>
      <c r="D194" s="284"/>
      <c r="E194" s="281"/>
      <c r="F194" s="281"/>
      <c r="G194" s="281"/>
      <c r="H194" s="281"/>
      <c r="I194" s="282">
        <f t="shared" si="7"/>
        <v>0</v>
      </c>
      <c r="J194" s="169"/>
      <c r="K194" s="169"/>
      <c r="L194" s="281"/>
      <c r="M194" s="169"/>
      <c r="N194" s="169"/>
      <c r="O194" s="169"/>
      <c r="P194" s="281"/>
      <c r="Q194" s="281"/>
      <c r="R194" s="281"/>
      <c r="S194" s="281"/>
      <c r="T194" s="281"/>
      <c r="V194" s="25" t="str">
        <f t="shared" ca="1" si="4"/>
        <v>완료</v>
      </c>
      <c r="W194" s="25">
        <f t="shared" si="5"/>
        <v>0</v>
      </c>
      <c r="X194" s="25" t="str">
        <f t="shared" si="6"/>
        <v>진행</v>
      </c>
    </row>
    <row r="195" spans="1:24" ht="39.950000000000003" customHeight="1">
      <c r="A195" s="163"/>
      <c r="B195" s="164"/>
      <c r="C195" s="281"/>
      <c r="D195" s="284"/>
      <c r="E195" s="281"/>
      <c r="F195" s="281"/>
      <c r="G195" s="281"/>
      <c r="H195" s="281"/>
      <c r="I195" s="282">
        <f t="shared" si="7"/>
        <v>0</v>
      </c>
      <c r="J195" s="169"/>
      <c r="K195" s="169"/>
      <c r="L195" s="281"/>
      <c r="M195" s="169"/>
      <c r="N195" s="169"/>
      <c r="O195" s="169"/>
      <c r="P195" s="281"/>
      <c r="Q195" s="281"/>
      <c r="R195" s="281"/>
      <c r="S195" s="281"/>
      <c r="T195" s="281"/>
      <c r="V195" s="25" t="str">
        <f t="shared" ca="1" si="4"/>
        <v>완료</v>
      </c>
      <c r="W195" s="25">
        <f t="shared" si="5"/>
        <v>0</v>
      </c>
      <c r="X195" s="25" t="str">
        <f t="shared" si="6"/>
        <v>진행</v>
      </c>
    </row>
    <row r="196" spans="1:24" ht="39.950000000000003" customHeight="1">
      <c r="A196" s="163"/>
      <c r="B196" s="164"/>
      <c r="C196" s="281"/>
      <c r="D196" s="284"/>
      <c r="E196" s="281"/>
      <c r="F196" s="281"/>
      <c r="G196" s="281"/>
      <c r="H196" s="281"/>
      <c r="I196" s="282">
        <f t="shared" si="7"/>
        <v>0</v>
      </c>
      <c r="J196" s="169"/>
      <c r="K196" s="169"/>
      <c r="L196" s="281"/>
      <c r="M196" s="169"/>
      <c r="N196" s="169"/>
      <c r="O196" s="169"/>
      <c r="P196" s="281"/>
      <c r="Q196" s="281"/>
      <c r="R196" s="281"/>
      <c r="S196" s="281"/>
      <c r="T196" s="281"/>
      <c r="V196" s="25" t="str">
        <f t="shared" ca="1" si="4"/>
        <v>완료</v>
      </c>
      <c r="W196" s="25">
        <f t="shared" si="5"/>
        <v>0</v>
      </c>
      <c r="X196" s="25" t="str">
        <f t="shared" si="6"/>
        <v>진행</v>
      </c>
    </row>
    <row r="197" spans="1:24" ht="39.950000000000003" customHeight="1">
      <c r="A197" s="163"/>
      <c r="B197" s="164"/>
      <c r="C197" s="281"/>
      <c r="D197" s="284"/>
      <c r="E197" s="281"/>
      <c r="F197" s="281"/>
      <c r="G197" s="281"/>
      <c r="H197" s="281"/>
      <c r="I197" s="282">
        <f t="shared" si="7"/>
        <v>0</v>
      </c>
      <c r="J197" s="169"/>
      <c r="K197" s="169"/>
      <c r="L197" s="281"/>
      <c r="M197" s="169"/>
      <c r="N197" s="169"/>
      <c r="O197" s="169"/>
      <c r="P197" s="281"/>
      <c r="Q197" s="281"/>
      <c r="R197" s="281"/>
      <c r="S197" s="281"/>
      <c r="T197" s="281"/>
      <c r="V197" s="25" t="str">
        <f t="shared" ca="1" si="4"/>
        <v>완료</v>
      </c>
      <c r="W197" s="25">
        <f t="shared" si="5"/>
        <v>0</v>
      </c>
      <c r="X197" s="25" t="str">
        <f t="shared" si="6"/>
        <v>진행</v>
      </c>
    </row>
    <row r="198" spans="1:24" ht="39.950000000000003" customHeight="1">
      <c r="A198" s="163"/>
      <c r="B198" s="164"/>
      <c r="C198" s="281"/>
      <c r="D198" s="284"/>
      <c r="E198" s="281"/>
      <c r="F198" s="281"/>
      <c r="G198" s="281"/>
      <c r="H198" s="281"/>
      <c r="I198" s="282">
        <f t="shared" si="7"/>
        <v>0</v>
      </c>
      <c r="J198" s="169"/>
      <c r="K198" s="169"/>
      <c r="L198" s="281"/>
      <c r="M198" s="169"/>
      <c r="N198" s="169"/>
      <c r="O198" s="169"/>
      <c r="P198" s="281"/>
      <c r="Q198" s="281"/>
      <c r="R198" s="281"/>
      <c r="S198" s="281"/>
      <c r="T198" s="281"/>
      <c r="V198" s="25" t="str">
        <f t="shared" ref="V198:V261" ca="1" si="8">IF(TODAY()&gt;M198,"완료","진행")</f>
        <v>완료</v>
      </c>
      <c r="W198" s="25">
        <f t="shared" ref="W198:W261" si="9">C198</f>
        <v>0</v>
      </c>
      <c r="X198" s="25" t="str">
        <f t="shared" ref="X198:X261" si="10">IF(O198&gt;0,"완료","진행")</f>
        <v>진행</v>
      </c>
    </row>
    <row r="199" spans="1:24" ht="39.950000000000003" customHeight="1">
      <c r="A199" s="163"/>
      <c r="B199" s="164"/>
      <c r="C199" s="281"/>
      <c r="D199" s="284"/>
      <c r="E199" s="281"/>
      <c r="F199" s="281"/>
      <c r="G199" s="281"/>
      <c r="H199" s="281"/>
      <c r="I199" s="282">
        <f t="shared" si="7"/>
        <v>0</v>
      </c>
      <c r="J199" s="169"/>
      <c r="K199" s="169"/>
      <c r="L199" s="281"/>
      <c r="M199" s="169"/>
      <c r="N199" s="169"/>
      <c r="O199" s="169"/>
      <c r="P199" s="281"/>
      <c r="Q199" s="281"/>
      <c r="R199" s="281"/>
      <c r="S199" s="281"/>
      <c r="T199" s="281"/>
      <c r="V199" s="25" t="str">
        <f t="shared" ca="1" si="8"/>
        <v>완료</v>
      </c>
      <c r="W199" s="25">
        <f t="shared" si="9"/>
        <v>0</v>
      </c>
      <c r="X199" s="25" t="str">
        <f t="shared" si="10"/>
        <v>진행</v>
      </c>
    </row>
    <row r="200" spans="1:24" ht="39.950000000000003" customHeight="1">
      <c r="A200" s="163"/>
      <c r="B200" s="164"/>
      <c r="C200" s="281"/>
      <c r="D200" s="284"/>
      <c r="E200" s="281"/>
      <c r="F200" s="281"/>
      <c r="G200" s="281"/>
      <c r="H200" s="281"/>
      <c r="I200" s="282">
        <f t="shared" si="7"/>
        <v>0</v>
      </c>
      <c r="J200" s="169"/>
      <c r="K200" s="169"/>
      <c r="L200" s="281"/>
      <c r="M200" s="169"/>
      <c r="N200" s="169"/>
      <c r="O200" s="169"/>
      <c r="P200" s="281"/>
      <c r="Q200" s="281"/>
      <c r="R200" s="281"/>
      <c r="S200" s="281"/>
      <c r="T200" s="281"/>
      <c r="V200" s="25" t="str">
        <f t="shared" ca="1" si="8"/>
        <v>완료</v>
      </c>
      <c r="W200" s="25">
        <f t="shared" si="9"/>
        <v>0</v>
      </c>
      <c r="X200" s="25" t="str">
        <f t="shared" si="10"/>
        <v>진행</v>
      </c>
    </row>
    <row r="201" spans="1:24" ht="39.950000000000003" customHeight="1">
      <c r="A201" s="163"/>
      <c r="B201" s="164"/>
      <c r="C201" s="281"/>
      <c r="D201" s="284"/>
      <c r="E201" s="281"/>
      <c r="F201" s="281"/>
      <c r="G201" s="281"/>
      <c r="H201" s="281"/>
      <c r="I201" s="282">
        <f t="shared" si="7"/>
        <v>0</v>
      </c>
      <c r="J201" s="169"/>
      <c r="K201" s="169"/>
      <c r="L201" s="281"/>
      <c r="M201" s="169"/>
      <c r="N201" s="169"/>
      <c r="O201" s="169"/>
      <c r="P201" s="281"/>
      <c r="Q201" s="281"/>
      <c r="R201" s="281"/>
      <c r="S201" s="281"/>
      <c r="T201" s="281"/>
      <c r="V201" s="25" t="str">
        <f t="shared" ca="1" si="8"/>
        <v>완료</v>
      </c>
      <c r="W201" s="25">
        <f t="shared" si="9"/>
        <v>0</v>
      </c>
      <c r="X201" s="25" t="str">
        <f t="shared" si="10"/>
        <v>진행</v>
      </c>
    </row>
    <row r="202" spans="1:24" ht="39.950000000000003" customHeight="1">
      <c r="A202" s="163"/>
      <c r="B202" s="164"/>
      <c r="C202" s="281"/>
      <c r="D202" s="284"/>
      <c r="E202" s="281"/>
      <c r="F202" s="281"/>
      <c r="G202" s="281"/>
      <c r="H202" s="281"/>
      <c r="I202" s="282">
        <f t="shared" si="7"/>
        <v>0</v>
      </c>
      <c r="J202" s="169"/>
      <c r="K202" s="169"/>
      <c r="L202" s="281"/>
      <c r="M202" s="169"/>
      <c r="N202" s="169"/>
      <c r="O202" s="169"/>
      <c r="P202" s="281"/>
      <c r="Q202" s="281"/>
      <c r="R202" s="281"/>
      <c r="S202" s="281"/>
      <c r="T202" s="281"/>
      <c r="V202" s="25" t="str">
        <f t="shared" ca="1" si="8"/>
        <v>완료</v>
      </c>
      <c r="W202" s="25">
        <f t="shared" si="9"/>
        <v>0</v>
      </c>
      <c r="X202" s="25" t="str">
        <f t="shared" si="10"/>
        <v>진행</v>
      </c>
    </row>
    <row r="203" spans="1:24" ht="39.950000000000003" customHeight="1">
      <c r="A203" s="163"/>
      <c r="B203" s="164"/>
      <c r="C203" s="281"/>
      <c r="D203" s="284"/>
      <c r="E203" s="281"/>
      <c r="F203" s="281"/>
      <c r="G203" s="281"/>
      <c r="H203" s="281"/>
      <c r="I203" s="282">
        <f t="shared" si="7"/>
        <v>0</v>
      </c>
      <c r="J203" s="169"/>
      <c r="K203" s="169"/>
      <c r="L203" s="281"/>
      <c r="M203" s="169"/>
      <c r="N203" s="169"/>
      <c r="O203" s="169"/>
      <c r="P203" s="281"/>
      <c r="Q203" s="281"/>
      <c r="R203" s="281"/>
      <c r="S203" s="281"/>
      <c r="T203" s="281"/>
      <c r="V203" s="25" t="str">
        <f t="shared" ca="1" si="8"/>
        <v>완료</v>
      </c>
      <c r="W203" s="25">
        <f t="shared" si="9"/>
        <v>0</v>
      </c>
      <c r="X203" s="25" t="str">
        <f t="shared" si="10"/>
        <v>진행</v>
      </c>
    </row>
    <row r="204" spans="1:24" ht="39.950000000000003" customHeight="1">
      <c r="A204" s="163"/>
      <c r="B204" s="164"/>
      <c r="C204" s="281"/>
      <c r="D204" s="284"/>
      <c r="E204" s="281"/>
      <c r="F204" s="281"/>
      <c r="G204" s="281"/>
      <c r="H204" s="281"/>
      <c r="I204" s="282">
        <f t="shared" si="7"/>
        <v>0</v>
      </c>
      <c r="J204" s="169"/>
      <c r="K204" s="169"/>
      <c r="L204" s="281"/>
      <c r="M204" s="169"/>
      <c r="N204" s="169"/>
      <c r="O204" s="169"/>
      <c r="P204" s="281"/>
      <c r="Q204" s="281"/>
      <c r="R204" s="281"/>
      <c r="S204" s="281"/>
      <c r="T204" s="281"/>
      <c r="V204" s="25" t="str">
        <f t="shared" ca="1" si="8"/>
        <v>완료</v>
      </c>
      <c r="W204" s="25">
        <f t="shared" si="9"/>
        <v>0</v>
      </c>
      <c r="X204" s="25" t="str">
        <f t="shared" si="10"/>
        <v>진행</v>
      </c>
    </row>
    <row r="205" spans="1:24" ht="39.950000000000003" customHeight="1">
      <c r="A205" s="163"/>
      <c r="B205" s="164"/>
      <c r="C205" s="281"/>
      <c r="D205" s="284"/>
      <c r="E205" s="281"/>
      <c r="F205" s="281"/>
      <c r="G205" s="281"/>
      <c r="H205" s="281"/>
      <c r="I205" s="282">
        <f t="shared" si="7"/>
        <v>0</v>
      </c>
      <c r="J205" s="169"/>
      <c r="K205" s="169"/>
      <c r="L205" s="281"/>
      <c r="M205" s="169"/>
      <c r="N205" s="169"/>
      <c r="O205" s="169"/>
      <c r="P205" s="281"/>
      <c r="Q205" s="281"/>
      <c r="R205" s="281"/>
      <c r="S205" s="281"/>
      <c r="T205" s="281"/>
      <c r="V205" s="25" t="str">
        <f t="shared" ca="1" si="8"/>
        <v>완료</v>
      </c>
      <c r="W205" s="25">
        <f t="shared" si="9"/>
        <v>0</v>
      </c>
      <c r="X205" s="25" t="str">
        <f t="shared" si="10"/>
        <v>진행</v>
      </c>
    </row>
    <row r="206" spans="1:24" ht="39.950000000000003" customHeight="1">
      <c r="A206" s="163"/>
      <c r="B206" s="164"/>
      <c r="C206" s="281"/>
      <c r="D206" s="284"/>
      <c r="E206" s="281"/>
      <c r="F206" s="281"/>
      <c r="G206" s="281"/>
      <c r="H206" s="281"/>
      <c r="I206" s="282">
        <f t="shared" si="7"/>
        <v>0</v>
      </c>
      <c r="J206" s="169"/>
      <c r="K206" s="169"/>
      <c r="L206" s="281"/>
      <c r="M206" s="169"/>
      <c r="N206" s="169"/>
      <c r="O206" s="169"/>
      <c r="P206" s="281"/>
      <c r="Q206" s="281"/>
      <c r="R206" s="281"/>
      <c r="S206" s="281"/>
      <c r="T206" s="281"/>
      <c r="V206" s="25" t="str">
        <f t="shared" ca="1" si="8"/>
        <v>완료</v>
      </c>
      <c r="W206" s="25">
        <f t="shared" si="9"/>
        <v>0</v>
      </c>
      <c r="X206" s="25" t="str">
        <f t="shared" si="10"/>
        <v>진행</v>
      </c>
    </row>
    <row r="207" spans="1:24" ht="39.950000000000003" customHeight="1">
      <c r="A207" s="163"/>
      <c r="B207" s="164"/>
      <c r="C207" s="281"/>
      <c r="D207" s="284"/>
      <c r="E207" s="281"/>
      <c r="F207" s="281"/>
      <c r="G207" s="281"/>
      <c r="H207" s="281"/>
      <c r="I207" s="282">
        <f t="shared" si="7"/>
        <v>0</v>
      </c>
      <c r="J207" s="169"/>
      <c r="K207" s="169"/>
      <c r="L207" s="281"/>
      <c r="M207" s="169"/>
      <c r="N207" s="169"/>
      <c r="O207" s="169"/>
      <c r="P207" s="281"/>
      <c r="Q207" s="281"/>
      <c r="R207" s="281"/>
      <c r="S207" s="281"/>
      <c r="T207" s="281"/>
      <c r="V207" s="25" t="str">
        <f t="shared" ca="1" si="8"/>
        <v>완료</v>
      </c>
      <c r="W207" s="25">
        <f t="shared" si="9"/>
        <v>0</v>
      </c>
      <c r="X207" s="25" t="str">
        <f t="shared" si="10"/>
        <v>진행</v>
      </c>
    </row>
    <row r="208" spans="1:24" ht="39.950000000000003" customHeight="1">
      <c r="A208" s="163"/>
      <c r="B208" s="164"/>
      <c r="C208" s="281"/>
      <c r="D208" s="284"/>
      <c r="E208" s="281"/>
      <c r="F208" s="281"/>
      <c r="G208" s="281"/>
      <c r="H208" s="281"/>
      <c r="I208" s="282">
        <f t="shared" si="7"/>
        <v>0</v>
      </c>
      <c r="J208" s="169"/>
      <c r="K208" s="169"/>
      <c r="L208" s="281"/>
      <c r="M208" s="169"/>
      <c r="N208" s="169"/>
      <c r="O208" s="169"/>
      <c r="P208" s="281"/>
      <c r="Q208" s="281"/>
      <c r="R208" s="281"/>
      <c r="S208" s="281"/>
      <c r="T208" s="281"/>
      <c r="V208" s="25" t="str">
        <f t="shared" ca="1" si="8"/>
        <v>완료</v>
      </c>
      <c r="W208" s="25">
        <f t="shared" si="9"/>
        <v>0</v>
      </c>
      <c r="X208" s="25" t="str">
        <f t="shared" si="10"/>
        <v>진행</v>
      </c>
    </row>
    <row r="209" spans="1:24" ht="39.950000000000003" customHeight="1">
      <c r="A209" s="163"/>
      <c r="B209" s="164"/>
      <c r="C209" s="281"/>
      <c r="D209" s="284"/>
      <c r="E209" s="281"/>
      <c r="F209" s="281"/>
      <c r="G209" s="281"/>
      <c r="H209" s="281"/>
      <c r="I209" s="282">
        <f t="shared" si="7"/>
        <v>0</v>
      </c>
      <c r="J209" s="169"/>
      <c r="K209" s="169"/>
      <c r="L209" s="281"/>
      <c r="M209" s="169"/>
      <c r="N209" s="169"/>
      <c r="O209" s="169"/>
      <c r="P209" s="281"/>
      <c r="Q209" s="281"/>
      <c r="R209" s="281"/>
      <c r="S209" s="281"/>
      <c r="T209" s="281"/>
      <c r="V209" s="25" t="str">
        <f t="shared" ca="1" si="8"/>
        <v>완료</v>
      </c>
      <c r="W209" s="25">
        <f t="shared" si="9"/>
        <v>0</v>
      </c>
      <c r="X209" s="25" t="str">
        <f t="shared" si="10"/>
        <v>진행</v>
      </c>
    </row>
    <row r="210" spans="1:24" ht="39.950000000000003" customHeight="1">
      <c r="A210" s="163"/>
      <c r="B210" s="164"/>
      <c r="C210" s="281"/>
      <c r="D210" s="284"/>
      <c r="E210" s="281"/>
      <c r="F210" s="281"/>
      <c r="G210" s="281"/>
      <c r="H210" s="281"/>
      <c r="I210" s="282">
        <f t="shared" si="7"/>
        <v>0</v>
      </c>
      <c r="J210" s="169"/>
      <c r="K210" s="169"/>
      <c r="L210" s="281"/>
      <c r="M210" s="169"/>
      <c r="N210" s="169"/>
      <c r="O210" s="169"/>
      <c r="P210" s="281"/>
      <c r="Q210" s="281"/>
      <c r="R210" s="281"/>
      <c r="S210" s="281"/>
      <c r="T210" s="281"/>
      <c r="V210" s="25" t="str">
        <f t="shared" ca="1" si="8"/>
        <v>완료</v>
      </c>
      <c r="W210" s="25">
        <f t="shared" si="9"/>
        <v>0</v>
      </c>
      <c r="X210" s="25" t="str">
        <f t="shared" si="10"/>
        <v>진행</v>
      </c>
    </row>
    <row r="211" spans="1:24" ht="39.950000000000003" customHeight="1">
      <c r="A211" s="163"/>
      <c r="B211" s="164"/>
      <c r="C211" s="281"/>
      <c r="D211" s="284"/>
      <c r="E211" s="281"/>
      <c r="F211" s="281"/>
      <c r="G211" s="281"/>
      <c r="H211" s="281"/>
      <c r="I211" s="282">
        <f t="shared" si="7"/>
        <v>0</v>
      </c>
      <c r="J211" s="169"/>
      <c r="K211" s="169"/>
      <c r="L211" s="281"/>
      <c r="M211" s="169"/>
      <c r="N211" s="169"/>
      <c r="O211" s="169"/>
      <c r="P211" s="281"/>
      <c r="Q211" s="281"/>
      <c r="R211" s="281"/>
      <c r="S211" s="281"/>
      <c r="T211" s="281"/>
      <c r="V211" s="25" t="str">
        <f t="shared" ca="1" si="8"/>
        <v>완료</v>
      </c>
      <c r="W211" s="25">
        <f t="shared" si="9"/>
        <v>0</v>
      </c>
      <c r="X211" s="25" t="str">
        <f t="shared" si="10"/>
        <v>진행</v>
      </c>
    </row>
    <row r="212" spans="1:24" ht="39.950000000000003" customHeight="1">
      <c r="A212" s="163"/>
      <c r="B212" s="164"/>
      <c r="C212" s="281"/>
      <c r="D212" s="284"/>
      <c r="E212" s="281"/>
      <c r="F212" s="281"/>
      <c r="G212" s="281"/>
      <c r="H212" s="281"/>
      <c r="I212" s="282">
        <f t="shared" si="7"/>
        <v>0</v>
      </c>
      <c r="J212" s="169"/>
      <c r="K212" s="169"/>
      <c r="L212" s="281"/>
      <c r="M212" s="169"/>
      <c r="N212" s="169"/>
      <c r="O212" s="169"/>
      <c r="P212" s="281"/>
      <c r="Q212" s="281"/>
      <c r="R212" s="281"/>
      <c r="S212" s="281"/>
      <c r="T212" s="281"/>
      <c r="V212" s="25" t="str">
        <f t="shared" ca="1" si="8"/>
        <v>완료</v>
      </c>
      <c r="W212" s="25">
        <f t="shared" si="9"/>
        <v>0</v>
      </c>
      <c r="X212" s="25" t="str">
        <f t="shared" si="10"/>
        <v>진행</v>
      </c>
    </row>
    <row r="213" spans="1:24" ht="39.950000000000003" customHeight="1">
      <c r="A213" s="163"/>
      <c r="B213" s="164"/>
      <c r="C213" s="281"/>
      <c r="D213" s="284"/>
      <c r="E213" s="281"/>
      <c r="F213" s="281"/>
      <c r="G213" s="281"/>
      <c r="H213" s="281"/>
      <c r="I213" s="282">
        <f t="shared" si="7"/>
        <v>0</v>
      </c>
      <c r="J213" s="169"/>
      <c r="K213" s="169"/>
      <c r="L213" s="281"/>
      <c r="M213" s="169"/>
      <c r="N213" s="169"/>
      <c r="O213" s="169"/>
      <c r="P213" s="281"/>
      <c r="Q213" s="281"/>
      <c r="R213" s="281"/>
      <c r="S213" s="281"/>
      <c r="T213" s="281"/>
      <c r="V213" s="25" t="str">
        <f t="shared" ca="1" si="8"/>
        <v>완료</v>
      </c>
      <c r="W213" s="25">
        <f t="shared" si="9"/>
        <v>0</v>
      </c>
      <c r="X213" s="25" t="str">
        <f t="shared" si="10"/>
        <v>진행</v>
      </c>
    </row>
    <row r="214" spans="1:24" ht="39.950000000000003" customHeight="1">
      <c r="A214" s="163"/>
      <c r="B214" s="164"/>
      <c r="C214" s="281"/>
      <c r="D214" s="284"/>
      <c r="E214" s="281"/>
      <c r="F214" s="281"/>
      <c r="G214" s="281"/>
      <c r="H214" s="281"/>
      <c r="I214" s="282">
        <f t="shared" si="7"/>
        <v>0</v>
      </c>
      <c r="J214" s="169"/>
      <c r="K214" s="169"/>
      <c r="L214" s="281"/>
      <c r="M214" s="169"/>
      <c r="N214" s="169"/>
      <c r="O214" s="169"/>
      <c r="P214" s="281"/>
      <c r="Q214" s="281"/>
      <c r="R214" s="281"/>
      <c r="S214" s="281"/>
      <c r="T214" s="281"/>
      <c r="V214" s="25" t="str">
        <f t="shared" ca="1" si="8"/>
        <v>완료</v>
      </c>
      <c r="W214" s="25">
        <f t="shared" si="9"/>
        <v>0</v>
      </c>
      <c r="X214" s="25" t="str">
        <f t="shared" si="10"/>
        <v>진행</v>
      </c>
    </row>
    <row r="215" spans="1:24" ht="39.950000000000003" customHeight="1">
      <c r="A215" s="163"/>
      <c r="B215" s="164"/>
      <c r="C215" s="281"/>
      <c r="D215" s="284"/>
      <c r="E215" s="281"/>
      <c r="F215" s="281"/>
      <c r="G215" s="281"/>
      <c r="H215" s="281"/>
      <c r="I215" s="282">
        <f t="shared" si="7"/>
        <v>0</v>
      </c>
      <c r="J215" s="169"/>
      <c r="K215" s="169"/>
      <c r="L215" s="281"/>
      <c r="M215" s="169"/>
      <c r="N215" s="169"/>
      <c r="O215" s="169"/>
      <c r="P215" s="281"/>
      <c r="Q215" s="281"/>
      <c r="R215" s="281"/>
      <c r="S215" s="281"/>
      <c r="T215" s="281"/>
      <c r="V215" s="25" t="str">
        <f t="shared" ca="1" si="8"/>
        <v>완료</v>
      </c>
      <c r="W215" s="25">
        <f t="shared" si="9"/>
        <v>0</v>
      </c>
      <c r="X215" s="25" t="str">
        <f t="shared" si="10"/>
        <v>진행</v>
      </c>
    </row>
    <row r="216" spans="1:24" ht="39.950000000000003" customHeight="1">
      <c r="A216" s="163"/>
      <c r="B216" s="164"/>
      <c r="C216" s="281"/>
      <c r="D216" s="284"/>
      <c r="E216" s="281"/>
      <c r="F216" s="281"/>
      <c r="G216" s="281"/>
      <c r="H216" s="281"/>
      <c r="I216" s="282">
        <f t="shared" si="7"/>
        <v>0</v>
      </c>
      <c r="J216" s="169"/>
      <c r="K216" s="169"/>
      <c r="L216" s="281"/>
      <c r="M216" s="169"/>
      <c r="N216" s="169"/>
      <c r="O216" s="169"/>
      <c r="P216" s="281"/>
      <c r="Q216" s="281"/>
      <c r="R216" s="281"/>
      <c r="S216" s="281"/>
      <c r="T216" s="281"/>
      <c r="V216" s="25" t="str">
        <f t="shared" ca="1" si="8"/>
        <v>완료</v>
      </c>
      <c r="W216" s="25">
        <f t="shared" si="9"/>
        <v>0</v>
      </c>
      <c r="X216" s="25" t="str">
        <f t="shared" si="10"/>
        <v>진행</v>
      </c>
    </row>
    <row r="217" spans="1:24" ht="39.950000000000003" customHeight="1">
      <c r="A217" s="163"/>
      <c r="B217" s="164"/>
      <c r="C217" s="281"/>
      <c r="D217" s="284"/>
      <c r="E217" s="281"/>
      <c r="F217" s="281"/>
      <c r="G217" s="281"/>
      <c r="H217" s="281"/>
      <c r="I217" s="282">
        <f t="shared" si="7"/>
        <v>0</v>
      </c>
      <c r="J217" s="169"/>
      <c r="K217" s="169"/>
      <c r="L217" s="281"/>
      <c r="M217" s="169"/>
      <c r="N217" s="169"/>
      <c r="O217" s="169"/>
      <c r="P217" s="281"/>
      <c r="Q217" s="281"/>
      <c r="R217" s="281"/>
      <c r="S217" s="281"/>
      <c r="T217" s="281"/>
      <c r="V217" s="25" t="str">
        <f t="shared" ca="1" si="8"/>
        <v>완료</v>
      </c>
      <c r="W217" s="25">
        <f t="shared" si="9"/>
        <v>0</v>
      </c>
      <c r="X217" s="25" t="str">
        <f t="shared" si="10"/>
        <v>진행</v>
      </c>
    </row>
    <row r="218" spans="1:24" ht="39.950000000000003" customHeight="1">
      <c r="A218" s="163"/>
      <c r="B218" s="164"/>
      <c r="C218" s="281"/>
      <c r="D218" s="284"/>
      <c r="E218" s="281"/>
      <c r="F218" s="281"/>
      <c r="G218" s="281"/>
      <c r="H218" s="281"/>
      <c r="I218" s="282">
        <f t="shared" si="7"/>
        <v>0</v>
      </c>
      <c r="J218" s="169"/>
      <c r="K218" s="169"/>
      <c r="L218" s="281"/>
      <c r="M218" s="169"/>
      <c r="N218" s="169"/>
      <c r="O218" s="169"/>
      <c r="P218" s="281"/>
      <c r="Q218" s="281"/>
      <c r="R218" s="281"/>
      <c r="S218" s="281"/>
      <c r="T218" s="281"/>
      <c r="V218" s="25" t="str">
        <f t="shared" ca="1" si="8"/>
        <v>완료</v>
      </c>
      <c r="W218" s="25">
        <f t="shared" si="9"/>
        <v>0</v>
      </c>
      <c r="X218" s="25" t="str">
        <f t="shared" si="10"/>
        <v>진행</v>
      </c>
    </row>
    <row r="219" spans="1:24" ht="39.950000000000003" customHeight="1">
      <c r="A219" s="163"/>
      <c r="B219" s="164"/>
      <c r="C219" s="281"/>
      <c r="D219" s="284"/>
      <c r="E219" s="281"/>
      <c r="F219" s="281"/>
      <c r="G219" s="281"/>
      <c r="H219" s="281"/>
      <c r="I219" s="282">
        <f t="shared" si="7"/>
        <v>0</v>
      </c>
      <c r="J219" s="169"/>
      <c r="K219" s="169"/>
      <c r="L219" s="281"/>
      <c r="M219" s="169"/>
      <c r="N219" s="169"/>
      <c r="O219" s="169"/>
      <c r="P219" s="281"/>
      <c r="Q219" s="281"/>
      <c r="R219" s="281"/>
      <c r="S219" s="281"/>
      <c r="T219" s="281"/>
      <c r="V219" s="25" t="str">
        <f t="shared" ca="1" si="8"/>
        <v>완료</v>
      </c>
      <c r="W219" s="25">
        <f t="shared" si="9"/>
        <v>0</v>
      </c>
      <c r="X219" s="25" t="str">
        <f t="shared" si="10"/>
        <v>진행</v>
      </c>
    </row>
    <row r="220" spans="1:24" ht="39.950000000000003" customHeight="1">
      <c r="A220" s="163"/>
      <c r="B220" s="164"/>
      <c r="C220" s="281"/>
      <c r="D220" s="284"/>
      <c r="E220" s="281"/>
      <c r="F220" s="281"/>
      <c r="G220" s="281"/>
      <c r="H220" s="281"/>
      <c r="I220" s="282">
        <f t="shared" si="7"/>
        <v>0</v>
      </c>
      <c r="J220" s="169"/>
      <c r="K220" s="169"/>
      <c r="L220" s="281"/>
      <c r="M220" s="169"/>
      <c r="N220" s="169"/>
      <c r="O220" s="169"/>
      <c r="P220" s="281"/>
      <c r="Q220" s="281"/>
      <c r="R220" s="281"/>
      <c r="S220" s="281"/>
      <c r="T220" s="281"/>
      <c r="V220" s="25" t="str">
        <f t="shared" ca="1" si="8"/>
        <v>완료</v>
      </c>
      <c r="W220" s="25">
        <f t="shared" si="9"/>
        <v>0</v>
      </c>
      <c r="X220" s="25" t="str">
        <f t="shared" si="10"/>
        <v>진행</v>
      </c>
    </row>
    <row r="221" spans="1:24" ht="39.950000000000003" customHeight="1">
      <c r="A221" s="163"/>
      <c r="B221" s="164"/>
      <c r="C221" s="281"/>
      <c r="D221" s="284"/>
      <c r="E221" s="281"/>
      <c r="F221" s="281"/>
      <c r="G221" s="281"/>
      <c r="H221" s="281"/>
      <c r="I221" s="282">
        <f t="shared" si="7"/>
        <v>0</v>
      </c>
      <c r="J221" s="169"/>
      <c r="K221" s="169"/>
      <c r="L221" s="281"/>
      <c r="M221" s="169"/>
      <c r="N221" s="169"/>
      <c r="O221" s="169"/>
      <c r="P221" s="281"/>
      <c r="Q221" s="281"/>
      <c r="R221" s="281"/>
      <c r="S221" s="281"/>
      <c r="T221" s="281"/>
      <c r="V221" s="25" t="str">
        <f t="shared" ca="1" si="8"/>
        <v>완료</v>
      </c>
      <c r="W221" s="25">
        <f t="shared" si="9"/>
        <v>0</v>
      </c>
      <c r="X221" s="25" t="str">
        <f t="shared" si="10"/>
        <v>진행</v>
      </c>
    </row>
    <row r="222" spans="1:24" ht="39.950000000000003" customHeight="1">
      <c r="A222" s="163"/>
      <c r="B222" s="164"/>
      <c r="C222" s="281"/>
      <c r="D222" s="284"/>
      <c r="E222" s="281"/>
      <c r="F222" s="281"/>
      <c r="G222" s="281"/>
      <c r="H222" s="281"/>
      <c r="I222" s="282">
        <f t="shared" si="7"/>
        <v>0</v>
      </c>
      <c r="J222" s="169"/>
      <c r="K222" s="169"/>
      <c r="L222" s="281"/>
      <c r="M222" s="169"/>
      <c r="N222" s="169"/>
      <c r="O222" s="169"/>
      <c r="P222" s="281"/>
      <c r="Q222" s="281"/>
      <c r="R222" s="281"/>
      <c r="S222" s="281"/>
      <c r="T222" s="281"/>
      <c r="V222" s="25" t="str">
        <f t="shared" ca="1" si="8"/>
        <v>완료</v>
      </c>
      <c r="W222" s="25">
        <f t="shared" si="9"/>
        <v>0</v>
      </c>
      <c r="X222" s="25" t="str">
        <f t="shared" si="10"/>
        <v>진행</v>
      </c>
    </row>
    <row r="223" spans="1:24" ht="39.950000000000003" customHeight="1">
      <c r="A223" s="163"/>
      <c r="B223" s="164"/>
      <c r="C223" s="281"/>
      <c r="D223" s="284"/>
      <c r="E223" s="281"/>
      <c r="F223" s="281"/>
      <c r="G223" s="281"/>
      <c r="H223" s="281"/>
      <c r="I223" s="282">
        <f t="shared" si="7"/>
        <v>0</v>
      </c>
      <c r="J223" s="169"/>
      <c r="K223" s="169"/>
      <c r="L223" s="281"/>
      <c r="M223" s="169"/>
      <c r="N223" s="169"/>
      <c r="O223" s="169"/>
      <c r="P223" s="281"/>
      <c r="Q223" s="281"/>
      <c r="R223" s="281"/>
      <c r="S223" s="281"/>
      <c r="T223" s="281"/>
      <c r="V223" s="25" t="str">
        <f t="shared" ca="1" si="8"/>
        <v>완료</v>
      </c>
      <c r="W223" s="25">
        <f t="shared" si="9"/>
        <v>0</v>
      </c>
      <c r="X223" s="25" t="str">
        <f t="shared" si="10"/>
        <v>진행</v>
      </c>
    </row>
    <row r="224" spans="1:24" ht="39.950000000000003" customHeight="1">
      <c r="A224" s="163"/>
      <c r="B224" s="164"/>
      <c r="C224" s="281"/>
      <c r="D224" s="284"/>
      <c r="E224" s="281"/>
      <c r="F224" s="281"/>
      <c r="G224" s="281"/>
      <c r="H224" s="281"/>
      <c r="I224" s="282">
        <f t="shared" si="7"/>
        <v>0</v>
      </c>
      <c r="J224" s="169"/>
      <c r="K224" s="169"/>
      <c r="L224" s="281"/>
      <c r="M224" s="169"/>
      <c r="N224" s="169"/>
      <c r="O224" s="169"/>
      <c r="P224" s="281"/>
      <c r="Q224" s="281"/>
      <c r="R224" s="281"/>
      <c r="S224" s="281"/>
      <c r="T224" s="281"/>
      <c r="V224" s="25" t="str">
        <f t="shared" ca="1" si="8"/>
        <v>완료</v>
      </c>
      <c r="W224" s="25">
        <f t="shared" si="9"/>
        <v>0</v>
      </c>
      <c r="X224" s="25" t="str">
        <f t="shared" si="10"/>
        <v>진행</v>
      </c>
    </row>
    <row r="225" spans="1:24" ht="39.950000000000003" customHeight="1">
      <c r="A225" s="163"/>
      <c r="B225" s="164"/>
      <c r="C225" s="281"/>
      <c r="D225" s="284"/>
      <c r="E225" s="281"/>
      <c r="F225" s="281"/>
      <c r="G225" s="281"/>
      <c r="H225" s="281"/>
      <c r="I225" s="282">
        <f t="shared" si="7"/>
        <v>0</v>
      </c>
      <c r="J225" s="169"/>
      <c r="K225" s="169"/>
      <c r="L225" s="281"/>
      <c r="M225" s="169"/>
      <c r="N225" s="169"/>
      <c r="O225" s="169"/>
      <c r="P225" s="281"/>
      <c r="Q225" s="281"/>
      <c r="R225" s="281"/>
      <c r="S225" s="281"/>
      <c r="T225" s="281"/>
      <c r="V225" s="25" t="str">
        <f t="shared" ca="1" si="8"/>
        <v>완료</v>
      </c>
      <c r="W225" s="25">
        <f t="shared" si="9"/>
        <v>0</v>
      </c>
      <c r="X225" s="25" t="str">
        <f t="shared" si="10"/>
        <v>진행</v>
      </c>
    </row>
    <row r="226" spans="1:24" ht="39.950000000000003" customHeight="1">
      <c r="A226" s="163"/>
      <c r="B226" s="164"/>
      <c r="C226" s="281"/>
      <c r="D226" s="284"/>
      <c r="E226" s="281"/>
      <c r="F226" s="281"/>
      <c r="G226" s="281"/>
      <c r="H226" s="281"/>
      <c r="I226" s="282">
        <f t="shared" si="7"/>
        <v>0</v>
      </c>
      <c r="J226" s="169"/>
      <c r="K226" s="169"/>
      <c r="L226" s="281"/>
      <c r="M226" s="169"/>
      <c r="N226" s="169"/>
      <c r="O226" s="169"/>
      <c r="P226" s="281"/>
      <c r="Q226" s="281"/>
      <c r="R226" s="281"/>
      <c r="S226" s="281"/>
      <c r="T226" s="281"/>
      <c r="V226" s="25" t="str">
        <f t="shared" ca="1" si="8"/>
        <v>완료</v>
      </c>
      <c r="W226" s="25">
        <f t="shared" si="9"/>
        <v>0</v>
      </c>
      <c r="X226" s="25" t="str">
        <f t="shared" si="10"/>
        <v>진행</v>
      </c>
    </row>
    <row r="227" spans="1:24" ht="39.950000000000003" customHeight="1">
      <c r="A227" s="163"/>
      <c r="B227" s="164"/>
      <c r="C227" s="281"/>
      <c r="D227" s="284"/>
      <c r="E227" s="281"/>
      <c r="F227" s="281"/>
      <c r="G227" s="281"/>
      <c r="H227" s="281"/>
      <c r="I227" s="282">
        <f t="shared" si="7"/>
        <v>0</v>
      </c>
      <c r="J227" s="169"/>
      <c r="K227" s="169"/>
      <c r="L227" s="281"/>
      <c r="M227" s="169"/>
      <c r="N227" s="169"/>
      <c r="O227" s="169"/>
      <c r="P227" s="281"/>
      <c r="Q227" s="281"/>
      <c r="R227" s="281"/>
      <c r="S227" s="281"/>
      <c r="T227" s="281"/>
      <c r="V227" s="25" t="str">
        <f t="shared" ca="1" si="8"/>
        <v>완료</v>
      </c>
      <c r="W227" s="25">
        <f t="shared" si="9"/>
        <v>0</v>
      </c>
      <c r="X227" s="25" t="str">
        <f t="shared" si="10"/>
        <v>진행</v>
      </c>
    </row>
    <row r="228" spans="1:24" ht="39.950000000000003" customHeight="1">
      <c r="A228" s="163"/>
      <c r="B228" s="164"/>
      <c r="C228" s="281"/>
      <c r="D228" s="284"/>
      <c r="E228" s="281"/>
      <c r="F228" s="281"/>
      <c r="G228" s="281"/>
      <c r="H228" s="281"/>
      <c r="I228" s="282">
        <f t="shared" si="7"/>
        <v>0</v>
      </c>
      <c r="J228" s="169"/>
      <c r="K228" s="169"/>
      <c r="L228" s="281"/>
      <c r="M228" s="169"/>
      <c r="N228" s="169"/>
      <c r="O228" s="169"/>
      <c r="P228" s="281"/>
      <c r="Q228" s="281"/>
      <c r="R228" s="281"/>
      <c r="S228" s="281"/>
      <c r="T228" s="281"/>
      <c r="V228" s="25" t="str">
        <f t="shared" ca="1" si="8"/>
        <v>완료</v>
      </c>
      <c r="W228" s="25">
        <f t="shared" si="9"/>
        <v>0</v>
      </c>
      <c r="X228" s="25" t="str">
        <f t="shared" si="10"/>
        <v>진행</v>
      </c>
    </row>
    <row r="229" spans="1:24" ht="39.950000000000003" customHeight="1">
      <c r="A229" s="163"/>
      <c r="B229" s="164"/>
      <c r="C229" s="281"/>
      <c r="D229" s="284"/>
      <c r="E229" s="281"/>
      <c r="F229" s="281"/>
      <c r="G229" s="281"/>
      <c r="H229" s="281"/>
      <c r="I229" s="282">
        <f t="shared" ref="I229:I292" si="11">G229+H229</f>
        <v>0</v>
      </c>
      <c r="J229" s="169"/>
      <c r="K229" s="169"/>
      <c r="L229" s="281"/>
      <c r="M229" s="169"/>
      <c r="N229" s="169"/>
      <c r="O229" s="169"/>
      <c r="P229" s="281"/>
      <c r="Q229" s="281"/>
      <c r="R229" s="281"/>
      <c r="S229" s="281"/>
      <c r="T229" s="281"/>
      <c r="V229" s="25" t="str">
        <f t="shared" ca="1" si="8"/>
        <v>완료</v>
      </c>
      <c r="W229" s="25">
        <f t="shared" si="9"/>
        <v>0</v>
      </c>
      <c r="X229" s="25" t="str">
        <f t="shared" si="10"/>
        <v>진행</v>
      </c>
    </row>
    <row r="230" spans="1:24" ht="39.950000000000003" customHeight="1">
      <c r="A230" s="163"/>
      <c r="B230" s="164"/>
      <c r="C230" s="281"/>
      <c r="D230" s="284"/>
      <c r="E230" s="281"/>
      <c r="F230" s="281"/>
      <c r="G230" s="281"/>
      <c r="H230" s="281"/>
      <c r="I230" s="282">
        <f t="shared" si="11"/>
        <v>0</v>
      </c>
      <c r="J230" s="169"/>
      <c r="K230" s="169"/>
      <c r="L230" s="281"/>
      <c r="M230" s="169"/>
      <c r="N230" s="169"/>
      <c r="O230" s="169"/>
      <c r="P230" s="281"/>
      <c r="Q230" s="281"/>
      <c r="R230" s="281"/>
      <c r="S230" s="281"/>
      <c r="T230" s="281"/>
      <c r="V230" s="25" t="str">
        <f t="shared" ca="1" si="8"/>
        <v>완료</v>
      </c>
      <c r="W230" s="25">
        <f t="shared" si="9"/>
        <v>0</v>
      </c>
      <c r="X230" s="25" t="str">
        <f t="shared" si="10"/>
        <v>진행</v>
      </c>
    </row>
    <row r="231" spans="1:24" ht="39.950000000000003" customHeight="1">
      <c r="A231" s="163"/>
      <c r="B231" s="164"/>
      <c r="C231" s="281"/>
      <c r="D231" s="284"/>
      <c r="E231" s="281"/>
      <c r="F231" s="281"/>
      <c r="G231" s="281"/>
      <c r="H231" s="281"/>
      <c r="I231" s="282">
        <f t="shared" si="11"/>
        <v>0</v>
      </c>
      <c r="J231" s="169"/>
      <c r="K231" s="169"/>
      <c r="L231" s="281"/>
      <c r="M231" s="169"/>
      <c r="N231" s="169"/>
      <c r="O231" s="169"/>
      <c r="P231" s="281"/>
      <c r="Q231" s="281"/>
      <c r="R231" s="281"/>
      <c r="S231" s="281"/>
      <c r="T231" s="281"/>
      <c r="V231" s="25" t="str">
        <f t="shared" ca="1" si="8"/>
        <v>완료</v>
      </c>
      <c r="W231" s="25">
        <f t="shared" si="9"/>
        <v>0</v>
      </c>
      <c r="X231" s="25" t="str">
        <f t="shared" si="10"/>
        <v>진행</v>
      </c>
    </row>
    <row r="232" spans="1:24" ht="39.950000000000003" customHeight="1">
      <c r="A232" s="163"/>
      <c r="B232" s="164"/>
      <c r="C232" s="281"/>
      <c r="D232" s="284"/>
      <c r="E232" s="281"/>
      <c r="F232" s="281"/>
      <c r="G232" s="281"/>
      <c r="H232" s="281"/>
      <c r="I232" s="282">
        <f t="shared" si="11"/>
        <v>0</v>
      </c>
      <c r="J232" s="169"/>
      <c r="K232" s="169"/>
      <c r="L232" s="281"/>
      <c r="M232" s="169"/>
      <c r="N232" s="169"/>
      <c r="O232" s="169"/>
      <c r="P232" s="281"/>
      <c r="Q232" s="281"/>
      <c r="R232" s="281"/>
      <c r="S232" s="281"/>
      <c r="T232" s="281"/>
      <c r="V232" s="25" t="str">
        <f t="shared" ca="1" si="8"/>
        <v>완료</v>
      </c>
      <c r="W232" s="25">
        <f t="shared" si="9"/>
        <v>0</v>
      </c>
      <c r="X232" s="25" t="str">
        <f t="shared" si="10"/>
        <v>진행</v>
      </c>
    </row>
    <row r="233" spans="1:24" ht="39.950000000000003" customHeight="1">
      <c r="A233" s="163"/>
      <c r="B233" s="164"/>
      <c r="C233" s="281"/>
      <c r="D233" s="284"/>
      <c r="E233" s="281"/>
      <c r="F233" s="281"/>
      <c r="G233" s="281"/>
      <c r="H233" s="281"/>
      <c r="I233" s="282">
        <f t="shared" si="11"/>
        <v>0</v>
      </c>
      <c r="J233" s="169"/>
      <c r="K233" s="169"/>
      <c r="L233" s="281"/>
      <c r="M233" s="169"/>
      <c r="N233" s="169"/>
      <c r="O233" s="169"/>
      <c r="P233" s="281"/>
      <c r="Q233" s="281"/>
      <c r="R233" s="281"/>
      <c r="S233" s="281"/>
      <c r="T233" s="281"/>
      <c r="V233" s="25" t="str">
        <f t="shared" ca="1" si="8"/>
        <v>완료</v>
      </c>
      <c r="W233" s="25">
        <f t="shared" si="9"/>
        <v>0</v>
      </c>
      <c r="X233" s="25" t="str">
        <f t="shared" si="10"/>
        <v>진행</v>
      </c>
    </row>
    <row r="234" spans="1:24" ht="39.950000000000003" customHeight="1">
      <c r="A234" s="163"/>
      <c r="B234" s="164"/>
      <c r="C234" s="281"/>
      <c r="D234" s="284"/>
      <c r="E234" s="281"/>
      <c r="F234" s="281"/>
      <c r="G234" s="281"/>
      <c r="H234" s="281"/>
      <c r="I234" s="282">
        <f t="shared" si="11"/>
        <v>0</v>
      </c>
      <c r="J234" s="169"/>
      <c r="K234" s="169"/>
      <c r="L234" s="281"/>
      <c r="M234" s="169"/>
      <c r="N234" s="169"/>
      <c r="O234" s="169"/>
      <c r="P234" s="281"/>
      <c r="Q234" s="281"/>
      <c r="R234" s="281"/>
      <c r="S234" s="281"/>
      <c r="T234" s="281"/>
      <c r="V234" s="25" t="str">
        <f t="shared" ca="1" si="8"/>
        <v>완료</v>
      </c>
      <c r="W234" s="25">
        <f t="shared" si="9"/>
        <v>0</v>
      </c>
      <c r="X234" s="25" t="str">
        <f t="shared" si="10"/>
        <v>진행</v>
      </c>
    </row>
    <row r="235" spans="1:24" ht="39.950000000000003" customHeight="1">
      <c r="A235" s="163"/>
      <c r="B235" s="164"/>
      <c r="C235" s="281"/>
      <c r="D235" s="284"/>
      <c r="E235" s="281"/>
      <c r="F235" s="281"/>
      <c r="G235" s="281"/>
      <c r="H235" s="281"/>
      <c r="I235" s="282">
        <f t="shared" si="11"/>
        <v>0</v>
      </c>
      <c r="J235" s="169"/>
      <c r="K235" s="169"/>
      <c r="L235" s="281"/>
      <c r="M235" s="169"/>
      <c r="N235" s="169"/>
      <c r="O235" s="169"/>
      <c r="P235" s="281"/>
      <c r="Q235" s="281"/>
      <c r="R235" s="281"/>
      <c r="S235" s="281"/>
      <c r="T235" s="281"/>
      <c r="V235" s="25" t="str">
        <f t="shared" ca="1" si="8"/>
        <v>완료</v>
      </c>
      <c r="W235" s="25">
        <f t="shared" si="9"/>
        <v>0</v>
      </c>
      <c r="X235" s="25" t="str">
        <f t="shared" si="10"/>
        <v>진행</v>
      </c>
    </row>
    <row r="236" spans="1:24" ht="39.950000000000003" customHeight="1">
      <c r="A236" s="163"/>
      <c r="B236" s="164"/>
      <c r="C236" s="281"/>
      <c r="D236" s="284"/>
      <c r="E236" s="281"/>
      <c r="F236" s="281"/>
      <c r="G236" s="281"/>
      <c r="H236" s="281"/>
      <c r="I236" s="282">
        <f t="shared" si="11"/>
        <v>0</v>
      </c>
      <c r="J236" s="169"/>
      <c r="K236" s="169"/>
      <c r="L236" s="281"/>
      <c r="M236" s="169"/>
      <c r="N236" s="169"/>
      <c r="O236" s="169"/>
      <c r="P236" s="281"/>
      <c r="Q236" s="281"/>
      <c r="R236" s="281"/>
      <c r="S236" s="281"/>
      <c r="T236" s="281"/>
      <c r="V236" s="25" t="str">
        <f t="shared" ca="1" si="8"/>
        <v>완료</v>
      </c>
      <c r="W236" s="25">
        <f t="shared" si="9"/>
        <v>0</v>
      </c>
      <c r="X236" s="25" t="str">
        <f t="shared" si="10"/>
        <v>진행</v>
      </c>
    </row>
    <row r="237" spans="1:24" ht="39.950000000000003" customHeight="1">
      <c r="A237" s="163"/>
      <c r="B237" s="164"/>
      <c r="C237" s="281"/>
      <c r="D237" s="284"/>
      <c r="E237" s="281"/>
      <c r="F237" s="281"/>
      <c r="G237" s="281"/>
      <c r="H237" s="281"/>
      <c r="I237" s="282">
        <f t="shared" si="11"/>
        <v>0</v>
      </c>
      <c r="J237" s="169"/>
      <c r="K237" s="169"/>
      <c r="L237" s="281"/>
      <c r="M237" s="169"/>
      <c r="N237" s="169"/>
      <c r="O237" s="169"/>
      <c r="P237" s="281"/>
      <c r="Q237" s="281"/>
      <c r="R237" s="281"/>
      <c r="S237" s="281"/>
      <c r="T237" s="281"/>
      <c r="V237" s="25" t="str">
        <f t="shared" ca="1" si="8"/>
        <v>완료</v>
      </c>
      <c r="W237" s="25">
        <f t="shared" si="9"/>
        <v>0</v>
      </c>
      <c r="X237" s="25" t="str">
        <f t="shared" si="10"/>
        <v>진행</v>
      </c>
    </row>
    <row r="238" spans="1:24" ht="39.950000000000003" customHeight="1">
      <c r="A238" s="163"/>
      <c r="B238" s="164"/>
      <c r="C238" s="281"/>
      <c r="D238" s="284"/>
      <c r="E238" s="281"/>
      <c r="F238" s="281"/>
      <c r="G238" s="281"/>
      <c r="H238" s="281"/>
      <c r="I238" s="282">
        <f t="shared" si="11"/>
        <v>0</v>
      </c>
      <c r="J238" s="169"/>
      <c r="K238" s="169"/>
      <c r="L238" s="281"/>
      <c r="M238" s="169"/>
      <c r="N238" s="169"/>
      <c r="O238" s="169"/>
      <c r="P238" s="281"/>
      <c r="Q238" s="281"/>
      <c r="R238" s="281"/>
      <c r="S238" s="281"/>
      <c r="T238" s="281"/>
      <c r="V238" s="25" t="str">
        <f t="shared" ca="1" si="8"/>
        <v>완료</v>
      </c>
      <c r="W238" s="25">
        <f t="shared" si="9"/>
        <v>0</v>
      </c>
      <c r="X238" s="25" t="str">
        <f t="shared" si="10"/>
        <v>진행</v>
      </c>
    </row>
    <row r="239" spans="1:24" ht="39.950000000000003" customHeight="1">
      <c r="A239" s="163"/>
      <c r="B239" s="164"/>
      <c r="C239" s="281"/>
      <c r="D239" s="284"/>
      <c r="E239" s="281"/>
      <c r="F239" s="281"/>
      <c r="G239" s="281"/>
      <c r="H239" s="281"/>
      <c r="I239" s="282">
        <f t="shared" si="11"/>
        <v>0</v>
      </c>
      <c r="J239" s="169"/>
      <c r="K239" s="169"/>
      <c r="L239" s="281"/>
      <c r="M239" s="169"/>
      <c r="N239" s="169"/>
      <c r="O239" s="169"/>
      <c r="P239" s="281"/>
      <c r="Q239" s="281"/>
      <c r="R239" s="281"/>
      <c r="S239" s="281"/>
      <c r="T239" s="281"/>
      <c r="V239" s="25" t="str">
        <f t="shared" ca="1" si="8"/>
        <v>완료</v>
      </c>
      <c r="W239" s="25">
        <f t="shared" si="9"/>
        <v>0</v>
      </c>
      <c r="X239" s="25" t="str">
        <f t="shared" si="10"/>
        <v>진행</v>
      </c>
    </row>
    <row r="240" spans="1:24" ht="39.950000000000003" customHeight="1">
      <c r="A240" s="163"/>
      <c r="B240" s="164"/>
      <c r="C240" s="281"/>
      <c r="D240" s="284"/>
      <c r="E240" s="281"/>
      <c r="F240" s="281"/>
      <c r="G240" s="281"/>
      <c r="H240" s="281"/>
      <c r="I240" s="282">
        <f t="shared" si="11"/>
        <v>0</v>
      </c>
      <c r="J240" s="169"/>
      <c r="K240" s="169"/>
      <c r="L240" s="281"/>
      <c r="M240" s="169"/>
      <c r="N240" s="169"/>
      <c r="O240" s="169"/>
      <c r="P240" s="281"/>
      <c r="Q240" s="281"/>
      <c r="R240" s="281"/>
      <c r="S240" s="281"/>
      <c r="T240" s="281"/>
      <c r="V240" s="25" t="str">
        <f t="shared" ca="1" si="8"/>
        <v>완료</v>
      </c>
      <c r="W240" s="25">
        <f t="shared" si="9"/>
        <v>0</v>
      </c>
      <c r="X240" s="25" t="str">
        <f t="shared" si="10"/>
        <v>진행</v>
      </c>
    </row>
    <row r="241" spans="1:24" ht="39.950000000000003" customHeight="1">
      <c r="A241" s="163"/>
      <c r="B241" s="164"/>
      <c r="C241" s="281"/>
      <c r="D241" s="284"/>
      <c r="E241" s="281"/>
      <c r="F241" s="281"/>
      <c r="G241" s="281"/>
      <c r="H241" s="281"/>
      <c r="I241" s="282">
        <f t="shared" si="11"/>
        <v>0</v>
      </c>
      <c r="J241" s="169"/>
      <c r="K241" s="169"/>
      <c r="L241" s="281"/>
      <c r="M241" s="169"/>
      <c r="N241" s="169"/>
      <c r="O241" s="169"/>
      <c r="P241" s="281"/>
      <c r="Q241" s="281"/>
      <c r="R241" s="281"/>
      <c r="S241" s="281"/>
      <c r="T241" s="281"/>
      <c r="V241" s="25" t="str">
        <f t="shared" ca="1" si="8"/>
        <v>완료</v>
      </c>
      <c r="W241" s="25">
        <f t="shared" si="9"/>
        <v>0</v>
      </c>
      <c r="X241" s="25" t="str">
        <f t="shared" si="10"/>
        <v>진행</v>
      </c>
    </row>
    <row r="242" spans="1:24" ht="39.950000000000003" customHeight="1">
      <c r="A242" s="163"/>
      <c r="B242" s="164"/>
      <c r="C242" s="281"/>
      <c r="D242" s="284"/>
      <c r="E242" s="281"/>
      <c r="F242" s="281"/>
      <c r="G242" s="281"/>
      <c r="H242" s="281"/>
      <c r="I242" s="282">
        <f t="shared" si="11"/>
        <v>0</v>
      </c>
      <c r="J242" s="169"/>
      <c r="K242" s="169"/>
      <c r="L242" s="281"/>
      <c r="M242" s="169"/>
      <c r="N242" s="169"/>
      <c r="O242" s="169"/>
      <c r="P242" s="281"/>
      <c r="Q242" s="281"/>
      <c r="R242" s="281"/>
      <c r="S242" s="281"/>
      <c r="T242" s="281"/>
      <c r="V242" s="25" t="str">
        <f t="shared" ca="1" si="8"/>
        <v>완료</v>
      </c>
      <c r="W242" s="25">
        <f t="shared" si="9"/>
        <v>0</v>
      </c>
      <c r="X242" s="25" t="str">
        <f t="shared" si="10"/>
        <v>진행</v>
      </c>
    </row>
    <row r="243" spans="1:24" ht="39.950000000000003" customHeight="1">
      <c r="A243" s="163"/>
      <c r="B243" s="164"/>
      <c r="C243" s="281"/>
      <c r="D243" s="284"/>
      <c r="E243" s="281"/>
      <c r="F243" s="281"/>
      <c r="G243" s="281"/>
      <c r="H243" s="281"/>
      <c r="I243" s="282">
        <f t="shared" si="11"/>
        <v>0</v>
      </c>
      <c r="J243" s="169"/>
      <c r="K243" s="169"/>
      <c r="L243" s="281"/>
      <c r="M243" s="169"/>
      <c r="N243" s="169"/>
      <c r="O243" s="169"/>
      <c r="P243" s="281"/>
      <c r="Q243" s="281"/>
      <c r="R243" s="281"/>
      <c r="S243" s="281"/>
      <c r="T243" s="281"/>
      <c r="V243" s="25" t="str">
        <f t="shared" ca="1" si="8"/>
        <v>완료</v>
      </c>
      <c r="W243" s="25">
        <f t="shared" si="9"/>
        <v>0</v>
      </c>
      <c r="X243" s="25" t="str">
        <f t="shared" si="10"/>
        <v>진행</v>
      </c>
    </row>
    <row r="244" spans="1:24" ht="39.950000000000003" customHeight="1">
      <c r="A244" s="163"/>
      <c r="B244" s="164"/>
      <c r="C244" s="281"/>
      <c r="D244" s="284"/>
      <c r="E244" s="281"/>
      <c r="F244" s="281"/>
      <c r="G244" s="281"/>
      <c r="H244" s="281"/>
      <c r="I244" s="282">
        <f t="shared" si="11"/>
        <v>0</v>
      </c>
      <c r="J244" s="169"/>
      <c r="K244" s="169"/>
      <c r="L244" s="281"/>
      <c r="M244" s="169"/>
      <c r="N244" s="169"/>
      <c r="O244" s="169"/>
      <c r="P244" s="281"/>
      <c r="Q244" s="281"/>
      <c r="R244" s="281"/>
      <c r="S244" s="281"/>
      <c r="T244" s="281"/>
      <c r="V244" s="25" t="str">
        <f t="shared" ca="1" si="8"/>
        <v>완료</v>
      </c>
      <c r="W244" s="25">
        <f t="shared" si="9"/>
        <v>0</v>
      </c>
      <c r="X244" s="25" t="str">
        <f t="shared" si="10"/>
        <v>진행</v>
      </c>
    </row>
    <row r="245" spans="1:24" ht="39.950000000000003" customHeight="1">
      <c r="A245" s="163"/>
      <c r="B245" s="164"/>
      <c r="C245" s="281"/>
      <c r="D245" s="284"/>
      <c r="E245" s="281"/>
      <c r="F245" s="281"/>
      <c r="G245" s="281"/>
      <c r="H245" s="281"/>
      <c r="I245" s="282">
        <f t="shared" si="11"/>
        <v>0</v>
      </c>
      <c r="J245" s="169"/>
      <c r="K245" s="169"/>
      <c r="L245" s="281"/>
      <c r="M245" s="169"/>
      <c r="N245" s="169"/>
      <c r="O245" s="169"/>
      <c r="P245" s="281"/>
      <c r="Q245" s="281"/>
      <c r="R245" s="281"/>
      <c r="S245" s="281"/>
      <c r="T245" s="281"/>
      <c r="V245" s="25" t="str">
        <f t="shared" ca="1" si="8"/>
        <v>완료</v>
      </c>
      <c r="W245" s="25">
        <f t="shared" si="9"/>
        <v>0</v>
      </c>
      <c r="X245" s="25" t="str">
        <f t="shared" si="10"/>
        <v>진행</v>
      </c>
    </row>
    <row r="246" spans="1:24" ht="39.950000000000003" customHeight="1">
      <c r="A246" s="163"/>
      <c r="B246" s="164"/>
      <c r="C246" s="281"/>
      <c r="D246" s="284"/>
      <c r="E246" s="281"/>
      <c r="F246" s="281"/>
      <c r="G246" s="281"/>
      <c r="H246" s="281"/>
      <c r="I246" s="282">
        <f t="shared" si="11"/>
        <v>0</v>
      </c>
      <c r="J246" s="169"/>
      <c r="K246" s="169"/>
      <c r="L246" s="281"/>
      <c r="M246" s="169"/>
      <c r="N246" s="169"/>
      <c r="O246" s="169"/>
      <c r="P246" s="281"/>
      <c r="Q246" s="281"/>
      <c r="R246" s="281"/>
      <c r="S246" s="281"/>
      <c r="T246" s="281"/>
      <c r="V246" s="25" t="str">
        <f t="shared" ca="1" si="8"/>
        <v>완료</v>
      </c>
      <c r="W246" s="25">
        <f t="shared" si="9"/>
        <v>0</v>
      </c>
      <c r="X246" s="25" t="str">
        <f t="shared" si="10"/>
        <v>진행</v>
      </c>
    </row>
    <row r="247" spans="1:24" ht="39.950000000000003" customHeight="1">
      <c r="A247" s="163"/>
      <c r="B247" s="164"/>
      <c r="C247" s="281"/>
      <c r="D247" s="284"/>
      <c r="E247" s="281"/>
      <c r="F247" s="281"/>
      <c r="G247" s="281"/>
      <c r="H247" s="281"/>
      <c r="I247" s="282">
        <f t="shared" si="11"/>
        <v>0</v>
      </c>
      <c r="J247" s="169"/>
      <c r="K247" s="169"/>
      <c r="L247" s="281"/>
      <c r="M247" s="169"/>
      <c r="N247" s="169"/>
      <c r="O247" s="169"/>
      <c r="P247" s="281"/>
      <c r="Q247" s="281"/>
      <c r="R247" s="281"/>
      <c r="S247" s="281"/>
      <c r="T247" s="281"/>
      <c r="V247" s="25" t="str">
        <f t="shared" ca="1" si="8"/>
        <v>완료</v>
      </c>
      <c r="W247" s="25">
        <f t="shared" si="9"/>
        <v>0</v>
      </c>
      <c r="X247" s="25" t="str">
        <f t="shared" si="10"/>
        <v>진행</v>
      </c>
    </row>
    <row r="248" spans="1:24" ht="39.950000000000003" customHeight="1">
      <c r="A248" s="163"/>
      <c r="B248" s="164"/>
      <c r="C248" s="281"/>
      <c r="D248" s="284"/>
      <c r="E248" s="281"/>
      <c r="F248" s="281"/>
      <c r="G248" s="281"/>
      <c r="H248" s="281"/>
      <c r="I248" s="282">
        <f t="shared" si="11"/>
        <v>0</v>
      </c>
      <c r="J248" s="169"/>
      <c r="K248" s="169"/>
      <c r="L248" s="281"/>
      <c r="M248" s="169"/>
      <c r="N248" s="169"/>
      <c r="O248" s="169"/>
      <c r="P248" s="281"/>
      <c r="Q248" s="281"/>
      <c r="R248" s="281"/>
      <c r="S248" s="281"/>
      <c r="T248" s="281"/>
      <c r="V248" s="25" t="str">
        <f t="shared" ca="1" si="8"/>
        <v>완료</v>
      </c>
      <c r="W248" s="25">
        <f t="shared" si="9"/>
        <v>0</v>
      </c>
      <c r="X248" s="25" t="str">
        <f t="shared" si="10"/>
        <v>진행</v>
      </c>
    </row>
    <row r="249" spans="1:24" ht="39.950000000000003" customHeight="1">
      <c r="A249" s="163"/>
      <c r="B249" s="164"/>
      <c r="C249" s="281"/>
      <c r="D249" s="284"/>
      <c r="E249" s="281"/>
      <c r="F249" s="281"/>
      <c r="G249" s="281"/>
      <c r="H249" s="281"/>
      <c r="I249" s="282">
        <f t="shared" si="11"/>
        <v>0</v>
      </c>
      <c r="J249" s="169"/>
      <c r="K249" s="169"/>
      <c r="L249" s="281"/>
      <c r="M249" s="169"/>
      <c r="N249" s="169"/>
      <c r="O249" s="169"/>
      <c r="P249" s="281"/>
      <c r="Q249" s="281"/>
      <c r="R249" s="281"/>
      <c r="S249" s="281"/>
      <c r="T249" s="281"/>
      <c r="V249" s="25" t="str">
        <f t="shared" ca="1" si="8"/>
        <v>완료</v>
      </c>
      <c r="W249" s="25">
        <f t="shared" si="9"/>
        <v>0</v>
      </c>
      <c r="X249" s="25" t="str">
        <f t="shared" si="10"/>
        <v>진행</v>
      </c>
    </row>
    <row r="250" spans="1:24" ht="39.950000000000003" customHeight="1">
      <c r="A250" s="163"/>
      <c r="B250" s="164"/>
      <c r="C250" s="281"/>
      <c r="D250" s="284"/>
      <c r="E250" s="281"/>
      <c r="F250" s="281"/>
      <c r="G250" s="281"/>
      <c r="H250" s="281"/>
      <c r="I250" s="282">
        <f t="shared" si="11"/>
        <v>0</v>
      </c>
      <c r="J250" s="169"/>
      <c r="K250" s="169"/>
      <c r="L250" s="281"/>
      <c r="M250" s="169"/>
      <c r="N250" s="169"/>
      <c r="O250" s="169"/>
      <c r="P250" s="281"/>
      <c r="Q250" s="281"/>
      <c r="R250" s="281"/>
      <c r="S250" s="281"/>
      <c r="T250" s="281"/>
      <c r="V250" s="25" t="str">
        <f t="shared" ca="1" si="8"/>
        <v>완료</v>
      </c>
      <c r="W250" s="25">
        <f t="shared" si="9"/>
        <v>0</v>
      </c>
      <c r="X250" s="25" t="str">
        <f t="shared" si="10"/>
        <v>진행</v>
      </c>
    </row>
    <row r="251" spans="1:24" ht="39.950000000000003" customHeight="1">
      <c r="A251" s="163"/>
      <c r="B251" s="164"/>
      <c r="C251" s="281"/>
      <c r="D251" s="284"/>
      <c r="E251" s="281"/>
      <c r="F251" s="281"/>
      <c r="G251" s="281"/>
      <c r="H251" s="281"/>
      <c r="I251" s="282">
        <f t="shared" si="11"/>
        <v>0</v>
      </c>
      <c r="J251" s="169"/>
      <c r="K251" s="169"/>
      <c r="L251" s="281"/>
      <c r="M251" s="169"/>
      <c r="N251" s="169"/>
      <c r="O251" s="169"/>
      <c r="P251" s="281"/>
      <c r="Q251" s="281"/>
      <c r="R251" s="281"/>
      <c r="S251" s="281"/>
      <c r="T251" s="281"/>
      <c r="V251" s="25" t="str">
        <f t="shared" ca="1" si="8"/>
        <v>완료</v>
      </c>
      <c r="W251" s="25">
        <f t="shared" si="9"/>
        <v>0</v>
      </c>
      <c r="X251" s="25" t="str">
        <f t="shared" si="10"/>
        <v>진행</v>
      </c>
    </row>
    <row r="252" spans="1:24" ht="39.950000000000003" customHeight="1">
      <c r="A252" s="163"/>
      <c r="B252" s="164"/>
      <c r="C252" s="281"/>
      <c r="D252" s="284"/>
      <c r="E252" s="281"/>
      <c r="F252" s="281"/>
      <c r="G252" s="281"/>
      <c r="H252" s="281"/>
      <c r="I252" s="282">
        <f t="shared" si="11"/>
        <v>0</v>
      </c>
      <c r="J252" s="169"/>
      <c r="K252" s="169"/>
      <c r="L252" s="281"/>
      <c r="M252" s="169"/>
      <c r="N252" s="169"/>
      <c r="O252" s="169"/>
      <c r="P252" s="281"/>
      <c r="Q252" s="281"/>
      <c r="R252" s="281"/>
      <c r="S252" s="281"/>
      <c r="T252" s="281"/>
      <c r="V252" s="25" t="str">
        <f t="shared" ca="1" si="8"/>
        <v>완료</v>
      </c>
      <c r="W252" s="25">
        <f t="shared" si="9"/>
        <v>0</v>
      </c>
      <c r="X252" s="25" t="str">
        <f t="shared" si="10"/>
        <v>진행</v>
      </c>
    </row>
    <row r="253" spans="1:24" ht="39.950000000000003" customHeight="1">
      <c r="A253" s="163"/>
      <c r="B253" s="164"/>
      <c r="C253" s="281"/>
      <c r="D253" s="284"/>
      <c r="E253" s="281"/>
      <c r="F253" s="281"/>
      <c r="G253" s="281"/>
      <c r="H253" s="281"/>
      <c r="I253" s="282">
        <f t="shared" si="11"/>
        <v>0</v>
      </c>
      <c r="J253" s="169"/>
      <c r="K253" s="169"/>
      <c r="L253" s="281"/>
      <c r="M253" s="169"/>
      <c r="N253" s="169"/>
      <c r="O253" s="169"/>
      <c r="P253" s="281"/>
      <c r="Q253" s="281"/>
      <c r="R253" s="281"/>
      <c r="S253" s="281"/>
      <c r="T253" s="281"/>
      <c r="V253" s="25" t="str">
        <f t="shared" ca="1" si="8"/>
        <v>완료</v>
      </c>
      <c r="W253" s="25">
        <f t="shared" si="9"/>
        <v>0</v>
      </c>
      <c r="X253" s="25" t="str">
        <f t="shared" si="10"/>
        <v>진행</v>
      </c>
    </row>
    <row r="254" spans="1:24" ht="39.950000000000003" customHeight="1">
      <c r="A254" s="163"/>
      <c r="B254" s="164"/>
      <c r="C254" s="281"/>
      <c r="D254" s="284"/>
      <c r="E254" s="281"/>
      <c r="F254" s="281"/>
      <c r="G254" s="281"/>
      <c r="H254" s="281"/>
      <c r="I254" s="282">
        <f t="shared" si="11"/>
        <v>0</v>
      </c>
      <c r="J254" s="169"/>
      <c r="K254" s="169"/>
      <c r="L254" s="281"/>
      <c r="M254" s="169"/>
      <c r="N254" s="169"/>
      <c r="O254" s="169"/>
      <c r="P254" s="281"/>
      <c r="Q254" s="281"/>
      <c r="R254" s="281"/>
      <c r="S254" s="281"/>
      <c r="T254" s="281"/>
      <c r="V254" s="25" t="str">
        <f t="shared" ca="1" si="8"/>
        <v>완료</v>
      </c>
      <c r="W254" s="25">
        <f t="shared" si="9"/>
        <v>0</v>
      </c>
      <c r="X254" s="25" t="str">
        <f t="shared" si="10"/>
        <v>진행</v>
      </c>
    </row>
    <row r="255" spans="1:24" ht="39.950000000000003" customHeight="1">
      <c r="A255" s="163"/>
      <c r="B255" s="164"/>
      <c r="C255" s="281"/>
      <c r="D255" s="284"/>
      <c r="E255" s="281"/>
      <c r="F255" s="281"/>
      <c r="G255" s="281"/>
      <c r="H255" s="281"/>
      <c r="I255" s="282">
        <f t="shared" si="11"/>
        <v>0</v>
      </c>
      <c r="J255" s="169"/>
      <c r="K255" s="169"/>
      <c r="L255" s="281"/>
      <c r="M255" s="169"/>
      <c r="N255" s="169"/>
      <c r="O255" s="169"/>
      <c r="P255" s="281"/>
      <c r="Q255" s="281"/>
      <c r="R255" s="281"/>
      <c r="S255" s="281"/>
      <c r="T255" s="281"/>
      <c r="V255" s="25" t="str">
        <f t="shared" ca="1" si="8"/>
        <v>완료</v>
      </c>
      <c r="W255" s="25">
        <f t="shared" si="9"/>
        <v>0</v>
      </c>
      <c r="X255" s="25" t="str">
        <f t="shared" si="10"/>
        <v>진행</v>
      </c>
    </row>
    <row r="256" spans="1:24" ht="39.950000000000003" customHeight="1">
      <c r="A256" s="163"/>
      <c r="B256" s="164"/>
      <c r="C256" s="281"/>
      <c r="D256" s="284"/>
      <c r="E256" s="281"/>
      <c r="F256" s="281"/>
      <c r="G256" s="281"/>
      <c r="H256" s="281"/>
      <c r="I256" s="282">
        <f t="shared" si="11"/>
        <v>0</v>
      </c>
      <c r="J256" s="169"/>
      <c r="K256" s="169"/>
      <c r="L256" s="281"/>
      <c r="M256" s="169"/>
      <c r="N256" s="169"/>
      <c r="O256" s="169"/>
      <c r="P256" s="281"/>
      <c r="Q256" s="281"/>
      <c r="R256" s="281"/>
      <c r="S256" s="281"/>
      <c r="T256" s="281"/>
      <c r="V256" s="25" t="str">
        <f t="shared" ca="1" si="8"/>
        <v>완료</v>
      </c>
      <c r="W256" s="25">
        <f t="shared" si="9"/>
        <v>0</v>
      </c>
      <c r="X256" s="25" t="str">
        <f t="shared" si="10"/>
        <v>진행</v>
      </c>
    </row>
    <row r="257" spans="1:24" ht="39.950000000000003" customHeight="1">
      <c r="A257" s="163"/>
      <c r="B257" s="164"/>
      <c r="C257" s="281"/>
      <c r="D257" s="284"/>
      <c r="E257" s="281"/>
      <c r="F257" s="281"/>
      <c r="G257" s="281"/>
      <c r="H257" s="281"/>
      <c r="I257" s="282">
        <f t="shared" si="11"/>
        <v>0</v>
      </c>
      <c r="J257" s="169"/>
      <c r="K257" s="169"/>
      <c r="L257" s="281"/>
      <c r="M257" s="169"/>
      <c r="N257" s="169"/>
      <c r="O257" s="169"/>
      <c r="P257" s="281"/>
      <c r="Q257" s="281"/>
      <c r="R257" s="281"/>
      <c r="S257" s="281"/>
      <c r="T257" s="281"/>
      <c r="V257" s="25" t="str">
        <f t="shared" ca="1" si="8"/>
        <v>완료</v>
      </c>
      <c r="W257" s="25">
        <f t="shared" si="9"/>
        <v>0</v>
      </c>
      <c r="X257" s="25" t="str">
        <f t="shared" si="10"/>
        <v>진행</v>
      </c>
    </row>
    <row r="258" spans="1:24" ht="39.950000000000003" customHeight="1">
      <c r="A258" s="163"/>
      <c r="B258" s="164"/>
      <c r="C258" s="281"/>
      <c r="D258" s="284"/>
      <c r="E258" s="281"/>
      <c r="F258" s="281"/>
      <c r="G258" s="281"/>
      <c r="H258" s="281"/>
      <c r="I258" s="282">
        <f t="shared" si="11"/>
        <v>0</v>
      </c>
      <c r="J258" s="169"/>
      <c r="K258" s="169"/>
      <c r="L258" s="281"/>
      <c r="M258" s="169"/>
      <c r="N258" s="169"/>
      <c r="O258" s="169"/>
      <c r="P258" s="281"/>
      <c r="Q258" s="281"/>
      <c r="R258" s="281"/>
      <c r="S258" s="281"/>
      <c r="T258" s="281"/>
      <c r="V258" s="25" t="str">
        <f t="shared" ca="1" si="8"/>
        <v>완료</v>
      </c>
      <c r="W258" s="25">
        <f t="shared" si="9"/>
        <v>0</v>
      </c>
      <c r="X258" s="25" t="str">
        <f t="shared" si="10"/>
        <v>진행</v>
      </c>
    </row>
    <row r="259" spans="1:24" ht="39.950000000000003" customHeight="1">
      <c r="A259" s="163"/>
      <c r="B259" s="164"/>
      <c r="C259" s="281"/>
      <c r="D259" s="284"/>
      <c r="E259" s="281"/>
      <c r="F259" s="281"/>
      <c r="G259" s="281"/>
      <c r="H259" s="281"/>
      <c r="I259" s="282">
        <f t="shared" si="11"/>
        <v>0</v>
      </c>
      <c r="J259" s="169"/>
      <c r="K259" s="169"/>
      <c r="L259" s="281"/>
      <c r="M259" s="169"/>
      <c r="N259" s="169"/>
      <c r="O259" s="169"/>
      <c r="P259" s="281"/>
      <c r="Q259" s="281"/>
      <c r="R259" s="281"/>
      <c r="S259" s="281"/>
      <c r="T259" s="281"/>
      <c r="V259" s="25" t="str">
        <f t="shared" ca="1" si="8"/>
        <v>완료</v>
      </c>
      <c r="W259" s="25">
        <f t="shared" si="9"/>
        <v>0</v>
      </c>
      <c r="X259" s="25" t="str">
        <f t="shared" si="10"/>
        <v>진행</v>
      </c>
    </row>
    <row r="260" spans="1:24" ht="39.950000000000003" customHeight="1">
      <c r="A260" s="163"/>
      <c r="B260" s="164"/>
      <c r="C260" s="281"/>
      <c r="D260" s="284"/>
      <c r="E260" s="281"/>
      <c r="F260" s="281"/>
      <c r="G260" s="281"/>
      <c r="H260" s="281"/>
      <c r="I260" s="282">
        <f t="shared" si="11"/>
        <v>0</v>
      </c>
      <c r="J260" s="169"/>
      <c r="K260" s="169"/>
      <c r="L260" s="281"/>
      <c r="M260" s="169"/>
      <c r="N260" s="169"/>
      <c r="O260" s="169"/>
      <c r="P260" s="281"/>
      <c r="Q260" s="281"/>
      <c r="R260" s="281"/>
      <c r="S260" s="281"/>
      <c r="T260" s="281"/>
      <c r="V260" s="25" t="str">
        <f t="shared" ca="1" si="8"/>
        <v>완료</v>
      </c>
      <c r="W260" s="25">
        <f t="shared" si="9"/>
        <v>0</v>
      </c>
      <c r="X260" s="25" t="str">
        <f t="shared" si="10"/>
        <v>진행</v>
      </c>
    </row>
    <row r="261" spans="1:24" ht="39.950000000000003" customHeight="1">
      <c r="A261" s="163"/>
      <c r="B261" s="164"/>
      <c r="C261" s="281"/>
      <c r="D261" s="284"/>
      <c r="E261" s="281"/>
      <c r="F261" s="281"/>
      <c r="G261" s="281"/>
      <c r="H261" s="281"/>
      <c r="I261" s="282">
        <f t="shared" si="11"/>
        <v>0</v>
      </c>
      <c r="J261" s="169"/>
      <c r="K261" s="169"/>
      <c r="L261" s="281"/>
      <c r="M261" s="169"/>
      <c r="N261" s="169"/>
      <c r="O261" s="169"/>
      <c r="P261" s="281"/>
      <c r="Q261" s="281"/>
      <c r="R261" s="281"/>
      <c r="S261" s="281"/>
      <c r="T261" s="281"/>
      <c r="V261" s="25" t="str">
        <f t="shared" ca="1" si="8"/>
        <v>완료</v>
      </c>
      <c r="W261" s="25">
        <f t="shared" si="9"/>
        <v>0</v>
      </c>
      <c r="X261" s="25" t="str">
        <f t="shared" si="10"/>
        <v>진행</v>
      </c>
    </row>
    <row r="262" spans="1:24" ht="39.950000000000003" customHeight="1">
      <c r="A262" s="163"/>
      <c r="B262" s="164"/>
      <c r="C262" s="281"/>
      <c r="D262" s="284"/>
      <c r="E262" s="281"/>
      <c r="F262" s="281"/>
      <c r="G262" s="281"/>
      <c r="H262" s="281"/>
      <c r="I262" s="282">
        <f t="shared" si="11"/>
        <v>0</v>
      </c>
      <c r="J262" s="169"/>
      <c r="K262" s="169"/>
      <c r="L262" s="281"/>
      <c r="M262" s="169"/>
      <c r="N262" s="169"/>
      <c r="O262" s="169"/>
      <c r="P262" s="281"/>
      <c r="Q262" s="281"/>
      <c r="R262" s="281"/>
      <c r="S262" s="281"/>
      <c r="T262" s="281"/>
      <c r="V262" s="25" t="str">
        <f t="shared" ref="V262:V330" ca="1" si="12">IF(TODAY()&gt;M262,"완료","진행")</f>
        <v>완료</v>
      </c>
      <c r="W262" s="25">
        <f t="shared" ref="W262:W330" si="13">C262</f>
        <v>0</v>
      </c>
      <c r="X262" s="25" t="str">
        <f t="shared" ref="X262:X330" si="14">IF(O262&gt;0,"완료","진행")</f>
        <v>진행</v>
      </c>
    </row>
    <row r="263" spans="1:24" ht="39.950000000000003" customHeight="1">
      <c r="A263" s="163"/>
      <c r="B263" s="164"/>
      <c r="C263" s="281"/>
      <c r="D263" s="284"/>
      <c r="E263" s="281"/>
      <c r="F263" s="281"/>
      <c r="G263" s="281"/>
      <c r="H263" s="281"/>
      <c r="I263" s="282">
        <f t="shared" si="11"/>
        <v>0</v>
      </c>
      <c r="J263" s="169"/>
      <c r="K263" s="169"/>
      <c r="L263" s="281"/>
      <c r="M263" s="169"/>
      <c r="N263" s="169"/>
      <c r="O263" s="169"/>
      <c r="P263" s="281"/>
      <c r="Q263" s="281"/>
      <c r="R263" s="281"/>
      <c r="S263" s="281"/>
      <c r="T263" s="281"/>
      <c r="V263" s="25" t="str">
        <f t="shared" ca="1" si="12"/>
        <v>완료</v>
      </c>
      <c r="W263" s="25">
        <f t="shared" si="13"/>
        <v>0</v>
      </c>
      <c r="X263" s="25" t="str">
        <f t="shared" si="14"/>
        <v>진행</v>
      </c>
    </row>
    <row r="264" spans="1:24" ht="39.950000000000003" customHeight="1">
      <c r="A264" s="163"/>
      <c r="B264" s="164"/>
      <c r="C264" s="281"/>
      <c r="D264" s="284"/>
      <c r="E264" s="281"/>
      <c r="F264" s="281"/>
      <c r="G264" s="281"/>
      <c r="H264" s="281"/>
      <c r="I264" s="282">
        <f t="shared" si="11"/>
        <v>0</v>
      </c>
      <c r="J264" s="169"/>
      <c r="K264" s="169"/>
      <c r="L264" s="281"/>
      <c r="M264" s="169"/>
      <c r="N264" s="169"/>
      <c r="O264" s="169"/>
      <c r="P264" s="281"/>
      <c r="Q264" s="281"/>
      <c r="R264" s="281"/>
      <c r="S264" s="281"/>
      <c r="T264" s="281"/>
      <c r="V264" s="25" t="str">
        <f t="shared" ca="1" si="12"/>
        <v>완료</v>
      </c>
      <c r="W264" s="25">
        <f t="shared" si="13"/>
        <v>0</v>
      </c>
      <c r="X264" s="25" t="str">
        <f t="shared" si="14"/>
        <v>진행</v>
      </c>
    </row>
    <row r="265" spans="1:24" ht="39.950000000000003" customHeight="1">
      <c r="A265" s="163"/>
      <c r="B265" s="164"/>
      <c r="C265" s="281"/>
      <c r="D265" s="284"/>
      <c r="E265" s="281"/>
      <c r="F265" s="281"/>
      <c r="G265" s="281"/>
      <c r="H265" s="281"/>
      <c r="I265" s="282">
        <f t="shared" si="11"/>
        <v>0</v>
      </c>
      <c r="J265" s="169"/>
      <c r="K265" s="169"/>
      <c r="L265" s="281"/>
      <c r="M265" s="169"/>
      <c r="N265" s="169"/>
      <c r="O265" s="169"/>
      <c r="P265" s="281"/>
      <c r="Q265" s="281"/>
      <c r="R265" s="281"/>
      <c r="S265" s="281"/>
      <c r="T265" s="281"/>
      <c r="V265" s="25" t="str">
        <f t="shared" ca="1" si="12"/>
        <v>완료</v>
      </c>
      <c r="W265" s="25">
        <f t="shared" si="13"/>
        <v>0</v>
      </c>
      <c r="X265" s="25" t="str">
        <f t="shared" si="14"/>
        <v>진행</v>
      </c>
    </row>
    <row r="266" spans="1:24" ht="39.950000000000003" customHeight="1">
      <c r="A266" s="163"/>
      <c r="B266" s="164"/>
      <c r="C266" s="281"/>
      <c r="D266" s="284"/>
      <c r="E266" s="281"/>
      <c r="F266" s="281"/>
      <c r="G266" s="281"/>
      <c r="H266" s="281"/>
      <c r="I266" s="282">
        <f t="shared" si="11"/>
        <v>0</v>
      </c>
      <c r="J266" s="169"/>
      <c r="K266" s="169"/>
      <c r="L266" s="281"/>
      <c r="M266" s="169"/>
      <c r="N266" s="169"/>
      <c r="O266" s="169"/>
      <c r="P266" s="281"/>
      <c r="Q266" s="281"/>
      <c r="R266" s="281"/>
      <c r="S266" s="281"/>
      <c r="T266" s="281"/>
      <c r="V266" s="25" t="str">
        <f t="shared" ca="1" si="12"/>
        <v>완료</v>
      </c>
      <c r="W266" s="25">
        <f t="shared" si="13"/>
        <v>0</v>
      </c>
      <c r="X266" s="25" t="str">
        <f t="shared" si="14"/>
        <v>진행</v>
      </c>
    </row>
    <row r="267" spans="1:24" ht="39.950000000000003" customHeight="1">
      <c r="A267" s="163"/>
      <c r="B267" s="164"/>
      <c r="C267" s="281"/>
      <c r="D267" s="284"/>
      <c r="E267" s="281"/>
      <c r="F267" s="281"/>
      <c r="G267" s="281"/>
      <c r="H267" s="281"/>
      <c r="I267" s="282">
        <f t="shared" si="11"/>
        <v>0</v>
      </c>
      <c r="J267" s="169"/>
      <c r="K267" s="169"/>
      <c r="L267" s="281"/>
      <c r="M267" s="169"/>
      <c r="N267" s="169"/>
      <c r="O267" s="169"/>
      <c r="P267" s="281"/>
      <c r="Q267" s="281"/>
      <c r="R267" s="281"/>
      <c r="S267" s="281"/>
      <c r="T267" s="281"/>
      <c r="V267" s="25" t="str">
        <f t="shared" ca="1" si="12"/>
        <v>완료</v>
      </c>
      <c r="W267" s="25">
        <f t="shared" si="13"/>
        <v>0</v>
      </c>
      <c r="X267" s="25" t="str">
        <f t="shared" si="14"/>
        <v>진행</v>
      </c>
    </row>
    <row r="268" spans="1:24" ht="39.950000000000003" customHeight="1">
      <c r="A268" s="163"/>
      <c r="B268" s="164"/>
      <c r="C268" s="281"/>
      <c r="D268" s="284"/>
      <c r="E268" s="281"/>
      <c r="F268" s="281"/>
      <c r="G268" s="281"/>
      <c r="H268" s="281"/>
      <c r="I268" s="282">
        <f t="shared" si="11"/>
        <v>0</v>
      </c>
      <c r="J268" s="169"/>
      <c r="K268" s="169"/>
      <c r="L268" s="281"/>
      <c r="M268" s="169"/>
      <c r="N268" s="169"/>
      <c r="O268" s="169"/>
      <c r="P268" s="281"/>
      <c r="Q268" s="281"/>
      <c r="R268" s="281"/>
      <c r="S268" s="281"/>
      <c r="T268" s="281"/>
      <c r="V268" s="25" t="str">
        <f t="shared" ca="1" si="12"/>
        <v>완료</v>
      </c>
      <c r="W268" s="25">
        <f t="shared" si="13"/>
        <v>0</v>
      </c>
      <c r="X268" s="25" t="str">
        <f t="shared" si="14"/>
        <v>진행</v>
      </c>
    </row>
    <row r="269" spans="1:24" ht="39.950000000000003" customHeight="1">
      <c r="A269" s="163"/>
      <c r="B269" s="164"/>
      <c r="C269" s="281"/>
      <c r="D269" s="284"/>
      <c r="E269" s="281"/>
      <c r="F269" s="281"/>
      <c r="G269" s="281"/>
      <c r="H269" s="281"/>
      <c r="I269" s="282">
        <f t="shared" si="11"/>
        <v>0</v>
      </c>
      <c r="J269" s="169"/>
      <c r="K269" s="169"/>
      <c r="L269" s="281"/>
      <c r="M269" s="169"/>
      <c r="N269" s="169"/>
      <c r="O269" s="169"/>
      <c r="P269" s="281"/>
      <c r="Q269" s="281"/>
      <c r="R269" s="281"/>
      <c r="S269" s="281"/>
      <c r="T269" s="281"/>
      <c r="V269" s="25" t="str">
        <f t="shared" ca="1" si="12"/>
        <v>완료</v>
      </c>
      <c r="W269" s="25">
        <f t="shared" si="13"/>
        <v>0</v>
      </c>
      <c r="X269" s="25" t="str">
        <f t="shared" si="14"/>
        <v>진행</v>
      </c>
    </row>
    <row r="270" spans="1:24" ht="39.950000000000003" customHeight="1">
      <c r="A270" s="163"/>
      <c r="B270" s="164"/>
      <c r="C270" s="281"/>
      <c r="D270" s="284"/>
      <c r="E270" s="281"/>
      <c r="F270" s="281"/>
      <c r="G270" s="281"/>
      <c r="H270" s="281"/>
      <c r="I270" s="282">
        <f t="shared" si="11"/>
        <v>0</v>
      </c>
      <c r="J270" s="169"/>
      <c r="K270" s="169"/>
      <c r="L270" s="281"/>
      <c r="M270" s="169"/>
      <c r="N270" s="169"/>
      <c r="O270" s="169"/>
      <c r="P270" s="281"/>
      <c r="Q270" s="281"/>
      <c r="R270" s="281"/>
      <c r="S270" s="281"/>
      <c r="T270" s="281"/>
      <c r="V270" s="25" t="str">
        <f t="shared" ca="1" si="12"/>
        <v>완료</v>
      </c>
      <c r="W270" s="25">
        <f t="shared" si="13"/>
        <v>0</v>
      </c>
      <c r="X270" s="25" t="str">
        <f t="shared" si="14"/>
        <v>진행</v>
      </c>
    </row>
    <row r="271" spans="1:24" ht="39.950000000000003" customHeight="1">
      <c r="A271" s="163"/>
      <c r="B271" s="164"/>
      <c r="C271" s="281"/>
      <c r="D271" s="284"/>
      <c r="E271" s="281"/>
      <c r="F271" s="281"/>
      <c r="G271" s="281"/>
      <c r="H271" s="281"/>
      <c r="I271" s="282">
        <f t="shared" si="11"/>
        <v>0</v>
      </c>
      <c r="J271" s="169"/>
      <c r="K271" s="169"/>
      <c r="L271" s="281"/>
      <c r="M271" s="169"/>
      <c r="N271" s="169"/>
      <c r="O271" s="169"/>
      <c r="P271" s="281"/>
      <c r="Q271" s="281"/>
      <c r="R271" s="281"/>
      <c r="S271" s="281"/>
      <c r="T271" s="281"/>
      <c r="V271" s="25" t="str">
        <f t="shared" ca="1" si="12"/>
        <v>완료</v>
      </c>
      <c r="W271" s="25">
        <f t="shared" si="13"/>
        <v>0</v>
      </c>
      <c r="X271" s="25" t="str">
        <f t="shared" si="14"/>
        <v>진행</v>
      </c>
    </row>
    <row r="272" spans="1:24" ht="39.950000000000003" customHeight="1">
      <c r="A272" s="163"/>
      <c r="B272" s="164"/>
      <c r="C272" s="281"/>
      <c r="D272" s="284"/>
      <c r="E272" s="281"/>
      <c r="F272" s="281"/>
      <c r="G272" s="281"/>
      <c r="H272" s="281"/>
      <c r="I272" s="282">
        <f t="shared" si="11"/>
        <v>0</v>
      </c>
      <c r="J272" s="169"/>
      <c r="K272" s="169"/>
      <c r="L272" s="281"/>
      <c r="M272" s="169"/>
      <c r="N272" s="169"/>
      <c r="O272" s="169"/>
      <c r="P272" s="281"/>
      <c r="Q272" s="281"/>
      <c r="R272" s="281"/>
      <c r="S272" s="281"/>
      <c r="T272" s="281"/>
      <c r="V272" s="25" t="str">
        <f t="shared" ca="1" si="12"/>
        <v>완료</v>
      </c>
      <c r="W272" s="25">
        <f t="shared" si="13"/>
        <v>0</v>
      </c>
      <c r="X272" s="25" t="str">
        <f t="shared" si="14"/>
        <v>진행</v>
      </c>
    </row>
    <row r="273" spans="1:24" ht="39.950000000000003" customHeight="1">
      <c r="A273" s="163"/>
      <c r="B273" s="164"/>
      <c r="C273" s="281"/>
      <c r="D273" s="284"/>
      <c r="E273" s="281"/>
      <c r="F273" s="281"/>
      <c r="G273" s="281"/>
      <c r="H273" s="281"/>
      <c r="I273" s="282">
        <f t="shared" si="11"/>
        <v>0</v>
      </c>
      <c r="J273" s="169"/>
      <c r="K273" s="169"/>
      <c r="L273" s="281"/>
      <c r="M273" s="169"/>
      <c r="N273" s="169"/>
      <c r="O273" s="169"/>
      <c r="P273" s="281"/>
      <c r="Q273" s="281"/>
      <c r="R273" s="281"/>
      <c r="S273" s="281"/>
      <c r="T273" s="281"/>
      <c r="V273" s="25" t="str">
        <f t="shared" ca="1" si="12"/>
        <v>완료</v>
      </c>
      <c r="W273" s="25">
        <f t="shared" si="13"/>
        <v>0</v>
      </c>
      <c r="X273" s="25" t="str">
        <f t="shared" si="14"/>
        <v>진행</v>
      </c>
    </row>
    <row r="274" spans="1:24" ht="39.950000000000003" customHeight="1">
      <c r="A274" s="163"/>
      <c r="B274" s="164"/>
      <c r="C274" s="281"/>
      <c r="D274" s="284"/>
      <c r="E274" s="281"/>
      <c r="F274" s="281"/>
      <c r="G274" s="281"/>
      <c r="H274" s="281"/>
      <c r="I274" s="282">
        <f t="shared" si="11"/>
        <v>0</v>
      </c>
      <c r="J274" s="169"/>
      <c r="K274" s="169"/>
      <c r="L274" s="281"/>
      <c r="M274" s="169"/>
      <c r="N274" s="169"/>
      <c r="O274" s="169"/>
      <c r="P274" s="281"/>
      <c r="Q274" s="281"/>
      <c r="R274" s="281"/>
      <c r="S274" s="281"/>
      <c r="T274" s="281"/>
      <c r="V274" s="25" t="str">
        <f t="shared" ca="1" si="12"/>
        <v>완료</v>
      </c>
      <c r="W274" s="25">
        <f t="shared" si="13"/>
        <v>0</v>
      </c>
      <c r="X274" s="25" t="str">
        <f t="shared" si="14"/>
        <v>진행</v>
      </c>
    </row>
    <row r="275" spans="1:24" ht="39.950000000000003" customHeight="1">
      <c r="A275" s="163"/>
      <c r="B275" s="164"/>
      <c r="C275" s="281"/>
      <c r="D275" s="284"/>
      <c r="E275" s="281"/>
      <c r="F275" s="281"/>
      <c r="G275" s="281"/>
      <c r="H275" s="281"/>
      <c r="I275" s="282">
        <f t="shared" si="11"/>
        <v>0</v>
      </c>
      <c r="J275" s="169"/>
      <c r="K275" s="169"/>
      <c r="L275" s="281"/>
      <c r="M275" s="169"/>
      <c r="N275" s="169"/>
      <c r="O275" s="169"/>
      <c r="P275" s="281"/>
      <c r="Q275" s="281"/>
      <c r="R275" s="281"/>
      <c r="S275" s="281"/>
      <c r="T275" s="281"/>
      <c r="V275" s="25" t="str">
        <f t="shared" ca="1" si="12"/>
        <v>완료</v>
      </c>
      <c r="W275" s="25">
        <f t="shared" si="13"/>
        <v>0</v>
      </c>
      <c r="X275" s="25" t="str">
        <f t="shared" si="14"/>
        <v>진행</v>
      </c>
    </row>
    <row r="276" spans="1:24" ht="39.950000000000003" customHeight="1">
      <c r="A276" s="163"/>
      <c r="B276" s="164"/>
      <c r="C276" s="281"/>
      <c r="D276" s="284"/>
      <c r="E276" s="281"/>
      <c r="F276" s="281"/>
      <c r="G276" s="281"/>
      <c r="H276" s="281"/>
      <c r="I276" s="282">
        <f t="shared" si="11"/>
        <v>0</v>
      </c>
      <c r="J276" s="169"/>
      <c r="K276" s="169"/>
      <c r="L276" s="281"/>
      <c r="M276" s="169"/>
      <c r="N276" s="169"/>
      <c r="O276" s="169"/>
      <c r="P276" s="281"/>
      <c r="Q276" s="281"/>
      <c r="R276" s="281"/>
      <c r="S276" s="281"/>
      <c r="T276" s="281"/>
      <c r="V276" s="25" t="str">
        <f t="shared" ca="1" si="12"/>
        <v>완료</v>
      </c>
      <c r="W276" s="25">
        <f t="shared" si="13"/>
        <v>0</v>
      </c>
      <c r="X276" s="25" t="str">
        <f t="shared" si="14"/>
        <v>진행</v>
      </c>
    </row>
    <row r="277" spans="1:24" ht="39.950000000000003" customHeight="1">
      <c r="A277" s="163"/>
      <c r="B277" s="164"/>
      <c r="C277" s="281"/>
      <c r="D277" s="284"/>
      <c r="E277" s="281"/>
      <c r="F277" s="281"/>
      <c r="G277" s="281"/>
      <c r="H277" s="281"/>
      <c r="I277" s="282">
        <f t="shared" si="11"/>
        <v>0</v>
      </c>
      <c r="J277" s="169"/>
      <c r="K277" s="169"/>
      <c r="L277" s="281"/>
      <c r="M277" s="169"/>
      <c r="N277" s="169"/>
      <c r="O277" s="169"/>
      <c r="P277" s="281"/>
      <c r="Q277" s="281"/>
      <c r="R277" s="281"/>
      <c r="S277" s="281"/>
      <c r="T277" s="281"/>
      <c r="V277" s="25" t="str">
        <f t="shared" ca="1" si="12"/>
        <v>완료</v>
      </c>
      <c r="W277" s="25">
        <f t="shared" si="13"/>
        <v>0</v>
      </c>
      <c r="X277" s="25" t="str">
        <f t="shared" si="14"/>
        <v>진행</v>
      </c>
    </row>
    <row r="278" spans="1:24" ht="39.950000000000003" customHeight="1">
      <c r="A278" s="163"/>
      <c r="B278" s="164"/>
      <c r="C278" s="281"/>
      <c r="D278" s="284"/>
      <c r="E278" s="281"/>
      <c r="F278" s="281"/>
      <c r="G278" s="281"/>
      <c r="H278" s="281"/>
      <c r="I278" s="282">
        <f t="shared" si="11"/>
        <v>0</v>
      </c>
      <c r="J278" s="169"/>
      <c r="K278" s="169"/>
      <c r="L278" s="281"/>
      <c r="M278" s="169"/>
      <c r="N278" s="169"/>
      <c r="O278" s="169"/>
      <c r="P278" s="281"/>
      <c r="Q278" s="281"/>
      <c r="R278" s="281"/>
      <c r="S278" s="281"/>
      <c r="T278" s="281"/>
      <c r="V278" s="25" t="str">
        <f t="shared" ca="1" si="12"/>
        <v>완료</v>
      </c>
      <c r="W278" s="25">
        <f t="shared" si="13"/>
        <v>0</v>
      </c>
      <c r="X278" s="25" t="str">
        <f t="shared" si="14"/>
        <v>진행</v>
      </c>
    </row>
    <row r="279" spans="1:24" ht="39.950000000000003" customHeight="1">
      <c r="A279" s="163"/>
      <c r="B279" s="164"/>
      <c r="C279" s="281"/>
      <c r="D279" s="284"/>
      <c r="E279" s="281"/>
      <c r="F279" s="281"/>
      <c r="G279" s="281"/>
      <c r="H279" s="281"/>
      <c r="I279" s="282">
        <f t="shared" si="11"/>
        <v>0</v>
      </c>
      <c r="J279" s="169"/>
      <c r="K279" s="169"/>
      <c r="L279" s="281"/>
      <c r="M279" s="169"/>
      <c r="N279" s="169"/>
      <c r="O279" s="169"/>
      <c r="P279" s="281"/>
      <c r="Q279" s="281"/>
      <c r="R279" s="281"/>
      <c r="S279" s="281"/>
      <c r="T279" s="281"/>
      <c r="V279" s="25" t="str">
        <f t="shared" ca="1" si="12"/>
        <v>완료</v>
      </c>
      <c r="W279" s="25">
        <f t="shared" si="13"/>
        <v>0</v>
      </c>
      <c r="X279" s="25" t="str">
        <f t="shared" si="14"/>
        <v>진행</v>
      </c>
    </row>
    <row r="280" spans="1:24" ht="39.950000000000003" customHeight="1">
      <c r="A280" s="163"/>
      <c r="B280" s="164"/>
      <c r="C280" s="281"/>
      <c r="D280" s="284"/>
      <c r="E280" s="281"/>
      <c r="F280" s="281"/>
      <c r="G280" s="281"/>
      <c r="H280" s="281"/>
      <c r="I280" s="282">
        <f t="shared" si="11"/>
        <v>0</v>
      </c>
      <c r="J280" s="169"/>
      <c r="K280" s="169"/>
      <c r="L280" s="281"/>
      <c r="M280" s="169"/>
      <c r="N280" s="169"/>
      <c r="O280" s="169"/>
      <c r="P280" s="281"/>
      <c r="Q280" s="281"/>
      <c r="R280" s="281"/>
      <c r="S280" s="281"/>
      <c r="T280" s="281"/>
      <c r="V280" s="25" t="str">
        <f t="shared" ca="1" si="12"/>
        <v>완료</v>
      </c>
      <c r="W280" s="25">
        <f t="shared" si="13"/>
        <v>0</v>
      </c>
      <c r="X280" s="25" t="str">
        <f t="shared" si="14"/>
        <v>진행</v>
      </c>
    </row>
    <row r="281" spans="1:24" ht="39.950000000000003" customHeight="1">
      <c r="A281" s="163"/>
      <c r="B281" s="164"/>
      <c r="C281" s="281"/>
      <c r="D281" s="284"/>
      <c r="E281" s="281"/>
      <c r="F281" s="281"/>
      <c r="G281" s="281"/>
      <c r="H281" s="281"/>
      <c r="I281" s="282">
        <f t="shared" si="11"/>
        <v>0</v>
      </c>
      <c r="J281" s="169"/>
      <c r="K281" s="169"/>
      <c r="L281" s="281"/>
      <c r="M281" s="169"/>
      <c r="N281" s="169"/>
      <c r="O281" s="169"/>
      <c r="P281" s="281"/>
      <c r="Q281" s="281"/>
      <c r="R281" s="281"/>
      <c r="S281" s="281"/>
      <c r="T281" s="281"/>
      <c r="V281" s="25" t="str">
        <f t="shared" ca="1" si="12"/>
        <v>완료</v>
      </c>
      <c r="W281" s="25">
        <f t="shared" si="13"/>
        <v>0</v>
      </c>
      <c r="X281" s="25" t="str">
        <f t="shared" si="14"/>
        <v>진행</v>
      </c>
    </row>
    <row r="282" spans="1:24" ht="39.950000000000003" customHeight="1">
      <c r="A282" s="163"/>
      <c r="B282" s="164"/>
      <c r="C282" s="281"/>
      <c r="D282" s="284"/>
      <c r="E282" s="281"/>
      <c r="F282" s="281"/>
      <c r="G282" s="281"/>
      <c r="H282" s="281"/>
      <c r="I282" s="282">
        <f t="shared" si="11"/>
        <v>0</v>
      </c>
      <c r="J282" s="169"/>
      <c r="K282" s="169"/>
      <c r="L282" s="281"/>
      <c r="M282" s="169"/>
      <c r="N282" s="169"/>
      <c r="O282" s="169"/>
      <c r="P282" s="281"/>
      <c r="Q282" s="281"/>
      <c r="R282" s="281"/>
      <c r="S282" s="281"/>
      <c r="T282" s="281"/>
      <c r="V282" s="25" t="str">
        <f t="shared" ca="1" si="12"/>
        <v>완료</v>
      </c>
      <c r="W282" s="25">
        <f t="shared" si="13"/>
        <v>0</v>
      </c>
      <c r="X282" s="25" t="str">
        <f t="shared" si="14"/>
        <v>진행</v>
      </c>
    </row>
    <row r="283" spans="1:24" ht="39.950000000000003" customHeight="1">
      <c r="A283" s="163"/>
      <c r="B283" s="164"/>
      <c r="C283" s="281"/>
      <c r="D283" s="284"/>
      <c r="E283" s="281"/>
      <c r="F283" s="281"/>
      <c r="G283" s="281"/>
      <c r="H283" s="281"/>
      <c r="I283" s="282">
        <f t="shared" si="11"/>
        <v>0</v>
      </c>
      <c r="J283" s="169"/>
      <c r="K283" s="169"/>
      <c r="L283" s="281"/>
      <c r="M283" s="169"/>
      <c r="N283" s="169"/>
      <c r="O283" s="169"/>
      <c r="P283" s="281"/>
      <c r="Q283" s="281"/>
      <c r="R283" s="281"/>
      <c r="S283" s="281"/>
      <c r="T283" s="281"/>
      <c r="V283" s="25" t="str">
        <f t="shared" ca="1" si="12"/>
        <v>완료</v>
      </c>
      <c r="W283" s="25">
        <f t="shared" si="13"/>
        <v>0</v>
      </c>
      <c r="X283" s="25" t="str">
        <f t="shared" si="14"/>
        <v>진행</v>
      </c>
    </row>
    <row r="284" spans="1:24" ht="39.950000000000003" customHeight="1">
      <c r="A284" s="163"/>
      <c r="B284" s="164"/>
      <c r="C284" s="281"/>
      <c r="D284" s="284"/>
      <c r="E284" s="281"/>
      <c r="F284" s="281"/>
      <c r="G284" s="281"/>
      <c r="H284" s="281"/>
      <c r="I284" s="282">
        <f t="shared" si="11"/>
        <v>0</v>
      </c>
      <c r="J284" s="169"/>
      <c r="K284" s="169"/>
      <c r="L284" s="281"/>
      <c r="M284" s="169"/>
      <c r="N284" s="169"/>
      <c r="O284" s="169"/>
      <c r="P284" s="281"/>
      <c r="Q284" s="281"/>
      <c r="R284" s="281"/>
      <c r="S284" s="281"/>
      <c r="T284" s="281"/>
      <c r="V284" s="25" t="str">
        <f t="shared" ca="1" si="12"/>
        <v>완료</v>
      </c>
      <c r="W284" s="25">
        <f t="shared" si="13"/>
        <v>0</v>
      </c>
      <c r="X284" s="25" t="str">
        <f t="shared" si="14"/>
        <v>진행</v>
      </c>
    </row>
    <row r="285" spans="1:24" ht="39.950000000000003" customHeight="1">
      <c r="A285" s="163"/>
      <c r="B285" s="164"/>
      <c r="C285" s="281"/>
      <c r="D285" s="284"/>
      <c r="E285" s="281"/>
      <c r="F285" s="281"/>
      <c r="G285" s="281"/>
      <c r="H285" s="281"/>
      <c r="I285" s="282">
        <f t="shared" si="11"/>
        <v>0</v>
      </c>
      <c r="J285" s="169"/>
      <c r="K285" s="169"/>
      <c r="L285" s="281"/>
      <c r="M285" s="169"/>
      <c r="N285" s="169"/>
      <c r="O285" s="169"/>
      <c r="P285" s="281"/>
      <c r="Q285" s="281"/>
      <c r="R285" s="281"/>
      <c r="S285" s="281"/>
      <c r="T285" s="281"/>
      <c r="V285" s="25" t="str">
        <f t="shared" ca="1" si="12"/>
        <v>완료</v>
      </c>
      <c r="W285" s="25">
        <f t="shared" si="13"/>
        <v>0</v>
      </c>
      <c r="X285" s="25" t="str">
        <f t="shared" si="14"/>
        <v>진행</v>
      </c>
    </row>
    <row r="286" spans="1:24" ht="39.950000000000003" customHeight="1">
      <c r="A286" s="163"/>
      <c r="B286" s="164"/>
      <c r="C286" s="281"/>
      <c r="D286" s="284"/>
      <c r="E286" s="281"/>
      <c r="F286" s="281"/>
      <c r="G286" s="281"/>
      <c r="H286" s="281"/>
      <c r="I286" s="282">
        <f t="shared" si="11"/>
        <v>0</v>
      </c>
      <c r="J286" s="169"/>
      <c r="K286" s="169"/>
      <c r="L286" s="281"/>
      <c r="M286" s="169"/>
      <c r="N286" s="169"/>
      <c r="O286" s="169"/>
      <c r="P286" s="281"/>
      <c r="Q286" s="281"/>
      <c r="R286" s="281"/>
      <c r="S286" s="281"/>
      <c r="T286" s="281"/>
      <c r="V286" s="25" t="str">
        <f t="shared" ca="1" si="12"/>
        <v>완료</v>
      </c>
      <c r="W286" s="25">
        <f t="shared" si="13"/>
        <v>0</v>
      </c>
      <c r="X286" s="25" t="str">
        <f t="shared" si="14"/>
        <v>진행</v>
      </c>
    </row>
    <row r="287" spans="1:24" ht="39.950000000000003" customHeight="1">
      <c r="A287" s="163"/>
      <c r="B287" s="164"/>
      <c r="C287" s="281"/>
      <c r="D287" s="284"/>
      <c r="E287" s="281"/>
      <c r="F287" s="281"/>
      <c r="G287" s="281"/>
      <c r="H287" s="281"/>
      <c r="I287" s="282">
        <f t="shared" si="11"/>
        <v>0</v>
      </c>
      <c r="J287" s="169"/>
      <c r="K287" s="169"/>
      <c r="L287" s="281"/>
      <c r="M287" s="169"/>
      <c r="N287" s="169"/>
      <c r="O287" s="169"/>
      <c r="P287" s="281"/>
      <c r="Q287" s="281"/>
      <c r="R287" s="281"/>
      <c r="S287" s="281"/>
      <c r="T287" s="281"/>
      <c r="V287" s="25" t="str">
        <f t="shared" ca="1" si="12"/>
        <v>완료</v>
      </c>
      <c r="W287" s="25">
        <f t="shared" si="13"/>
        <v>0</v>
      </c>
      <c r="X287" s="25" t="str">
        <f t="shared" si="14"/>
        <v>진행</v>
      </c>
    </row>
    <row r="288" spans="1:24" ht="39.950000000000003" customHeight="1">
      <c r="A288" s="163"/>
      <c r="B288" s="164"/>
      <c r="C288" s="281"/>
      <c r="D288" s="284"/>
      <c r="E288" s="281"/>
      <c r="F288" s="281"/>
      <c r="G288" s="281"/>
      <c r="H288" s="281"/>
      <c r="I288" s="282">
        <f t="shared" si="11"/>
        <v>0</v>
      </c>
      <c r="J288" s="169"/>
      <c r="K288" s="169"/>
      <c r="L288" s="281"/>
      <c r="M288" s="169"/>
      <c r="N288" s="169"/>
      <c r="O288" s="169"/>
      <c r="P288" s="281"/>
      <c r="Q288" s="281"/>
      <c r="R288" s="281"/>
      <c r="S288" s="281"/>
      <c r="T288" s="281"/>
      <c r="V288" s="25" t="str">
        <f t="shared" ca="1" si="12"/>
        <v>완료</v>
      </c>
      <c r="W288" s="25">
        <f t="shared" si="13"/>
        <v>0</v>
      </c>
      <c r="X288" s="25" t="str">
        <f t="shared" si="14"/>
        <v>진행</v>
      </c>
    </row>
    <row r="289" spans="1:24" ht="39.950000000000003" customHeight="1">
      <c r="A289" s="163"/>
      <c r="B289" s="164"/>
      <c r="C289" s="281"/>
      <c r="D289" s="284"/>
      <c r="E289" s="281"/>
      <c r="F289" s="281"/>
      <c r="G289" s="281"/>
      <c r="H289" s="281"/>
      <c r="I289" s="282">
        <f t="shared" si="11"/>
        <v>0</v>
      </c>
      <c r="J289" s="169"/>
      <c r="K289" s="169"/>
      <c r="L289" s="281"/>
      <c r="M289" s="169"/>
      <c r="N289" s="169"/>
      <c r="O289" s="169"/>
      <c r="P289" s="281"/>
      <c r="Q289" s="281"/>
      <c r="R289" s="281"/>
      <c r="S289" s="281"/>
      <c r="T289" s="281"/>
      <c r="V289" s="25" t="str">
        <f t="shared" ca="1" si="12"/>
        <v>완료</v>
      </c>
      <c r="W289" s="25">
        <f t="shared" si="13"/>
        <v>0</v>
      </c>
      <c r="X289" s="25" t="str">
        <f t="shared" si="14"/>
        <v>진행</v>
      </c>
    </row>
    <row r="290" spans="1:24" ht="39.950000000000003" customHeight="1">
      <c r="A290" s="163"/>
      <c r="B290" s="164"/>
      <c r="C290" s="281"/>
      <c r="D290" s="284"/>
      <c r="E290" s="281"/>
      <c r="F290" s="281"/>
      <c r="G290" s="281"/>
      <c r="H290" s="281"/>
      <c r="I290" s="282">
        <f t="shared" si="11"/>
        <v>0</v>
      </c>
      <c r="J290" s="169"/>
      <c r="K290" s="169"/>
      <c r="L290" s="281"/>
      <c r="M290" s="169"/>
      <c r="N290" s="169"/>
      <c r="O290" s="169"/>
      <c r="P290" s="281"/>
      <c r="Q290" s="281"/>
      <c r="R290" s="281"/>
      <c r="S290" s="281"/>
      <c r="T290" s="281"/>
      <c r="V290" s="25" t="str">
        <f t="shared" ca="1" si="12"/>
        <v>완료</v>
      </c>
      <c r="W290" s="25">
        <f t="shared" si="13"/>
        <v>0</v>
      </c>
      <c r="X290" s="25" t="str">
        <f t="shared" si="14"/>
        <v>진행</v>
      </c>
    </row>
    <row r="291" spans="1:24" ht="39.950000000000003" customHeight="1">
      <c r="A291" s="163"/>
      <c r="B291" s="164"/>
      <c r="C291" s="281"/>
      <c r="D291" s="284"/>
      <c r="E291" s="281"/>
      <c r="F291" s="281"/>
      <c r="G291" s="281"/>
      <c r="H291" s="281"/>
      <c r="I291" s="282">
        <f t="shared" si="11"/>
        <v>0</v>
      </c>
      <c r="J291" s="169"/>
      <c r="K291" s="169"/>
      <c r="L291" s="281"/>
      <c r="M291" s="169"/>
      <c r="N291" s="169"/>
      <c r="O291" s="169"/>
      <c r="P291" s="281"/>
      <c r="Q291" s="281"/>
      <c r="R291" s="281"/>
      <c r="S291" s="281"/>
      <c r="T291" s="281"/>
      <c r="V291" s="25" t="str">
        <f t="shared" ca="1" si="12"/>
        <v>완료</v>
      </c>
      <c r="W291" s="25">
        <f t="shared" si="13"/>
        <v>0</v>
      </c>
      <c r="X291" s="25" t="str">
        <f t="shared" si="14"/>
        <v>진행</v>
      </c>
    </row>
    <row r="292" spans="1:24" ht="39.950000000000003" customHeight="1">
      <c r="A292" s="163"/>
      <c r="B292" s="164"/>
      <c r="C292" s="281"/>
      <c r="D292" s="284"/>
      <c r="E292" s="281"/>
      <c r="F292" s="281"/>
      <c r="G292" s="281"/>
      <c r="H292" s="281"/>
      <c r="I292" s="282">
        <f t="shared" si="11"/>
        <v>0</v>
      </c>
      <c r="J292" s="169"/>
      <c r="K292" s="169"/>
      <c r="L292" s="281"/>
      <c r="M292" s="169"/>
      <c r="N292" s="169"/>
      <c r="O292" s="169"/>
      <c r="P292" s="281"/>
      <c r="Q292" s="281"/>
      <c r="R292" s="281"/>
      <c r="S292" s="281"/>
      <c r="T292" s="281"/>
      <c r="V292" s="25" t="str">
        <f t="shared" ca="1" si="12"/>
        <v>완료</v>
      </c>
      <c r="W292" s="25">
        <f t="shared" si="13"/>
        <v>0</v>
      </c>
      <c r="X292" s="25" t="str">
        <f t="shared" si="14"/>
        <v>진행</v>
      </c>
    </row>
    <row r="293" spans="1:24" ht="39.950000000000003" customHeight="1">
      <c r="A293" s="163"/>
      <c r="B293" s="164"/>
      <c r="C293" s="281"/>
      <c r="D293" s="284"/>
      <c r="E293" s="281"/>
      <c r="F293" s="281"/>
      <c r="G293" s="281"/>
      <c r="H293" s="281"/>
      <c r="I293" s="282">
        <f t="shared" ref="I293:I330" si="15">G293+H293</f>
        <v>0</v>
      </c>
      <c r="J293" s="169"/>
      <c r="K293" s="169"/>
      <c r="L293" s="281"/>
      <c r="M293" s="169"/>
      <c r="N293" s="169"/>
      <c r="O293" s="169"/>
      <c r="P293" s="281"/>
      <c r="Q293" s="281"/>
      <c r="R293" s="281"/>
      <c r="S293" s="281"/>
      <c r="T293" s="281"/>
      <c r="V293" s="25" t="str">
        <f t="shared" ca="1" si="12"/>
        <v>완료</v>
      </c>
      <c r="W293" s="25">
        <f t="shared" si="13"/>
        <v>0</v>
      </c>
      <c r="X293" s="25" t="str">
        <f t="shared" si="14"/>
        <v>진행</v>
      </c>
    </row>
    <row r="294" spans="1:24" ht="39.950000000000003" customHeight="1">
      <c r="A294" s="163"/>
      <c r="B294" s="164"/>
      <c r="C294" s="281"/>
      <c r="D294" s="284"/>
      <c r="E294" s="281"/>
      <c r="F294" s="281"/>
      <c r="G294" s="281"/>
      <c r="H294" s="281"/>
      <c r="I294" s="282">
        <f t="shared" si="15"/>
        <v>0</v>
      </c>
      <c r="J294" s="169"/>
      <c r="K294" s="169"/>
      <c r="L294" s="281"/>
      <c r="M294" s="169"/>
      <c r="N294" s="169"/>
      <c r="O294" s="169"/>
      <c r="P294" s="281"/>
      <c r="Q294" s="281"/>
      <c r="R294" s="281"/>
      <c r="S294" s="281"/>
      <c r="T294" s="281"/>
      <c r="V294" s="25" t="str">
        <f t="shared" ca="1" si="12"/>
        <v>완료</v>
      </c>
      <c r="W294" s="25">
        <f t="shared" si="13"/>
        <v>0</v>
      </c>
      <c r="X294" s="25" t="str">
        <f t="shared" si="14"/>
        <v>진행</v>
      </c>
    </row>
    <row r="295" spans="1:24" ht="39.950000000000003" customHeight="1">
      <c r="A295" s="163"/>
      <c r="B295" s="164"/>
      <c r="C295" s="281"/>
      <c r="D295" s="284"/>
      <c r="E295" s="281"/>
      <c r="F295" s="281"/>
      <c r="G295" s="281"/>
      <c r="H295" s="281"/>
      <c r="I295" s="282">
        <f t="shared" si="15"/>
        <v>0</v>
      </c>
      <c r="J295" s="169"/>
      <c r="K295" s="169"/>
      <c r="L295" s="281"/>
      <c r="M295" s="169"/>
      <c r="N295" s="169"/>
      <c r="O295" s="169"/>
      <c r="P295" s="281"/>
      <c r="Q295" s="281"/>
      <c r="R295" s="281"/>
      <c r="S295" s="281"/>
      <c r="T295" s="281"/>
      <c r="V295" s="25" t="str">
        <f t="shared" ca="1" si="12"/>
        <v>완료</v>
      </c>
      <c r="W295" s="25">
        <f t="shared" si="13"/>
        <v>0</v>
      </c>
      <c r="X295" s="25" t="str">
        <f t="shared" si="14"/>
        <v>진행</v>
      </c>
    </row>
    <row r="296" spans="1:24" ht="39.950000000000003" customHeight="1">
      <c r="A296" s="163"/>
      <c r="B296" s="164"/>
      <c r="C296" s="281"/>
      <c r="D296" s="284"/>
      <c r="E296" s="281"/>
      <c r="F296" s="281"/>
      <c r="G296" s="281"/>
      <c r="H296" s="281"/>
      <c r="I296" s="282">
        <f t="shared" si="15"/>
        <v>0</v>
      </c>
      <c r="J296" s="169"/>
      <c r="K296" s="169"/>
      <c r="L296" s="281"/>
      <c r="M296" s="169"/>
      <c r="N296" s="169"/>
      <c r="O296" s="169"/>
      <c r="P296" s="281"/>
      <c r="Q296" s="281"/>
      <c r="R296" s="281"/>
      <c r="S296" s="281"/>
      <c r="T296" s="281"/>
      <c r="V296" s="25" t="str">
        <f t="shared" ca="1" si="12"/>
        <v>완료</v>
      </c>
      <c r="W296" s="25">
        <f t="shared" si="13"/>
        <v>0</v>
      </c>
      <c r="X296" s="25" t="str">
        <f t="shared" si="14"/>
        <v>진행</v>
      </c>
    </row>
    <row r="297" spans="1:24" ht="39.950000000000003" customHeight="1">
      <c r="A297" s="163"/>
      <c r="B297" s="164"/>
      <c r="C297" s="281"/>
      <c r="D297" s="284"/>
      <c r="E297" s="281"/>
      <c r="F297" s="281"/>
      <c r="G297" s="281"/>
      <c r="H297" s="281"/>
      <c r="I297" s="282">
        <f t="shared" si="15"/>
        <v>0</v>
      </c>
      <c r="J297" s="169"/>
      <c r="K297" s="169"/>
      <c r="L297" s="281"/>
      <c r="M297" s="169"/>
      <c r="N297" s="169"/>
      <c r="O297" s="169"/>
      <c r="P297" s="281"/>
      <c r="Q297" s="281"/>
      <c r="R297" s="281"/>
      <c r="S297" s="281"/>
      <c r="T297" s="281"/>
      <c r="V297" s="25" t="str">
        <f t="shared" ca="1" si="12"/>
        <v>완료</v>
      </c>
      <c r="W297" s="25">
        <f t="shared" si="13"/>
        <v>0</v>
      </c>
      <c r="X297" s="25" t="str">
        <f t="shared" si="14"/>
        <v>진행</v>
      </c>
    </row>
    <row r="298" spans="1:24" ht="39.950000000000003" customHeight="1">
      <c r="A298" s="163"/>
      <c r="B298" s="164"/>
      <c r="C298" s="281"/>
      <c r="D298" s="284"/>
      <c r="E298" s="281"/>
      <c r="F298" s="281"/>
      <c r="G298" s="281"/>
      <c r="H298" s="281"/>
      <c r="I298" s="282">
        <f t="shared" si="15"/>
        <v>0</v>
      </c>
      <c r="J298" s="169"/>
      <c r="K298" s="169"/>
      <c r="L298" s="281"/>
      <c r="M298" s="169"/>
      <c r="N298" s="169"/>
      <c r="O298" s="169"/>
      <c r="P298" s="281"/>
      <c r="Q298" s="281"/>
      <c r="R298" s="281"/>
      <c r="S298" s="281"/>
      <c r="T298" s="281"/>
      <c r="V298" s="25" t="str">
        <f t="shared" ca="1" si="12"/>
        <v>완료</v>
      </c>
      <c r="W298" s="25">
        <f t="shared" si="13"/>
        <v>0</v>
      </c>
      <c r="X298" s="25" t="str">
        <f t="shared" si="14"/>
        <v>진행</v>
      </c>
    </row>
    <row r="299" spans="1:24" ht="39.950000000000003" customHeight="1">
      <c r="A299" s="163"/>
      <c r="B299" s="164"/>
      <c r="C299" s="281"/>
      <c r="D299" s="284"/>
      <c r="E299" s="281"/>
      <c r="F299" s="281"/>
      <c r="G299" s="281"/>
      <c r="H299" s="281"/>
      <c r="I299" s="282">
        <f t="shared" si="15"/>
        <v>0</v>
      </c>
      <c r="J299" s="169"/>
      <c r="K299" s="169"/>
      <c r="L299" s="281"/>
      <c r="M299" s="169"/>
      <c r="N299" s="169"/>
      <c r="O299" s="169"/>
      <c r="P299" s="281"/>
      <c r="Q299" s="281"/>
      <c r="R299" s="281"/>
      <c r="S299" s="281"/>
      <c r="T299" s="281"/>
      <c r="V299" s="25" t="str">
        <f t="shared" ca="1" si="12"/>
        <v>완료</v>
      </c>
      <c r="W299" s="25">
        <f t="shared" si="13"/>
        <v>0</v>
      </c>
      <c r="X299" s="25" t="str">
        <f t="shared" si="14"/>
        <v>진행</v>
      </c>
    </row>
    <row r="300" spans="1:24" ht="39.950000000000003" customHeight="1">
      <c r="A300" s="163"/>
      <c r="B300" s="164"/>
      <c r="C300" s="281"/>
      <c r="D300" s="284"/>
      <c r="E300" s="281"/>
      <c r="F300" s="281"/>
      <c r="G300" s="281"/>
      <c r="H300" s="281"/>
      <c r="I300" s="282">
        <f t="shared" si="15"/>
        <v>0</v>
      </c>
      <c r="J300" s="169"/>
      <c r="K300" s="169"/>
      <c r="L300" s="281"/>
      <c r="M300" s="169"/>
      <c r="N300" s="169"/>
      <c r="O300" s="169"/>
      <c r="P300" s="281"/>
      <c r="Q300" s="281"/>
      <c r="R300" s="281"/>
      <c r="S300" s="281"/>
      <c r="T300" s="281"/>
      <c r="V300" s="25" t="str">
        <f t="shared" ca="1" si="12"/>
        <v>완료</v>
      </c>
      <c r="W300" s="25">
        <f t="shared" si="13"/>
        <v>0</v>
      </c>
      <c r="X300" s="25" t="str">
        <f t="shared" si="14"/>
        <v>진행</v>
      </c>
    </row>
    <row r="301" spans="1:24" ht="39.950000000000003" customHeight="1">
      <c r="A301" s="163"/>
      <c r="B301" s="164"/>
      <c r="C301" s="281"/>
      <c r="D301" s="284"/>
      <c r="E301" s="281"/>
      <c r="F301" s="281"/>
      <c r="G301" s="281"/>
      <c r="H301" s="281"/>
      <c r="I301" s="282">
        <f t="shared" si="15"/>
        <v>0</v>
      </c>
      <c r="J301" s="169"/>
      <c r="K301" s="169"/>
      <c r="L301" s="281"/>
      <c r="M301" s="169"/>
      <c r="N301" s="169"/>
      <c r="O301" s="169"/>
      <c r="P301" s="281"/>
      <c r="Q301" s="281"/>
      <c r="R301" s="281"/>
      <c r="S301" s="281"/>
      <c r="T301" s="281"/>
      <c r="V301" s="25" t="str">
        <f t="shared" ca="1" si="12"/>
        <v>완료</v>
      </c>
      <c r="W301" s="25">
        <f t="shared" si="13"/>
        <v>0</v>
      </c>
      <c r="X301" s="25" t="str">
        <f t="shared" si="14"/>
        <v>진행</v>
      </c>
    </row>
    <row r="302" spans="1:24" ht="39.950000000000003" customHeight="1">
      <c r="A302" s="163"/>
      <c r="B302" s="164"/>
      <c r="C302" s="281"/>
      <c r="D302" s="284"/>
      <c r="E302" s="281"/>
      <c r="F302" s="281"/>
      <c r="G302" s="281"/>
      <c r="H302" s="281"/>
      <c r="I302" s="282">
        <f t="shared" si="15"/>
        <v>0</v>
      </c>
      <c r="J302" s="169"/>
      <c r="K302" s="169"/>
      <c r="L302" s="281"/>
      <c r="M302" s="169"/>
      <c r="N302" s="169"/>
      <c r="O302" s="169"/>
      <c r="P302" s="281"/>
      <c r="Q302" s="281"/>
      <c r="R302" s="281"/>
      <c r="S302" s="281"/>
      <c r="T302" s="281"/>
      <c r="V302" s="25" t="str">
        <f t="shared" ca="1" si="12"/>
        <v>완료</v>
      </c>
      <c r="W302" s="25">
        <f t="shared" si="13"/>
        <v>0</v>
      </c>
      <c r="X302" s="25" t="str">
        <f t="shared" si="14"/>
        <v>진행</v>
      </c>
    </row>
    <row r="303" spans="1:24" ht="39.950000000000003" customHeight="1">
      <c r="A303" s="163"/>
      <c r="B303" s="164"/>
      <c r="C303" s="281"/>
      <c r="D303" s="284"/>
      <c r="E303" s="281"/>
      <c r="F303" s="281"/>
      <c r="G303" s="281"/>
      <c r="H303" s="281"/>
      <c r="I303" s="282">
        <f t="shared" si="15"/>
        <v>0</v>
      </c>
      <c r="J303" s="169"/>
      <c r="K303" s="169"/>
      <c r="L303" s="281"/>
      <c r="M303" s="169"/>
      <c r="N303" s="169"/>
      <c r="O303" s="169"/>
      <c r="P303" s="281"/>
      <c r="Q303" s="281"/>
      <c r="R303" s="281"/>
      <c r="S303" s="281"/>
      <c r="T303" s="281"/>
      <c r="V303" s="25" t="str">
        <f t="shared" ca="1" si="12"/>
        <v>완료</v>
      </c>
      <c r="W303" s="25">
        <f t="shared" si="13"/>
        <v>0</v>
      </c>
      <c r="X303" s="25" t="str">
        <f t="shared" si="14"/>
        <v>진행</v>
      </c>
    </row>
    <row r="304" spans="1:24" ht="39.950000000000003" customHeight="1">
      <c r="A304" s="163"/>
      <c r="B304" s="164"/>
      <c r="C304" s="281"/>
      <c r="D304" s="284"/>
      <c r="E304" s="281"/>
      <c r="F304" s="281"/>
      <c r="G304" s="281"/>
      <c r="H304" s="281"/>
      <c r="I304" s="282">
        <f t="shared" si="15"/>
        <v>0</v>
      </c>
      <c r="J304" s="169"/>
      <c r="K304" s="169"/>
      <c r="L304" s="281"/>
      <c r="M304" s="169"/>
      <c r="N304" s="169"/>
      <c r="O304" s="169"/>
      <c r="P304" s="281"/>
      <c r="Q304" s="281"/>
      <c r="R304" s="281"/>
      <c r="S304" s="281"/>
      <c r="T304" s="281"/>
      <c r="V304" s="25" t="str">
        <f t="shared" ca="1" si="12"/>
        <v>완료</v>
      </c>
      <c r="W304" s="25">
        <f t="shared" si="13"/>
        <v>0</v>
      </c>
      <c r="X304" s="25" t="str">
        <f t="shared" si="14"/>
        <v>진행</v>
      </c>
    </row>
    <row r="305" spans="1:24" ht="39.950000000000003" customHeight="1">
      <c r="A305" s="163"/>
      <c r="B305" s="164"/>
      <c r="C305" s="281"/>
      <c r="D305" s="284"/>
      <c r="E305" s="281"/>
      <c r="F305" s="281"/>
      <c r="G305" s="281"/>
      <c r="H305" s="281"/>
      <c r="I305" s="282">
        <f t="shared" si="15"/>
        <v>0</v>
      </c>
      <c r="J305" s="169"/>
      <c r="K305" s="169"/>
      <c r="L305" s="281"/>
      <c r="M305" s="169"/>
      <c r="N305" s="169"/>
      <c r="O305" s="169"/>
      <c r="P305" s="281"/>
      <c r="Q305" s="281"/>
      <c r="R305" s="281"/>
      <c r="S305" s="281"/>
      <c r="T305" s="281"/>
      <c r="V305" s="25" t="str">
        <f t="shared" ca="1" si="12"/>
        <v>완료</v>
      </c>
      <c r="W305" s="25">
        <f t="shared" si="13"/>
        <v>0</v>
      </c>
      <c r="X305" s="25" t="str">
        <f t="shared" si="14"/>
        <v>진행</v>
      </c>
    </row>
    <row r="306" spans="1:24" ht="39.950000000000003" customHeight="1">
      <c r="A306" s="163"/>
      <c r="B306" s="164"/>
      <c r="C306" s="281"/>
      <c r="D306" s="284"/>
      <c r="E306" s="281"/>
      <c r="F306" s="281"/>
      <c r="G306" s="281"/>
      <c r="H306" s="281"/>
      <c r="I306" s="282">
        <f t="shared" si="15"/>
        <v>0</v>
      </c>
      <c r="J306" s="169"/>
      <c r="K306" s="169"/>
      <c r="L306" s="281"/>
      <c r="M306" s="169"/>
      <c r="N306" s="169"/>
      <c r="O306" s="169"/>
      <c r="P306" s="281"/>
      <c r="Q306" s="281"/>
      <c r="R306" s="281"/>
      <c r="S306" s="281"/>
      <c r="T306" s="281"/>
      <c r="V306" s="25" t="str">
        <f t="shared" ca="1" si="12"/>
        <v>완료</v>
      </c>
      <c r="W306" s="25">
        <f t="shared" si="13"/>
        <v>0</v>
      </c>
      <c r="X306" s="25" t="str">
        <f t="shared" si="14"/>
        <v>진행</v>
      </c>
    </row>
    <row r="307" spans="1:24" ht="39.950000000000003" customHeight="1">
      <c r="A307" s="163"/>
      <c r="B307" s="164"/>
      <c r="C307" s="281"/>
      <c r="D307" s="284"/>
      <c r="E307" s="281"/>
      <c r="F307" s="281"/>
      <c r="G307" s="281"/>
      <c r="H307" s="281"/>
      <c r="I307" s="282">
        <f t="shared" si="15"/>
        <v>0</v>
      </c>
      <c r="J307" s="169"/>
      <c r="K307" s="169"/>
      <c r="L307" s="281"/>
      <c r="M307" s="169"/>
      <c r="N307" s="169"/>
      <c r="O307" s="169"/>
      <c r="P307" s="281"/>
      <c r="Q307" s="281"/>
      <c r="R307" s="281"/>
      <c r="S307" s="281"/>
      <c r="T307" s="281"/>
      <c r="V307" s="25" t="str">
        <f t="shared" ca="1" si="12"/>
        <v>완료</v>
      </c>
      <c r="W307" s="25">
        <f t="shared" si="13"/>
        <v>0</v>
      </c>
      <c r="X307" s="25" t="str">
        <f t="shared" si="14"/>
        <v>진행</v>
      </c>
    </row>
    <row r="308" spans="1:24" ht="39.950000000000003" customHeight="1">
      <c r="A308" s="163"/>
      <c r="B308" s="164"/>
      <c r="C308" s="281"/>
      <c r="D308" s="284"/>
      <c r="E308" s="281"/>
      <c r="F308" s="281"/>
      <c r="G308" s="281"/>
      <c r="H308" s="281"/>
      <c r="I308" s="282">
        <f t="shared" si="15"/>
        <v>0</v>
      </c>
      <c r="J308" s="169"/>
      <c r="K308" s="169"/>
      <c r="L308" s="281"/>
      <c r="M308" s="169"/>
      <c r="N308" s="169"/>
      <c r="O308" s="169"/>
      <c r="P308" s="281"/>
      <c r="Q308" s="281"/>
      <c r="R308" s="281"/>
      <c r="S308" s="281"/>
      <c r="T308" s="281"/>
      <c r="V308" s="25" t="str">
        <f t="shared" ca="1" si="12"/>
        <v>완료</v>
      </c>
      <c r="W308" s="25">
        <f t="shared" si="13"/>
        <v>0</v>
      </c>
      <c r="X308" s="25" t="str">
        <f t="shared" si="14"/>
        <v>진행</v>
      </c>
    </row>
    <row r="309" spans="1:24" ht="39.950000000000003" customHeight="1">
      <c r="A309" s="163"/>
      <c r="B309" s="164"/>
      <c r="C309" s="281"/>
      <c r="D309" s="284"/>
      <c r="E309" s="281"/>
      <c r="F309" s="281"/>
      <c r="G309" s="281"/>
      <c r="H309" s="281"/>
      <c r="I309" s="282">
        <f t="shared" si="15"/>
        <v>0</v>
      </c>
      <c r="J309" s="169"/>
      <c r="K309" s="169"/>
      <c r="L309" s="281"/>
      <c r="M309" s="169"/>
      <c r="N309" s="169"/>
      <c r="O309" s="169"/>
      <c r="P309" s="281"/>
      <c r="Q309" s="281"/>
      <c r="R309" s="281"/>
      <c r="S309" s="281"/>
      <c r="T309" s="281"/>
      <c r="V309" s="25" t="str">
        <f t="shared" ca="1" si="12"/>
        <v>완료</v>
      </c>
      <c r="W309" s="25">
        <f t="shared" si="13"/>
        <v>0</v>
      </c>
      <c r="X309" s="25" t="str">
        <f t="shared" si="14"/>
        <v>진행</v>
      </c>
    </row>
    <row r="310" spans="1:24" ht="39.950000000000003" customHeight="1">
      <c r="A310" s="163"/>
      <c r="B310" s="164"/>
      <c r="C310" s="281"/>
      <c r="D310" s="284"/>
      <c r="E310" s="281"/>
      <c r="F310" s="281"/>
      <c r="G310" s="281"/>
      <c r="H310" s="281"/>
      <c r="I310" s="282">
        <f t="shared" si="15"/>
        <v>0</v>
      </c>
      <c r="J310" s="169"/>
      <c r="K310" s="169"/>
      <c r="L310" s="281"/>
      <c r="M310" s="169"/>
      <c r="N310" s="169"/>
      <c r="O310" s="169"/>
      <c r="P310" s="281"/>
      <c r="Q310" s="281"/>
      <c r="R310" s="281"/>
      <c r="S310" s="281"/>
      <c r="T310" s="281"/>
      <c r="V310" s="25" t="str">
        <f t="shared" ca="1" si="12"/>
        <v>완료</v>
      </c>
      <c r="W310" s="25">
        <f t="shared" si="13"/>
        <v>0</v>
      </c>
      <c r="X310" s="25" t="str">
        <f t="shared" si="14"/>
        <v>진행</v>
      </c>
    </row>
    <row r="311" spans="1:24" ht="39.950000000000003" customHeight="1">
      <c r="A311" s="163"/>
      <c r="B311" s="164"/>
      <c r="C311" s="281"/>
      <c r="D311" s="284"/>
      <c r="E311" s="281"/>
      <c r="F311" s="281"/>
      <c r="G311" s="281"/>
      <c r="H311" s="281"/>
      <c r="I311" s="282">
        <f t="shared" si="15"/>
        <v>0</v>
      </c>
      <c r="J311" s="169"/>
      <c r="K311" s="169"/>
      <c r="L311" s="281"/>
      <c r="M311" s="169"/>
      <c r="N311" s="169"/>
      <c r="O311" s="169"/>
      <c r="P311" s="281"/>
      <c r="Q311" s="281"/>
      <c r="R311" s="281"/>
      <c r="S311" s="281"/>
      <c r="T311" s="281"/>
      <c r="V311" s="25" t="str">
        <f t="shared" ca="1" si="12"/>
        <v>완료</v>
      </c>
      <c r="W311" s="25">
        <f t="shared" si="13"/>
        <v>0</v>
      </c>
      <c r="X311" s="25" t="str">
        <f t="shared" si="14"/>
        <v>진행</v>
      </c>
    </row>
    <row r="312" spans="1:24" ht="39.950000000000003" customHeight="1">
      <c r="A312" s="163"/>
      <c r="B312" s="164"/>
      <c r="C312" s="281"/>
      <c r="D312" s="284"/>
      <c r="E312" s="281"/>
      <c r="F312" s="281"/>
      <c r="G312" s="281"/>
      <c r="H312" s="281"/>
      <c r="I312" s="282">
        <f t="shared" si="15"/>
        <v>0</v>
      </c>
      <c r="J312" s="169"/>
      <c r="K312" s="169"/>
      <c r="L312" s="281"/>
      <c r="M312" s="169"/>
      <c r="N312" s="169"/>
      <c r="O312" s="169"/>
      <c r="P312" s="281"/>
      <c r="Q312" s="281"/>
      <c r="R312" s="281"/>
      <c r="S312" s="281"/>
      <c r="T312" s="281"/>
      <c r="V312" s="25" t="str">
        <f t="shared" ca="1" si="12"/>
        <v>완료</v>
      </c>
      <c r="W312" s="25">
        <f t="shared" si="13"/>
        <v>0</v>
      </c>
      <c r="X312" s="25" t="str">
        <f t="shared" si="14"/>
        <v>진행</v>
      </c>
    </row>
    <row r="313" spans="1:24" ht="39.950000000000003" customHeight="1">
      <c r="A313" s="163"/>
      <c r="B313" s="164"/>
      <c r="C313" s="281"/>
      <c r="D313" s="284"/>
      <c r="E313" s="281"/>
      <c r="F313" s="281"/>
      <c r="G313" s="281"/>
      <c r="H313" s="281"/>
      <c r="I313" s="282">
        <f t="shared" si="15"/>
        <v>0</v>
      </c>
      <c r="J313" s="169"/>
      <c r="K313" s="169"/>
      <c r="L313" s="281"/>
      <c r="M313" s="169"/>
      <c r="N313" s="169"/>
      <c r="O313" s="169"/>
      <c r="P313" s="281"/>
      <c r="Q313" s="281"/>
      <c r="R313" s="281"/>
      <c r="S313" s="281"/>
      <c r="T313" s="281"/>
      <c r="V313" s="25" t="str">
        <f t="shared" ca="1" si="12"/>
        <v>완료</v>
      </c>
      <c r="W313" s="25">
        <f t="shared" si="13"/>
        <v>0</v>
      </c>
      <c r="X313" s="25" t="str">
        <f t="shared" si="14"/>
        <v>진행</v>
      </c>
    </row>
    <row r="314" spans="1:24" ht="39.950000000000003" customHeight="1">
      <c r="A314" s="163"/>
      <c r="B314" s="164"/>
      <c r="C314" s="281"/>
      <c r="D314" s="284"/>
      <c r="E314" s="281"/>
      <c r="F314" s="281"/>
      <c r="G314" s="281"/>
      <c r="H314" s="281"/>
      <c r="I314" s="282">
        <f t="shared" si="15"/>
        <v>0</v>
      </c>
      <c r="J314" s="169"/>
      <c r="K314" s="169"/>
      <c r="L314" s="281"/>
      <c r="M314" s="169"/>
      <c r="N314" s="169"/>
      <c r="O314" s="169"/>
      <c r="P314" s="281"/>
      <c r="Q314" s="281"/>
      <c r="R314" s="281"/>
      <c r="S314" s="281"/>
      <c r="T314" s="281"/>
      <c r="V314" s="25" t="str">
        <f t="shared" ca="1" si="12"/>
        <v>완료</v>
      </c>
      <c r="W314" s="25">
        <f t="shared" si="13"/>
        <v>0</v>
      </c>
      <c r="X314" s="25" t="str">
        <f t="shared" si="14"/>
        <v>진행</v>
      </c>
    </row>
    <row r="315" spans="1:24" ht="39.950000000000003" customHeight="1">
      <c r="A315" s="163"/>
      <c r="B315" s="164"/>
      <c r="C315" s="281"/>
      <c r="D315" s="284"/>
      <c r="E315" s="281"/>
      <c r="F315" s="281"/>
      <c r="G315" s="281"/>
      <c r="H315" s="281"/>
      <c r="I315" s="282">
        <f t="shared" si="15"/>
        <v>0</v>
      </c>
      <c r="J315" s="169"/>
      <c r="K315" s="169"/>
      <c r="L315" s="281"/>
      <c r="M315" s="169"/>
      <c r="N315" s="169"/>
      <c r="O315" s="169"/>
      <c r="P315" s="281"/>
      <c r="Q315" s="281"/>
      <c r="R315" s="281"/>
      <c r="S315" s="281"/>
      <c r="T315" s="281"/>
      <c r="V315" s="25" t="str">
        <f t="shared" ca="1" si="12"/>
        <v>완료</v>
      </c>
      <c r="W315" s="25">
        <f t="shared" si="13"/>
        <v>0</v>
      </c>
      <c r="X315" s="25" t="str">
        <f t="shared" si="14"/>
        <v>진행</v>
      </c>
    </row>
    <row r="316" spans="1:24" ht="39.950000000000003" customHeight="1">
      <c r="A316" s="163"/>
      <c r="B316" s="164"/>
      <c r="C316" s="281"/>
      <c r="D316" s="284"/>
      <c r="E316" s="281"/>
      <c r="F316" s="281"/>
      <c r="G316" s="281"/>
      <c r="H316" s="281"/>
      <c r="I316" s="282">
        <f t="shared" si="15"/>
        <v>0</v>
      </c>
      <c r="J316" s="169"/>
      <c r="K316" s="169"/>
      <c r="L316" s="281"/>
      <c r="M316" s="169"/>
      <c r="N316" s="169"/>
      <c r="O316" s="169"/>
      <c r="P316" s="281"/>
      <c r="Q316" s="281"/>
      <c r="R316" s="281"/>
      <c r="S316" s="281"/>
      <c r="T316" s="281"/>
      <c r="V316" s="25" t="str">
        <f t="shared" ca="1" si="12"/>
        <v>완료</v>
      </c>
      <c r="W316" s="25">
        <f t="shared" si="13"/>
        <v>0</v>
      </c>
      <c r="X316" s="25" t="str">
        <f t="shared" si="14"/>
        <v>진행</v>
      </c>
    </row>
    <row r="317" spans="1:24" ht="39.950000000000003" customHeight="1">
      <c r="A317" s="163"/>
      <c r="B317" s="164"/>
      <c r="C317" s="281"/>
      <c r="D317" s="284"/>
      <c r="E317" s="281"/>
      <c r="F317" s="281"/>
      <c r="G317" s="281"/>
      <c r="H317" s="281"/>
      <c r="I317" s="282">
        <f t="shared" si="15"/>
        <v>0</v>
      </c>
      <c r="J317" s="169"/>
      <c r="K317" s="169"/>
      <c r="L317" s="281"/>
      <c r="M317" s="169"/>
      <c r="N317" s="169"/>
      <c r="O317" s="169"/>
      <c r="P317" s="281"/>
      <c r="Q317" s="281"/>
      <c r="R317" s="281"/>
      <c r="S317" s="281"/>
      <c r="T317" s="281"/>
      <c r="V317" s="25" t="str">
        <f t="shared" ca="1" si="12"/>
        <v>완료</v>
      </c>
      <c r="W317" s="25">
        <f t="shared" si="13"/>
        <v>0</v>
      </c>
      <c r="X317" s="25" t="str">
        <f t="shared" si="14"/>
        <v>진행</v>
      </c>
    </row>
    <row r="318" spans="1:24" ht="39.950000000000003" customHeight="1">
      <c r="A318" s="163"/>
      <c r="B318" s="164"/>
      <c r="C318" s="281"/>
      <c r="D318" s="284"/>
      <c r="E318" s="281"/>
      <c r="F318" s="281"/>
      <c r="G318" s="281"/>
      <c r="H318" s="281"/>
      <c r="I318" s="282">
        <f t="shared" si="15"/>
        <v>0</v>
      </c>
      <c r="J318" s="169"/>
      <c r="K318" s="169"/>
      <c r="L318" s="281"/>
      <c r="M318" s="169"/>
      <c r="N318" s="169"/>
      <c r="O318" s="169"/>
      <c r="P318" s="281"/>
      <c r="Q318" s="281"/>
      <c r="R318" s="281"/>
      <c r="S318" s="281"/>
      <c r="T318" s="281"/>
      <c r="V318" s="25" t="str">
        <f t="shared" ca="1" si="12"/>
        <v>완료</v>
      </c>
      <c r="W318" s="25">
        <f t="shared" si="13"/>
        <v>0</v>
      </c>
      <c r="X318" s="25" t="str">
        <f t="shared" si="14"/>
        <v>진행</v>
      </c>
    </row>
    <row r="319" spans="1:24" ht="39.950000000000003" customHeight="1">
      <c r="A319" s="163"/>
      <c r="B319" s="164"/>
      <c r="C319" s="281"/>
      <c r="D319" s="284"/>
      <c r="E319" s="281"/>
      <c r="F319" s="281"/>
      <c r="G319" s="281"/>
      <c r="H319" s="281"/>
      <c r="I319" s="282">
        <f t="shared" si="15"/>
        <v>0</v>
      </c>
      <c r="J319" s="169"/>
      <c r="K319" s="169"/>
      <c r="L319" s="281"/>
      <c r="M319" s="169"/>
      <c r="N319" s="169"/>
      <c r="O319" s="169"/>
      <c r="P319" s="281"/>
      <c r="Q319" s="281"/>
      <c r="R319" s="281"/>
      <c r="S319" s="281"/>
      <c r="T319" s="281"/>
      <c r="V319" s="25" t="str">
        <f t="shared" ca="1" si="12"/>
        <v>완료</v>
      </c>
      <c r="W319" s="25">
        <f t="shared" si="13"/>
        <v>0</v>
      </c>
      <c r="X319" s="25" t="str">
        <f t="shared" si="14"/>
        <v>진행</v>
      </c>
    </row>
    <row r="320" spans="1:24" ht="39.950000000000003" customHeight="1">
      <c r="A320" s="163"/>
      <c r="B320" s="164"/>
      <c r="C320" s="281"/>
      <c r="D320" s="284"/>
      <c r="E320" s="281"/>
      <c r="F320" s="281"/>
      <c r="G320" s="281"/>
      <c r="H320" s="281"/>
      <c r="I320" s="282">
        <f t="shared" si="15"/>
        <v>0</v>
      </c>
      <c r="J320" s="169"/>
      <c r="K320" s="169"/>
      <c r="L320" s="281"/>
      <c r="M320" s="169"/>
      <c r="N320" s="169"/>
      <c r="O320" s="169"/>
      <c r="P320" s="281"/>
      <c r="Q320" s="281"/>
      <c r="R320" s="281"/>
      <c r="S320" s="281"/>
      <c r="T320" s="281"/>
      <c r="V320" s="25" t="str">
        <f t="shared" ca="1" si="12"/>
        <v>완료</v>
      </c>
      <c r="W320" s="25">
        <f t="shared" si="13"/>
        <v>0</v>
      </c>
      <c r="X320" s="25" t="str">
        <f t="shared" si="14"/>
        <v>진행</v>
      </c>
    </row>
    <row r="321" spans="1:24" ht="39.950000000000003" customHeight="1">
      <c r="A321" s="163"/>
      <c r="B321" s="164"/>
      <c r="C321" s="281"/>
      <c r="D321" s="284"/>
      <c r="E321" s="281"/>
      <c r="F321" s="281"/>
      <c r="G321" s="281"/>
      <c r="H321" s="281"/>
      <c r="I321" s="282">
        <f t="shared" si="15"/>
        <v>0</v>
      </c>
      <c r="J321" s="169"/>
      <c r="K321" s="169"/>
      <c r="L321" s="281"/>
      <c r="M321" s="169"/>
      <c r="N321" s="169"/>
      <c r="O321" s="169"/>
      <c r="P321" s="281"/>
      <c r="Q321" s="281"/>
      <c r="R321" s="281"/>
      <c r="S321" s="281"/>
      <c r="T321" s="281"/>
      <c r="V321" s="25" t="str">
        <f t="shared" ca="1" si="12"/>
        <v>완료</v>
      </c>
      <c r="W321" s="25">
        <f t="shared" si="13"/>
        <v>0</v>
      </c>
      <c r="X321" s="25" t="str">
        <f t="shared" si="14"/>
        <v>진행</v>
      </c>
    </row>
    <row r="322" spans="1:24" ht="39.950000000000003" customHeight="1">
      <c r="A322" s="163"/>
      <c r="B322" s="164"/>
      <c r="C322" s="281"/>
      <c r="D322" s="284"/>
      <c r="E322" s="281"/>
      <c r="F322" s="281"/>
      <c r="G322" s="281"/>
      <c r="H322" s="281"/>
      <c r="I322" s="282">
        <f t="shared" si="15"/>
        <v>0</v>
      </c>
      <c r="J322" s="169"/>
      <c r="K322" s="169"/>
      <c r="L322" s="281"/>
      <c r="M322" s="169"/>
      <c r="N322" s="169"/>
      <c r="O322" s="169"/>
      <c r="P322" s="281"/>
      <c r="Q322" s="281"/>
      <c r="R322" s="281"/>
      <c r="S322" s="281"/>
      <c r="T322" s="281"/>
      <c r="V322" s="25" t="str">
        <f t="shared" ca="1" si="12"/>
        <v>완료</v>
      </c>
      <c r="W322" s="25">
        <f t="shared" si="13"/>
        <v>0</v>
      </c>
      <c r="X322" s="25" t="str">
        <f t="shared" si="14"/>
        <v>진행</v>
      </c>
    </row>
    <row r="323" spans="1:24" ht="39.950000000000003" customHeight="1">
      <c r="A323" s="163"/>
      <c r="B323" s="164"/>
      <c r="C323" s="281"/>
      <c r="D323" s="284"/>
      <c r="E323" s="281"/>
      <c r="F323" s="281"/>
      <c r="G323" s="281"/>
      <c r="H323" s="281"/>
      <c r="I323" s="282">
        <f t="shared" si="15"/>
        <v>0</v>
      </c>
      <c r="J323" s="169"/>
      <c r="K323" s="169"/>
      <c r="L323" s="281"/>
      <c r="M323" s="169"/>
      <c r="N323" s="169"/>
      <c r="O323" s="169"/>
      <c r="P323" s="281"/>
      <c r="Q323" s="281"/>
      <c r="R323" s="281"/>
      <c r="S323" s="281"/>
      <c r="T323" s="281"/>
      <c r="V323" s="25" t="str">
        <f t="shared" ca="1" si="12"/>
        <v>완료</v>
      </c>
      <c r="W323" s="25">
        <f t="shared" si="13"/>
        <v>0</v>
      </c>
      <c r="X323" s="25" t="str">
        <f t="shared" si="14"/>
        <v>진행</v>
      </c>
    </row>
    <row r="324" spans="1:24" ht="39.950000000000003" customHeight="1">
      <c r="A324" s="163"/>
      <c r="B324" s="164"/>
      <c r="C324" s="281"/>
      <c r="D324" s="284"/>
      <c r="E324" s="281"/>
      <c r="F324" s="281"/>
      <c r="G324" s="281"/>
      <c r="H324" s="281"/>
      <c r="I324" s="282">
        <f t="shared" si="15"/>
        <v>0</v>
      </c>
      <c r="J324" s="169"/>
      <c r="K324" s="169"/>
      <c r="L324" s="281"/>
      <c r="M324" s="169"/>
      <c r="N324" s="169"/>
      <c r="O324" s="169"/>
      <c r="P324" s="281"/>
      <c r="Q324" s="281"/>
      <c r="R324" s="281"/>
      <c r="S324" s="281"/>
      <c r="T324" s="281"/>
      <c r="V324" s="25" t="str">
        <f t="shared" ca="1" si="12"/>
        <v>완료</v>
      </c>
      <c r="W324" s="25">
        <f t="shared" si="13"/>
        <v>0</v>
      </c>
      <c r="X324" s="25" t="str">
        <f t="shared" si="14"/>
        <v>진행</v>
      </c>
    </row>
    <row r="325" spans="1:24" ht="39.950000000000003" customHeight="1">
      <c r="A325" s="163"/>
      <c r="B325" s="164"/>
      <c r="C325" s="281"/>
      <c r="D325" s="284"/>
      <c r="E325" s="281"/>
      <c r="F325" s="281"/>
      <c r="G325" s="281"/>
      <c r="H325" s="281"/>
      <c r="I325" s="282">
        <f t="shared" si="15"/>
        <v>0</v>
      </c>
      <c r="J325" s="169"/>
      <c r="K325" s="169"/>
      <c r="L325" s="281"/>
      <c r="M325" s="169"/>
      <c r="N325" s="169"/>
      <c r="O325" s="169"/>
      <c r="P325" s="281"/>
      <c r="Q325" s="281"/>
      <c r="R325" s="281"/>
      <c r="S325" s="281"/>
      <c r="T325" s="281"/>
      <c r="V325" s="25" t="str">
        <f t="shared" ca="1" si="12"/>
        <v>완료</v>
      </c>
      <c r="W325" s="25">
        <f t="shared" si="13"/>
        <v>0</v>
      </c>
      <c r="X325" s="25" t="str">
        <f t="shared" si="14"/>
        <v>진행</v>
      </c>
    </row>
    <row r="326" spans="1:24" ht="39.950000000000003" customHeight="1">
      <c r="A326" s="163"/>
      <c r="B326" s="164"/>
      <c r="C326" s="281"/>
      <c r="D326" s="284"/>
      <c r="E326" s="281"/>
      <c r="F326" s="281"/>
      <c r="G326" s="281"/>
      <c r="H326" s="281"/>
      <c r="I326" s="282">
        <f t="shared" si="15"/>
        <v>0</v>
      </c>
      <c r="J326" s="169"/>
      <c r="K326" s="169"/>
      <c r="L326" s="281"/>
      <c r="M326" s="169"/>
      <c r="N326" s="169"/>
      <c r="O326" s="169"/>
      <c r="P326" s="281"/>
      <c r="Q326" s="281"/>
      <c r="R326" s="281"/>
      <c r="S326" s="281"/>
      <c r="T326" s="281"/>
      <c r="V326" s="25" t="str">
        <f t="shared" ca="1" si="12"/>
        <v>완료</v>
      </c>
      <c r="W326" s="25">
        <f t="shared" si="13"/>
        <v>0</v>
      </c>
      <c r="X326" s="25" t="str">
        <f t="shared" si="14"/>
        <v>진행</v>
      </c>
    </row>
    <row r="327" spans="1:24" ht="39.950000000000003" customHeight="1">
      <c r="A327" s="163"/>
      <c r="B327" s="164"/>
      <c r="C327" s="281"/>
      <c r="D327" s="284"/>
      <c r="E327" s="281"/>
      <c r="F327" s="281"/>
      <c r="G327" s="281"/>
      <c r="H327" s="281"/>
      <c r="I327" s="282">
        <f t="shared" si="15"/>
        <v>0</v>
      </c>
      <c r="J327" s="169"/>
      <c r="K327" s="169"/>
      <c r="L327" s="281"/>
      <c r="M327" s="169"/>
      <c r="N327" s="169"/>
      <c r="O327" s="169"/>
      <c r="P327" s="281"/>
      <c r="Q327" s="281"/>
      <c r="R327" s="281"/>
      <c r="S327" s="281"/>
      <c r="T327" s="281"/>
      <c r="V327" s="25" t="str">
        <f t="shared" ca="1" si="12"/>
        <v>완료</v>
      </c>
      <c r="W327" s="25">
        <f t="shared" si="13"/>
        <v>0</v>
      </c>
      <c r="X327" s="25" t="str">
        <f t="shared" si="14"/>
        <v>진행</v>
      </c>
    </row>
    <row r="328" spans="1:24" ht="39.950000000000003" customHeight="1">
      <c r="A328" s="163"/>
      <c r="B328" s="164"/>
      <c r="C328" s="281"/>
      <c r="D328" s="284"/>
      <c r="E328" s="281"/>
      <c r="F328" s="281"/>
      <c r="G328" s="281"/>
      <c r="H328" s="281"/>
      <c r="I328" s="282">
        <f t="shared" si="15"/>
        <v>0</v>
      </c>
      <c r="J328" s="169"/>
      <c r="K328" s="169"/>
      <c r="L328" s="281"/>
      <c r="M328" s="169"/>
      <c r="N328" s="169"/>
      <c r="O328" s="169"/>
      <c r="P328" s="281"/>
      <c r="Q328" s="281"/>
      <c r="R328" s="281"/>
      <c r="S328" s="281"/>
      <c r="T328" s="281"/>
      <c r="V328" s="25" t="str">
        <f t="shared" ca="1" si="12"/>
        <v>완료</v>
      </c>
      <c r="W328" s="25">
        <f t="shared" si="13"/>
        <v>0</v>
      </c>
      <c r="X328" s="25" t="str">
        <f t="shared" si="14"/>
        <v>진행</v>
      </c>
    </row>
    <row r="329" spans="1:24" ht="39.950000000000003" customHeight="1">
      <c r="A329" s="163"/>
      <c r="B329" s="164"/>
      <c r="C329" s="281"/>
      <c r="D329" s="284"/>
      <c r="E329" s="281"/>
      <c r="F329" s="281"/>
      <c r="G329" s="281"/>
      <c r="H329" s="281"/>
      <c r="I329" s="282">
        <f t="shared" si="15"/>
        <v>0</v>
      </c>
      <c r="J329" s="169"/>
      <c r="K329" s="169"/>
      <c r="L329" s="281"/>
      <c r="M329" s="169"/>
      <c r="N329" s="169"/>
      <c r="O329" s="169"/>
      <c r="P329" s="281"/>
      <c r="Q329" s="281"/>
      <c r="R329" s="281"/>
      <c r="S329" s="281"/>
      <c r="T329" s="281"/>
      <c r="V329" s="25" t="str">
        <f t="shared" ca="1" si="12"/>
        <v>완료</v>
      </c>
      <c r="W329" s="25">
        <f t="shared" si="13"/>
        <v>0</v>
      </c>
      <c r="X329" s="25" t="str">
        <f t="shared" si="14"/>
        <v>진행</v>
      </c>
    </row>
    <row r="330" spans="1:24" ht="39.950000000000003" customHeight="1">
      <c r="A330" s="163"/>
      <c r="B330" s="164"/>
      <c r="C330" s="281"/>
      <c r="D330" s="284"/>
      <c r="E330" s="281"/>
      <c r="F330" s="281"/>
      <c r="G330" s="281"/>
      <c r="H330" s="281"/>
      <c r="I330" s="282">
        <f t="shared" si="15"/>
        <v>0</v>
      </c>
      <c r="J330" s="169"/>
      <c r="K330" s="169"/>
      <c r="L330" s="281"/>
      <c r="M330" s="169"/>
      <c r="N330" s="169"/>
      <c r="O330" s="169"/>
      <c r="P330" s="281"/>
      <c r="Q330" s="281"/>
      <c r="R330" s="281"/>
      <c r="S330" s="281"/>
      <c r="T330" s="281"/>
      <c r="V330" s="25" t="str">
        <f t="shared" ca="1" si="12"/>
        <v>완료</v>
      </c>
      <c r="W330" s="25">
        <f t="shared" si="13"/>
        <v>0</v>
      </c>
      <c r="X330" s="25" t="str">
        <f t="shared" si="14"/>
        <v>진행</v>
      </c>
    </row>
    <row r="331" spans="1:24" ht="16.5" customHeight="1">
      <c r="A331" s="171"/>
      <c r="B331" s="172"/>
      <c r="C331" s="172"/>
      <c r="D331" s="172"/>
      <c r="E331" s="172"/>
      <c r="F331" s="172"/>
      <c r="G331" s="172"/>
      <c r="H331" s="172"/>
      <c r="I331" s="172"/>
      <c r="J331" s="172"/>
      <c r="K331" s="172"/>
      <c r="L331" s="172"/>
      <c r="M331" s="172"/>
      <c r="N331" s="172"/>
      <c r="O331" s="172"/>
      <c r="P331" s="172"/>
      <c r="Q331" s="172"/>
      <c r="R331" s="172"/>
      <c r="S331" s="172"/>
      <c r="T331" s="172"/>
    </row>
    <row r="332" spans="1:24" ht="16.5" customHeight="1">
      <c r="A332" s="171"/>
      <c r="B332" s="172"/>
      <c r="C332" s="172"/>
      <c r="D332" s="172"/>
      <c r="E332" s="172"/>
      <c r="F332" s="172"/>
      <c r="G332" s="172"/>
      <c r="H332" s="172"/>
      <c r="I332" s="172"/>
      <c r="J332" s="172"/>
      <c r="K332" s="172"/>
      <c r="L332" s="172"/>
      <c r="M332" s="172"/>
      <c r="N332" s="172"/>
      <c r="O332" s="172"/>
      <c r="P332" s="172"/>
      <c r="Q332" s="172"/>
      <c r="R332" s="172"/>
      <c r="S332" s="172"/>
      <c r="T332" s="172"/>
    </row>
    <row r="333" spans="1:24" ht="16.5" customHeight="1">
      <c r="A333" s="171"/>
      <c r="B333" s="172"/>
      <c r="C333" s="172"/>
      <c r="D333" s="172"/>
      <c r="E333" s="172"/>
      <c r="F333" s="172"/>
      <c r="G333" s="172"/>
      <c r="H333" s="172"/>
      <c r="I333" s="172"/>
      <c r="J333" s="172"/>
      <c r="K333" s="172"/>
      <c r="L333" s="172"/>
      <c r="M333" s="172"/>
      <c r="N333" s="172"/>
      <c r="O333" s="172"/>
      <c r="P333" s="172"/>
      <c r="Q333" s="172"/>
      <c r="R333" s="172"/>
      <c r="S333" s="172"/>
      <c r="T333" s="172"/>
    </row>
    <row r="334" spans="1:24" ht="16.5" customHeight="1">
      <c r="A334" s="171"/>
      <c r="B334" s="172"/>
      <c r="C334" s="172"/>
      <c r="D334" s="172"/>
      <c r="E334" s="172"/>
      <c r="F334" s="172"/>
      <c r="G334" s="172"/>
      <c r="H334" s="172"/>
      <c r="I334" s="172"/>
      <c r="J334" s="172"/>
      <c r="K334" s="172"/>
      <c r="L334" s="172"/>
      <c r="M334" s="172"/>
      <c r="N334" s="172"/>
      <c r="O334" s="172"/>
      <c r="P334" s="172"/>
      <c r="Q334" s="172"/>
      <c r="R334" s="172"/>
      <c r="S334" s="172"/>
      <c r="T334" s="172"/>
    </row>
    <row r="335" spans="1:24" ht="16.5" customHeight="1">
      <c r="A335" s="171"/>
      <c r="B335" s="172"/>
      <c r="C335" s="172"/>
      <c r="D335" s="172"/>
      <c r="E335" s="172"/>
      <c r="F335" s="172"/>
      <c r="G335" s="172"/>
      <c r="H335" s="172"/>
      <c r="I335" s="172"/>
      <c r="J335" s="172"/>
      <c r="K335" s="172"/>
      <c r="L335" s="172"/>
      <c r="M335" s="172"/>
      <c r="N335" s="172"/>
      <c r="O335" s="172"/>
      <c r="P335" s="172"/>
      <c r="Q335" s="172"/>
      <c r="R335" s="172"/>
      <c r="S335" s="172"/>
      <c r="T335" s="172"/>
    </row>
    <row r="336" spans="1:24" ht="16.5" customHeight="1">
      <c r="A336" s="171"/>
      <c r="B336" s="172"/>
      <c r="C336" s="172"/>
      <c r="D336" s="172"/>
      <c r="E336" s="172"/>
      <c r="F336" s="172"/>
      <c r="G336" s="172"/>
      <c r="H336" s="172"/>
      <c r="I336" s="172"/>
      <c r="J336" s="172"/>
      <c r="K336" s="172"/>
      <c r="L336" s="172"/>
      <c r="M336" s="172"/>
      <c r="N336" s="172"/>
      <c r="O336" s="172"/>
      <c r="P336" s="172"/>
      <c r="Q336" s="172"/>
      <c r="R336" s="172"/>
      <c r="S336" s="172"/>
      <c r="T336" s="172"/>
    </row>
    <row r="337" spans="1:20" ht="16.5" customHeight="1">
      <c r="A337" s="171"/>
      <c r="B337" s="172"/>
      <c r="C337" s="172"/>
      <c r="D337" s="172"/>
      <c r="E337" s="172"/>
      <c r="F337" s="172"/>
      <c r="G337" s="172"/>
      <c r="H337" s="172"/>
      <c r="I337" s="172"/>
      <c r="J337" s="172"/>
      <c r="K337" s="172"/>
      <c r="L337" s="172"/>
      <c r="M337" s="172"/>
      <c r="N337" s="172"/>
      <c r="O337" s="172"/>
      <c r="P337" s="172"/>
      <c r="Q337" s="172"/>
      <c r="R337" s="172"/>
      <c r="S337" s="172"/>
      <c r="T337" s="172"/>
    </row>
    <row r="338" spans="1:20" ht="16.5" customHeight="1">
      <c r="A338" s="171"/>
      <c r="B338" s="172"/>
      <c r="C338" s="172"/>
      <c r="D338" s="172"/>
      <c r="E338" s="172"/>
      <c r="F338" s="172"/>
      <c r="G338" s="172"/>
      <c r="H338" s="172"/>
      <c r="I338" s="172"/>
      <c r="J338" s="172"/>
      <c r="K338" s="172"/>
      <c r="L338" s="172"/>
      <c r="M338" s="172"/>
      <c r="N338" s="172"/>
      <c r="O338" s="172"/>
      <c r="P338" s="172"/>
      <c r="Q338" s="172"/>
      <c r="R338" s="172"/>
      <c r="S338" s="172"/>
      <c r="T338" s="172"/>
    </row>
    <row r="339" spans="1:20" ht="16.5" customHeight="1">
      <c r="A339" s="171"/>
      <c r="B339" s="172"/>
      <c r="C339" s="172"/>
      <c r="D339" s="172"/>
      <c r="E339" s="172"/>
      <c r="F339" s="172"/>
      <c r="G339" s="172"/>
      <c r="H339" s="172"/>
      <c r="I339" s="172"/>
      <c r="J339" s="172"/>
      <c r="K339" s="172"/>
      <c r="L339" s="172"/>
      <c r="M339" s="172"/>
      <c r="N339" s="172"/>
      <c r="O339" s="172"/>
      <c r="P339" s="172"/>
      <c r="Q339" s="172"/>
      <c r="R339" s="172"/>
      <c r="S339" s="172"/>
      <c r="T339" s="172"/>
    </row>
    <row r="340" spans="1:20" ht="16.5" customHeight="1">
      <c r="A340" s="171"/>
      <c r="B340" s="172"/>
      <c r="C340" s="172"/>
      <c r="D340" s="172"/>
      <c r="E340" s="172"/>
      <c r="F340" s="172"/>
      <c r="G340" s="172"/>
      <c r="H340" s="172"/>
      <c r="I340" s="172"/>
      <c r="J340" s="172"/>
      <c r="K340" s="172"/>
      <c r="L340" s="172"/>
      <c r="M340" s="172"/>
      <c r="N340" s="172"/>
      <c r="O340" s="172"/>
      <c r="P340" s="172"/>
      <c r="Q340" s="172"/>
      <c r="R340" s="172"/>
      <c r="S340" s="172"/>
      <c r="T340" s="172"/>
    </row>
    <row r="341" spans="1:20" ht="16.5" customHeight="1">
      <c r="A341" s="171"/>
      <c r="B341" s="172"/>
      <c r="C341" s="172"/>
      <c r="D341" s="172"/>
      <c r="E341" s="172"/>
      <c r="F341" s="172"/>
      <c r="G341" s="172"/>
      <c r="H341" s="172"/>
      <c r="I341" s="172"/>
      <c r="J341" s="172"/>
      <c r="K341" s="172"/>
      <c r="L341" s="172"/>
      <c r="M341" s="172"/>
      <c r="N341" s="172"/>
      <c r="O341" s="172"/>
      <c r="P341" s="172"/>
      <c r="Q341" s="172"/>
      <c r="R341" s="172"/>
      <c r="S341" s="172"/>
      <c r="T341" s="172"/>
    </row>
    <row r="342" spans="1:20" ht="16.5" customHeight="1">
      <c r="A342" s="171"/>
      <c r="B342" s="172"/>
      <c r="C342" s="172"/>
      <c r="D342" s="172"/>
      <c r="E342" s="172"/>
      <c r="F342" s="172"/>
      <c r="G342" s="172"/>
      <c r="H342" s="172"/>
      <c r="I342" s="172"/>
      <c r="J342" s="172"/>
      <c r="K342" s="172"/>
      <c r="L342" s="172"/>
      <c r="M342" s="172"/>
      <c r="N342" s="172"/>
      <c r="O342" s="172"/>
      <c r="P342" s="172"/>
      <c r="Q342" s="172"/>
      <c r="R342" s="172"/>
      <c r="S342" s="172"/>
      <c r="T342" s="172"/>
    </row>
    <row r="343" spans="1:20" ht="16.5" customHeight="1">
      <c r="A343" s="171"/>
      <c r="B343" s="172"/>
      <c r="C343" s="172"/>
      <c r="D343" s="172"/>
      <c r="E343" s="172"/>
      <c r="F343" s="172"/>
      <c r="G343" s="172"/>
      <c r="H343" s="172"/>
      <c r="I343" s="172"/>
      <c r="J343" s="172"/>
      <c r="K343" s="172"/>
      <c r="L343" s="172"/>
      <c r="M343" s="172"/>
      <c r="N343" s="172"/>
      <c r="O343" s="172"/>
      <c r="P343" s="172"/>
      <c r="Q343" s="172"/>
      <c r="R343" s="172"/>
      <c r="S343" s="172"/>
      <c r="T343" s="172"/>
    </row>
    <row r="344" spans="1:20" ht="16.5" customHeight="1">
      <c r="A344" s="171"/>
      <c r="B344" s="172"/>
      <c r="C344" s="172"/>
      <c r="D344" s="172"/>
      <c r="E344" s="172"/>
      <c r="F344" s="172"/>
      <c r="G344" s="172"/>
      <c r="H344" s="172"/>
      <c r="I344" s="172"/>
      <c r="J344" s="172"/>
      <c r="K344" s="172"/>
      <c r="L344" s="172"/>
      <c r="M344" s="172"/>
      <c r="N344" s="172"/>
      <c r="O344" s="172"/>
      <c r="P344" s="172"/>
      <c r="Q344" s="172"/>
      <c r="R344" s="172"/>
      <c r="S344" s="172"/>
      <c r="T344" s="172"/>
    </row>
    <row r="345" spans="1:20" ht="16.5" customHeight="1">
      <c r="A345" s="171"/>
      <c r="B345" s="172"/>
      <c r="C345" s="172"/>
      <c r="D345" s="172"/>
      <c r="E345" s="172"/>
      <c r="F345" s="172"/>
      <c r="G345" s="172"/>
      <c r="H345" s="172"/>
      <c r="I345" s="172"/>
      <c r="J345" s="172"/>
      <c r="K345" s="172"/>
      <c r="L345" s="172"/>
      <c r="M345" s="172"/>
      <c r="N345" s="172"/>
      <c r="O345" s="172"/>
      <c r="P345" s="172"/>
      <c r="Q345" s="172"/>
      <c r="R345" s="172"/>
      <c r="S345" s="172"/>
      <c r="T345" s="172"/>
    </row>
    <row r="346" spans="1:20" ht="16.5" customHeight="1">
      <c r="A346" s="171"/>
      <c r="B346" s="172"/>
      <c r="C346" s="172"/>
      <c r="D346" s="172"/>
      <c r="E346" s="172"/>
      <c r="F346" s="172"/>
      <c r="G346" s="172"/>
      <c r="H346" s="172"/>
      <c r="I346" s="172"/>
      <c r="J346" s="172"/>
      <c r="K346" s="172"/>
      <c r="L346" s="172"/>
      <c r="M346" s="172"/>
      <c r="N346" s="172"/>
      <c r="O346" s="172"/>
      <c r="P346" s="172"/>
      <c r="Q346" s="172"/>
      <c r="R346" s="172"/>
      <c r="S346" s="172"/>
      <c r="T346" s="172"/>
    </row>
    <row r="347" spans="1:20" ht="16.5" customHeight="1">
      <c r="A347" s="171"/>
      <c r="B347" s="172"/>
      <c r="C347" s="172"/>
      <c r="D347" s="172"/>
      <c r="E347" s="172"/>
      <c r="F347" s="172"/>
      <c r="G347" s="172"/>
      <c r="H347" s="172"/>
      <c r="I347" s="172"/>
      <c r="J347" s="172"/>
      <c r="K347" s="172"/>
      <c r="L347" s="172"/>
      <c r="M347" s="172"/>
      <c r="N347" s="172"/>
      <c r="O347" s="172"/>
      <c r="P347" s="172"/>
      <c r="Q347" s="172"/>
      <c r="R347" s="172"/>
      <c r="S347" s="172"/>
      <c r="T347" s="172"/>
    </row>
    <row r="348" spans="1:20" ht="16.5" customHeight="1">
      <c r="A348" s="171"/>
      <c r="B348" s="172"/>
      <c r="C348" s="172"/>
      <c r="D348" s="172"/>
      <c r="E348" s="172"/>
      <c r="F348" s="172"/>
      <c r="G348" s="172"/>
      <c r="H348" s="172"/>
      <c r="I348" s="172"/>
      <c r="J348" s="172"/>
      <c r="K348" s="172"/>
      <c r="L348" s="172"/>
      <c r="M348" s="172"/>
      <c r="N348" s="172"/>
      <c r="O348" s="172"/>
      <c r="P348" s="172"/>
      <c r="Q348" s="172"/>
      <c r="R348" s="172"/>
      <c r="S348" s="172"/>
      <c r="T348" s="172"/>
    </row>
    <row r="349" spans="1:20" ht="16.5" customHeight="1">
      <c r="A349" s="171"/>
      <c r="B349" s="172"/>
      <c r="C349" s="172"/>
      <c r="D349" s="172"/>
      <c r="E349" s="172"/>
      <c r="F349" s="172"/>
      <c r="G349" s="172"/>
      <c r="H349" s="172"/>
      <c r="I349" s="172"/>
      <c r="J349" s="172"/>
      <c r="K349" s="172"/>
      <c r="L349" s="172"/>
      <c r="M349" s="172"/>
      <c r="N349" s="172"/>
      <c r="O349" s="172"/>
      <c r="P349" s="172"/>
      <c r="Q349" s="172"/>
      <c r="R349" s="172"/>
      <c r="S349" s="172"/>
      <c r="T349" s="172"/>
    </row>
    <row r="350" spans="1:20" ht="16.5" customHeight="1">
      <c r="A350" s="171"/>
      <c r="B350" s="172"/>
      <c r="C350" s="172"/>
      <c r="D350" s="172"/>
      <c r="E350" s="172"/>
      <c r="F350" s="172"/>
      <c r="G350" s="172"/>
      <c r="H350" s="172"/>
      <c r="I350" s="172"/>
      <c r="J350" s="172"/>
      <c r="K350" s="172"/>
      <c r="L350" s="172"/>
      <c r="M350" s="172"/>
      <c r="N350" s="172"/>
      <c r="O350" s="172"/>
      <c r="P350" s="172"/>
      <c r="Q350" s="172"/>
      <c r="R350" s="172"/>
      <c r="S350" s="172"/>
      <c r="T350" s="172"/>
    </row>
    <row r="351" spans="1:20" ht="16.5" customHeight="1">
      <c r="A351" s="171"/>
      <c r="B351" s="172"/>
      <c r="C351" s="172"/>
      <c r="D351" s="172"/>
      <c r="E351" s="172"/>
      <c r="F351" s="172"/>
      <c r="G351" s="172"/>
      <c r="H351" s="172"/>
      <c r="I351" s="172"/>
      <c r="J351" s="172"/>
      <c r="K351" s="172"/>
      <c r="L351" s="172"/>
      <c r="M351" s="172"/>
      <c r="N351" s="172"/>
      <c r="O351" s="172"/>
      <c r="P351" s="172"/>
      <c r="Q351" s="172"/>
      <c r="R351" s="172"/>
      <c r="S351" s="172"/>
      <c r="T351" s="172"/>
    </row>
    <row r="352" spans="1:20" ht="16.5" customHeight="1">
      <c r="A352" s="171"/>
      <c r="B352" s="172"/>
      <c r="C352" s="172"/>
      <c r="D352" s="172"/>
      <c r="E352" s="172"/>
      <c r="F352" s="172"/>
      <c r="G352" s="172"/>
      <c r="H352" s="172"/>
      <c r="I352" s="172"/>
      <c r="J352" s="172"/>
      <c r="K352" s="172"/>
      <c r="L352" s="172"/>
      <c r="M352" s="172"/>
      <c r="N352" s="172"/>
      <c r="O352" s="172"/>
      <c r="P352" s="172"/>
      <c r="Q352" s="172"/>
      <c r="R352" s="172"/>
      <c r="S352" s="172"/>
      <c r="T352" s="172"/>
    </row>
    <row r="353" spans="1:20" ht="16.5" customHeight="1">
      <c r="A353" s="171"/>
      <c r="B353" s="172"/>
      <c r="C353" s="172"/>
      <c r="D353" s="172"/>
      <c r="E353" s="172"/>
      <c r="F353" s="172"/>
      <c r="G353" s="172"/>
      <c r="H353" s="172"/>
      <c r="I353" s="172"/>
      <c r="J353" s="172"/>
      <c r="K353" s="172"/>
      <c r="L353" s="172"/>
      <c r="M353" s="172"/>
      <c r="N353" s="172"/>
      <c r="O353" s="172"/>
      <c r="P353" s="172"/>
      <c r="Q353" s="172"/>
      <c r="R353" s="172"/>
      <c r="S353" s="172"/>
      <c r="T353" s="172"/>
    </row>
    <row r="354" spans="1:20" ht="16.5" customHeight="1">
      <c r="A354" s="171"/>
      <c r="B354" s="172"/>
      <c r="C354" s="172"/>
      <c r="D354" s="172"/>
      <c r="E354" s="172"/>
      <c r="F354" s="172"/>
      <c r="G354" s="172"/>
      <c r="H354" s="172"/>
      <c r="I354" s="172"/>
      <c r="J354" s="172"/>
      <c r="K354" s="172"/>
      <c r="L354" s="172"/>
      <c r="M354" s="172"/>
      <c r="N354" s="172"/>
      <c r="O354" s="172"/>
      <c r="P354" s="172"/>
      <c r="Q354" s="172"/>
      <c r="R354" s="172"/>
      <c r="S354" s="172"/>
      <c r="T354" s="172"/>
    </row>
    <row r="355" spans="1:20" ht="16.5" customHeight="1">
      <c r="A355" s="171"/>
      <c r="B355" s="172"/>
      <c r="C355" s="172"/>
      <c r="D355" s="172"/>
      <c r="E355" s="172"/>
      <c r="F355" s="172"/>
      <c r="G355" s="172"/>
      <c r="H355" s="172"/>
      <c r="I355" s="172"/>
      <c r="J355" s="172"/>
      <c r="K355" s="172"/>
      <c r="L355" s="172"/>
      <c r="M355" s="172"/>
      <c r="N355" s="172"/>
      <c r="O355" s="172"/>
      <c r="P355" s="172"/>
      <c r="Q355" s="172"/>
      <c r="R355" s="172"/>
      <c r="S355" s="172"/>
      <c r="T355" s="172"/>
    </row>
    <row r="356" spans="1:20" ht="16.5" customHeight="1">
      <c r="A356" s="171"/>
      <c r="B356" s="172"/>
      <c r="C356" s="172"/>
      <c r="D356" s="172"/>
      <c r="E356" s="172"/>
      <c r="F356" s="172"/>
      <c r="G356" s="172"/>
      <c r="H356" s="172"/>
      <c r="I356" s="172"/>
      <c r="J356" s="172"/>
      <c r="K356" s="172"/>
      <c r="L356" s="172"/>
      <c r="M356" s="172"/>
      <c r="N356" s="172"/>
      <c r="O356" s="172"/>
      <c r="P356" s="172"/>
      <c r="Q356" s="172"/>
      <c r="R356" s="172"/>
      <c r="S356" s="172"/>
      <c r="T356" s="172"/>
    </row>
    <row r="357" spans="1:20" ht="16.5" customHeight="1">
      <c r="A357" s="171"/>
      <c r="B357" s="172"/>
      <c r="C357" s="172"/>
      <c r="D357" s="172"/>
      <c r="E357" s="172"/>
      <c r="F357" s="172"/>
      <c r="G357" s="172"/>
      <c r="H357" s="172"/>
      <c r="I357" s="172"/>
      <c r="J357" s="172"/>
      <c r="K357" s="172"/>
      <c r="L357" s="172"/>
      <c r="M357" s="172"/>
      <c r="N357" s="172"/>
      <c r="O357" s="172"/>
      <c r="P357" s="172"/>
      <c r="Q357" s="172"/>
      <c r="R357" s="172"/>
      <c r="S357" s="172"/>
      <c r="T357" s="172"/>
    </row>
    <row r="358" spans="1:20" ht="16.5" customHeight="1">
      <c r="A358" s="171"/>
      <c r="B358" s="172"/>
      <c r="C358" s="172"/>
      <c r="D358" s="172"/>
      <c r="E358" s="172"/>
      <c r="F358" s="172"/>
      <c r="G358" s="172"/>
      <c r="H358" s="172"/>
      <c r="I358" s="172"/>
      <c r="J358" s="172"/>
      <c r="K358" s="172"/>
      <c r="L358" s="172"/>
      <c r="M358" s="172"/>
      <c r="N358" s="172"/>
      <c r="O358" s="172"/>
      <c r="P358" s="172"/>
      <c r="Q358" s="172"/>
      <c r="R358" s="172"/>
      <c r="S358" s="172"/>
      <c r="T358" s="172"/>
    </row>
    <row r="359" spans="1:20" ht="16.5" customHeight="1">
      <c r="A359" s="171"/>
      <c r="B359" s="172"/>
      <c r="C359" s="172"/>
      <c r="D359" s="172"/>
      <c r="E359" s="172"/>
      <c r="F359" s="172"/>
      <c r="G359" s="172"/>
      <c r="H359" s="172"/>
      <c r="I359" s="172"/>
      <c r="J359" s="172"/>
      <c r="K359" s="172"/>
      <c r="L359" s="172"/>
      <c r="M359" s="172"/>
      <c r="N359" s="172"/>
      <c r="O359" s="172"/>
      <c r="P359" s="172"/>
      <c r="Q359" s="172"/>
      <c r="R359" s="172"/>
      <c r="S359" s="172"/>
      <c r="T359" s="172"/>
    </row>
    <row r="360" spans="1:20" ht="16.5" customHeight="1">
      <c r="A360" s="171"/>
      <c r="B360" s="172"/>
      <c r="C360" s="172"/>
      <c r="D360" s="172"/>
      <c r="E360" s="172"/>
      <c r="F360" s="172"/>
      <c r="G360" s="172"/>
      <c r="H360" s="172"/>
      <c r="I360" s="172"/>
      <c r="J360" s="172"/>
      <c r="K360" s="172"/>
      <c r="L360" s="172"/>
      <c r="M360" s="172"/>
      <c r="N360" s="172"/>
      <c r="O360" s="172"/>
      <c r="P360" s="172"/>
      <c r="Q360" s="172"/>
      <c r="R360" s="172"/>
      <c r="S360" s="172"/>
      <c r="T360" s="172"/>
    </row>
    <row r="361" spans="1:20" ht="16.5" customHeight="1">
      <c r="A361" s="171"/>
      <c r="B361" s="172"/>
      <c r="C361" s="172"/>
      <c r="D361" s="172"/>
      <c r="E361" s="172"/>
      <c r="F361" s="172"/>
      <c r="G361" s="172"/>
      <c r="H361" s="172"/>
      <c r="I361" s="172"/>
      <c r="J361" s="172"/>
      <c r="K361" s="172"/>
      <c r="L361" s="172"/>
      <c r="M361" s="172"/>
      <c r="N361" s="172"/>
      <c r="O361" s="172"/>
      <c r="P361" s="172"/>
      <c r="Q361" s="172"/>
      <c r="R361" s="172"/>
      <c r="S361" s="172"/>
      <c r="T361" s="172"/>
    </row>
    <row r="362" spans="1:20" ht="16.5" customHeight="1">
      <c r="A362" s="171"/>
      <c r="B362" s="172"/>
      <c r="C362" s="172"/>
      <c r="D362" s="172"/>
      <c r="E362" s="172"/>
      <c r="F362" s="172"/>
      <c r="G362" s="172"/>
      <c r="H362" s="172"/>
      <c r="I362" s="172"/>
      <c r="J362" s="172"/>
      <c r="K362" s="172"/>
      <c r="L362" s="172"/>
      <c r="M362" s="172"/>
      <c r="N362" s="172"/>
      <c r="O362" s="172"/>
      <c r="P362" s="172"/>
      <c r="Q362" s="172"/>
      <c r="R362" s="172"/>
      <c r="S362" s="172"/>
      <c r="T362" s="172"/>
    </row>
    <row r="363" spans="1:20" ht="16.5" customHeight="1">
      <c r="A363" s="171"/>
      <c r="B363" s="172"/>
      <c r="C363" s="172"/>
      <c r="D363" s="172"/>
      <c r="E363" s="172"/>
      <c r="F363" s="172"/>
      <c r="G363" s="172"/>
      <c r="H363" s="172"/>
      <c r="I363" s="172"/>
      <c r="J363" s="172"/>
      <c r="K363" s="172"/>
      <c r="L363" s="172"/>
      <c r="M363" s="172"/>
      <c r="N363" s="172"/>
      <c r="O363" s="172"/>
      <c r="P363" s="172"/>
      <c r="Q363" s="172"/>
      <c r="R363" s="172"/>
      <c r="S363" s="172"/>
      <c r="T363" s="172"/>
    </row>
    <row r="364" spans="1:20" ht="16.5" customHeight="1">
      <c r="A364" s="171"/>
      <c r="B364" s="172"/>
      <c r="C364" s="172"/>
      <c r="D364" s="172"/>
      <c r="E364" s="172"/>
      <c r="F364" s="172"/>
      <c r="G364" s="172"/>
      <c r="H364" s="172"/>
      <c r="I364" s="172"/>
      <c r="J364" s="172"/>
      <c r="K364" s="172"/>
      <c r="L364" s="172"/>
      <c r="M364" s="172"/>
      <c r="N364" s="172"/>
      <c r="O364" s="172"/>
      <c r="P364" s="172"/>
      <c r="Q364" s="172"/>
      <c r="R364" s="172"/>
      <c r="S364" s="172"/>
      <c r="T364" s="172"/>
    </row>
    <row r="365" spans="1:20" ht="16.5" customHeight="1">
      <c r="A365" s="171"/>
      <c r="B365" s="172"/>
      <c r="C365" s="172"/>
      <c r="D365" s="172"/>
      <c r="E365" s="172"/>
      <c r="F365" s="172"/>
      <c r="G365" s="172"/>
      <c r="H365" s="172"/>
      <c r="I365" s="172"/>
      <c r="J365" s="172"/>
      <c r="K365" s="172"/>
      <c r="L365" s="172"/>
      <c r="M365" s="172"/>
      <c r="N365" s="172"/>
      <c r="O365" s="172"/>
      <c r="P365" s="172"/>
      <c r="Q365" s="172"/>
      <c r="R365" s="172"/>
      <c r="S365" s="172"/>
      <c r="T365" s="172"/>
    </row>
    <row r="366" spans="1:20" ht="16.5" customHeight="1">
      <c r="A366" s="171"/>
      <c r="B366" s="172"/>
      <c r="C366" s="172"/>
      <c r="D366" s="172"/>
      <c r="E366" s="172"/>
      <c r="F366" s="172"/>
      <c r="G366" s="172"/>
      <c r="H366" s="172"/>
      <c r="I366" s="172"/>
      <c r="J366" s="172"/>
      <c r="K366" s="172"/>
      <c r="L366" s="172"/>
      <c r="M366" s="172"/>
      <c r="N366" s="172"/>
      <c r="O366" s="172"/>
      <c r="P366" s="172"/>
      <c r="Q366" s="172"/>
      <c r="R366" s="172"/>
      <c r="S366" s="172"/>
      <c r="T366" s="172"/>
    </row>
    <row r="367" spans="1:20" ht="16.5" customHeight="1">
      <c r="A367" s="171"/>
      <c r="B367" s="172"/>
      <c r="C367" s="172"/>
      <c r="D367" s="172"/>
      <c r="E367" s="172"/>
      <c r="F367" s="172"/>
      <c r="G367" s="172"/>
      <c r="H367" s="172"/>
      <c r="I367" s="172"/>
      <c r="J367" s="172"/>
      <c r="K367" s="172"/>
      <c r="L367" s="172"/>
      <c r="M367" s="172"/>
      <c r="N367" s="172"/>
      <c r="O367" s="172"/>
      <c r="P367" s="172"/>
      <c r="Q367" s="172"/>
      <c r="R367" s="172"/>
      <c r="S367" s="172"/>
      <c r="T367" s="172"/>
    </row>
    <row r="368" spans="1:20" ht="16.5" customHeight="1">
      <c r="A368" s="171"/>
      <c r="B368" s="172"/>
      <c r="C368" s="172"/>
      <c r="D368" s="172"/>
      <c r="E368" s="172"/>
      <c r="F368" s="172"/>
      <c r="G368" s="172"/>
      <c r="H368" s="172"/>
      <c r="I368" s="172"/>
      <c r="J368" s="172"/>
      <c r="K368" s="172"/>
      <c r="L368" s="172"/>
      <c r="M368" s="172"/>
      <c r="N368" s="172"/>
      <c r="O368" s="172"/>
      <c r="P368" s="172"/>
      <c r="Q368" s="172"/>
      <c r="R368" s="172"/>
      <c r="S368" s="172"/>
      <c r="T368" s="172"/>
    </row>
    <row r="369" spans="1:20" ht="16.5" customHeight="1">
      <c r="A369" s="171"/>
      <c r="B369" s="172"/>
      <c r="C369" s="172"/>
      <c r="D369" s="172"/>
      <c r="E369" s="172"/>
      <c r="F369" s="172"/>
      <c r="G369" s="172"/>
      <c r="H369" s="172"/>
      <c r="I369" s="172"/>
      <c r="J369" s="172"/>
      <c r="K369" s="172"/>
      <c r="L369" s="172"/>
      <c r="M369" s="172"/>
      <c r="N369" s="172"/>
      <c r="O369" s="172"/>
      <c r="P369" s="172"/>
      <c r="Q369" s="172"/>
      <c r="R369" s="172"/>
      <c r="S369" s="172"/>
      <c r="T369" s="172"/>
    </row>
    <row r="370" spans="1:20" ht="16.5" customHeight="1">
      <c r="A370" s="171"/>
      <c r="B370" s="172"/>
      <c r="C370" s="172"/>
      <c r="D370" s="172"/>
      <c r="E370" s="172"/>
      <c r="F370" s="172"/>
      <c r="G370" s="172"/>
      <c r="H370" s="172"/>
      <c r="I370" s="172"/>
      <c r="J370" s="172"/>
      <c r="K370" s="172"/>
      <c r="L370" s="172"/>
      <c r="M370" s="172"/>
      <c r="N370" s="172"/>
      <c r="O370" s="172"/>
      <c r="P370" s="172"/>
      <c r="Q370" s="172"/>
      <c r="R370" s="172"/>
      <c r="S370" s="172"/>
      <c r="T370" s="172"/>
    </row>
    <row r="371" spans="1:20" ht="16.5" customHeight="1">
      <c r="A371" s="171"/>
      <c r="B371" s="172"/>
      <c r="C371" s="172"/>
      <c r="D371" s="172"/>
      <c r="E371" s="172"/>
      <c r="F371" s="172"/>
      <c r="G371" s="172"/>
      <c r="H371" s="172"/>
      <c r="I371" s="172"/>
      <c r="J371" s="172"/>
      <c r="K371" s="172"/>
      <c r="L371" s="172"/>
      <c r="M371" s="172"/>
      <c r="N371" s="172"/>
      <c r="O371" s="172"/>
      <c r="P371" s="172"/>
      <c r="Q371" s="172"/>
      <c r="R371" s="172"/>
      <c r="S371" s="172"/>
      <c r="T371" s="172"/>
    </row>
    <row r="372" spans="1:20" ht="16.5" customHeight="1">
      <c r="A372" s="171"/>
      <c r="B372" s="172"/>
      <c r="C372" s="172"/>
      <c r="D372" s="172"/>
      <c r="E372" s="172"/>
      <c r="F372" s="172"/>
      <c r="G372" s="172"/>
      <c r="H372" s="172"/>
      <c r="I372" s="172"/>
      <c r="J372" s="172"/>
      <c r="K372" s="172"/>
      <c r="L372" s="172"/>
      <c r="M372" s="172"/>
      <c r="N372" s="172"/>
      <c r="O372" s="172"/>
      <c r="P372" s="172"/>
      <c r="Q372" s="172"/>
      <c r="R372" s="172"/>
      <c r="S372" s="172"/>
      <c r="T372" s="172"/>
    </row>
    <row r="373" spans="1:20" ht="16.5" customHeight="1">
      <c r="A373" s="171"/>
      <c r="B373" s="172"/>
      <c r="C373" s="172"/>
      <c r="D373" s="172"/>
      <c r="E373" s="172"/>
      <c r="F373" s="172"/>
      <c r="G373" s="172"/>
      <c r="H373" s="172"/>
      <c r="I373" s="172"/>
      <c r="J373" s="172"/>
      <c r="K373" s="172"/>
      <c r="L373" s="172"/>
      <c r="M373" s="172"/>
      <c r="N373" s="172"/>
      <c r="O373" s="172"/>
      <c r="P373" s="172"/>
      <c r="Q373" s="172"/>
      <c r="R373" s="172"/>
      <c r="S373" s="172"/>
      <c r="T373" s="172"/>
    </row>
    <row r="374" spans="1:20" ht="16.5" customHeight="1">
      <c r="A374" s="171"/>
      <c r="B374" s="172"/>
      <c r="C374" s="172"/>
      <c r="D374" s="172"/>
      <c r="E374" s="172"/>
      <c r="F374" s="172"/>
      <c r="G374" s="172"/>
      <c r="H374" s="172"/>
      <c r="I374" s="172"/>
      <c r="J374" s="172"/>
      <c r="K374" s="172"/>
      <c r="L374" s="172"/>
      <c r="M374" s="172"/>
      <c r="N374" s="172"/>
      <c r="O374" s="172"/>
      <c r="P374" s="172"/>
      <c r="Q374" s="172"/>
      <c r="R374" s="172"/>
      <c r="S374" s="172"/>
      <c r="T374" s="172"/>
    </row>
    <row r="375" spans="1:20" ht="16.5" customHeight="1">
      <c r="A375" s="171"/>
      <c r="B375" s="172"/>
      <c r="C375" s="172"/>
      <c r="D375" s="172"/>
      <c r="E375" s="172"/>
      <c r="F375" s="172"/>
      <c r="G375" s="172"/>
      <c r="H375" s="172"/>
      <c r="I375" s="172"/>
      <c r="J375" s="172"/>
      <c r="K375" s="172"/>
      <c r="L375" s="172"/>
      <c r="M375" s="172"/>
      <c r="N375" s="172"/>
      <c r="O375" s="172"/>
      <c r="P375" s="172"/>
      <c r="Q375" s="172"/>
      <c r="R375" s="172"/>
      <c r="S375" s="172"/>
      <c r="T375" s="172"/>
    </row>
    <row r="376" spans="1:20" ht="16.5" customHeight="1">
      <c r="A376" s="171"/>
      <c r="B376" s="172"/>
      <c r="C376" s="172"/>
      <c r="D376" s="172"/>
      <c r="E376" s="172"/>
      <c r="F376" s="172"/>
      <c r="G376" s="172"/>
      <c r="H376" s="172"/>
      <c r="I376" s="172"/>
      <c r="J376" s="172"/>
      <c r="K376" s="172"/>
      <c r="L376" s="172"/>
      <c r="M376" s="172"/>
      <c r="N376" s="172"/>
      <c r="O376" s="172"/>
      <c r="P376" s="172"/>
      <c r="Q376" s="172"/>
      <c r="R376" s="172"/>
      <c r="S376" s="172"/>
      <c r="T376" s="172"/>
    </row>
    <row r="377" spans="1:20" ht="16.5" customHeight="1">
      <c r="A377" s="171"/>
      <c r="B377" s="172"/>
      <c r="C377" s="172"/>
      <c r="D377" s="172"/>
      <c r="E377" s="172"/>
      <c r="F377" s="172"/>
      <c r="G377" s="172"/>
      <c r="H377" s="172"/>
      <c r="I377" s="172"/>
      <c r="J377" s="172"/>
      <c r="K377" s="172"/>
      <c r="L377" s="172"/>
      <c r="M377" s="172"/>
      <c r="N377" s="172"/>
      <c r="O377" s="172"/>
      <c r="P377" s="172"/>
      <c r="Q377" s="172"/>
      <c r="R377" s="172"/>
      <c r="S377" s="172"/>
      <c r="T377" s="172"/>
    </row>
    <row r="378" spans="1:20" ht="16.5" customHeight="1">
      <c r="A378" s="171"/>
      <c r="B378" s="172"/>
      <c r="C378" s="172"/>
      <c r="D378" s="172"/>
      <c r="E378" s="172"/>
      <c r="F378" s="172"/>
      <c r="G378" s="172"/>
      <c r="H378" s="172"/>
      <c r="I378" s="172"/>
      <c r="J378" s="172"/>
      <c r="K378" s="172"/>
      <c r="L378" s="172"/>
      <c r="M378" s="172"/>
      <c r="N378" s="172"/>
      <c r="O378" s="172"/>
      <c r="P378" s="172"/>
      <c r="Q378" s="172"/>
      <c r="R378" s="172"/>
      <c r="S378" s="172"/>
      <c r="T378" s="172"/>
    </row>
    <row r="379" spans="1:20" ht="16.5" customHeight="1">
      <c r="A379" s="171"/>
      <c r="B379" s="172"/>
      <c r="C379" s="172"/>
      <c r="D379" s="172"/>
      <c r="E379" s="172"/>
      <c r="F379" s="172"/>
      <c r="G379" s="172"/>
      <c r="H379" s="172"/>
      <c r="I379" s="172"/>
      <c r="J379" s="172"/>
      <c r="K379" s="172"/>
      <c r="L379" s="172"/>
      <c r="M379" s="172"/>
      <c r="N379" s="172"/>
      <c r="O379" s="172"/>
      <c r="P379" s="172"/>
      <c r="Q379" s="172"/>
      <c r="R379" s="172"/>
      <c r="S379" s="172"/>
      <c r="T379" s="172"/>
    </row>
    <row r="380" spans="1:20" ht="16.5" customHeight="1">
      <c r="A380" s="171"/>
      <c r="B380" s="172"/>
      <c r="C380" s="172"/>
      <c r="D380" s="172"/>
      <c r="E380" s="172"/>
      <c r="F380" s="172"/>
      <c r="G380" s="172"/>
      <c r="H380" s="172"/>
      <c r="I380" s="172"/>
      <c r="J380" s="172"/>
      <c r="K380" s="172"/>
      <c r="L380" s="172"/>
      <c r="M380" s="172"/>
      <c r="N380" s="172"/>
      <c r="O380" s="172"/>
      <c r="P380" s="172"/>
      <c r="Q380" s="172"/>
      <c r="R380" s="172"/>
      <c r="S380" s="172"/>
      <c r="T380" s="172"/>
    </row>
    <row r="381" spans="1:20" ht="16.5" customHeight="1">
      <c r="A381" s="171"/>
      <c r="B381" s="172"/>
      <c r="C381" s="172"/>
      <c r="D381" s="172"/>
      <c r="E381" s="172"/>
      <c r="F381" s="172"/>
      <c r="G381" s="172"/>
      <c r="H381" s="172"/>
      <c r="I381" s="172"/>
      <c r="J381" s="172"/>
      <c r="K381" s="172"/>
      <c r="L381" s="172"/>
      <c r="M381" s="172"/>
      <c r="N381" s="172"/>
      <c r="O381" s="172"/>
      <c r="P381" s="172"/>
      <c r="Q381" s="172"/>
      <c r="R381" s="172"/>
      <c r="S381" s="172"/>
      <c r="T381" s="172"/>
    </row>
    <row r="382" spans="1:20" ht="16.5" customHeight="1">
      <c r="A382" s="171"/>
      <c r="B382" s="172"/>
      <c r="C382" s="172"/>
      <c r="D382" s="172"/>
      <c r="E382" s="172"/>
      <c r="F382" s="172"/>
      <c r="G382" s="172"/>
      <c r="H382" s="172"/>
      <c r="I382" s="172"/>
      <c r="J382" s="172"/>
      <c r="K382" s="172"/>
      <c r="L382" s="172"/>
      <c r="M382" s="172"/>
      <c r="N382" s="172"/>
      <c r="O382" s="172"/>
      <c r="P382" s="172"/>
      <c r="Q382" s="172"/>
      <c r="R382" s="172"/>
      <c r="S382" s="172"/>
      <c r="T382" s="172"/>
    </row>
    <row r="383" spans="1:20" ht="16.5" customHeight="1">
      <c r="A383" s="171"/>
      <c r="B383" s="172"/>
      <c r="C383" s="172"/>
      <c r="D383" s="172"/>
      <c r="E383" s="172"/>
      <c r="F383" s="172"/>
      <c r="G383" s="172"/>
      <c r="H383" s="172"/>
      <c r="I383" s="172"/>
      <c r="J383" s="172"/>
      <c r="K383" s="172"/>
      <c r="L383" s="172"/>
      <c r="M383" s="172"/>
      <c r="N383" s="172"/>
      <c r="O383" s="172"/>
      <c r="P383" s="172"/>
      <c r="Q383" s="172"/>
      <c r="R383" s="172"/>
      <c r="S383" s="172"/>
      <c r="T383" s="172"/>
    </row>
    <row r="384" spans="1:20" ht="16.5" customHeight="1">
      <c r="A384" s="171"/>
      <c r="B384" s="172"/>
      <c r="C384" s="172"/>
      <c r="D384" s="172"/>
      <c r="E384" s="172"/>
      <c r="F384" s="172"/>
      <c r="G384" s="172"/>
      <c r="H384" s="172"/>
      <c r="I384" s="172"/>
      <c r="J384" s="172"/>
      <c r="K384" s="172"/>
      <c r="L384" s="172"/>
      <c r="M384" s="172"/>
      <c r="N384" s="172"/>
      <c r="O384" s="172"/>
      <c r="P384" s="172"/>
      <c r="Q384" s="172"/>
      <c r="R384" s="172"/>
      <c r="S384" s="172"/>
      <c r="T384" s="172"/>
    </row>
    <row r="385" spans="1:20" ht="16.5" customHeight="1">
      <c r="A385" s="171"/>
      <c r="B385" s="172"/>
      <c r="C385" s="172"/>
      <c r="D385" s="172"/>
      <c r="E385" s="172"/>
      <c r="F385" s="172"/>
      <c r="G385" s="172"/>
      <c r="H385" s="172"/>
      <c r="I385" s="172"/>
      <c r="J385" s="172"/>
      <c r="K385" s="172"/>
      <c r="L385" s="172"/>
      <c r="M385" s="172"/>
      <c r="N385" s="172"/>
      <c r="O385" s="172"/>
      <c r="P385" s="172"/>
      <c r="Q385" s="172"/>
      <c r="R385" s="172"/>
      <c r="S385" s="172"/>
      <c r="T385" s="172"/>
    </row>
    <row r="386" spans="1:20" ht="16.5" customHeight="1">
      <c r="A386" s="171"/>
      <c r="B386" s="172"/>
      <c r="C386" s="172"/>
      <c r="D386" s="172"/>
      <c r="E386" s="172"/>
      <c r="F386" s="172"/>
      <c r="G386" s="172"/>
      <c r="H386" s="172"/>
      <c r="I386" s="172"/>
      <c r="J386" s="172"/>
      <c r="K386" s="172"/>
      <c r="L386" s="172"/>
      <c r="M386" s="172"/>
      <c r="N386" s="172"/>
      <c r="O386" s="172"/>
      <c r="P386" s="172"/>
      <c r="Q386" s="172"/>
      <c r="R386" s="172"/>
      <c r="S386" s="172"/>
      <c r="T386" s="172"/>
    </row>
    <row r="387" spans="1:20" ht="16.5" customHeight="1">
      <c r="A387" s="171"/>
      <c r="B387" s="172"/>
      <c r="C387" s="172"/>
      <c r="D387" s="172"/>
      <c r="E387" s="172"/>
      <c r="F387" s="172"/>
      <c r="G387" s="172"/>
      <c r="H387" s="172"/>
      <c r="I387" s="172"/>
      <c r="J387" s="172"/>
      <c r="K387" s="172"/>
      <c r="L387" s="172"/>
      <c r="M387" s="172"/>
      <c r="N387" s="172"/>
      <c r="O387" s="172"/>
      <c r="P387" s="172"/>
      <c r="Q387" s="172"/>
      <c r="R387" s="172"/>
      <c r="S387" s="172"/>
      <c r="T387" s="172"/>
    </row>
    <row r="388" spans="1:20" ht="16.5" customHeight="1">
      <c r="A388" s="171"/>
      <c r="B388" s="172"/>
      <c r="C388" s="172"/>
      <c r="D388" s="172"/>
      <c r="E388" s="172"/>
      <c r="F388" s="172"/>
      <c r="G388" s="172"/>
      <c r="H388" s="172"/>
      <c r="I388" s="172"/>
      <c r="J388" s="172"/>
      <c r="K388" s="172"/>
      <c r="L388" s="172"/>
      <c r="M388" s="172"/>
      <c r="N388" s="172"/>
      <c r="O388" s="172"/>
      <c r="P388" s="172"/>
      <c r="Q388" s="172"/>
      <c r="R388" s="172"/>
      <c r="S388" s="172"/>
      <c r="T388" s="172"/>
    </row>
    <row r="389" spans="1:20" ht="16.5" customHeight="1">
      <c r="A389" s="171"/>
      <c r="B389" s="172"/>
      <c r="C389" s="172"/>
      <c r="D389" s="172"/>
      <c r="E389" s="172"/>
      <c r="F389" s="172"/>
      <c r="G389" s="172"/>
      <c r="H389" s="172"/>
      <c r="I389" s="172"/>
      <c r="J389" s="172"/>
      <c r="K389" s="172"/>
      <c r="L389" s="172"/>
      <c r="M389" s="172"/>
      <c r="N389" s="172"/>
      <c r="O389" s="172"/>
      <c r="P389" s="172"/>
      <c r="Q389" s="172"/>
      <c r="R389" s="172"/>
      <c r="S389" s="172"/>
      <c r="T389" s="172"/>
    </row>
    <row r="390" spans="1:20" ht="16.5" customHeight="1">
      <c r="A390" s="171"/>
      <c r="B390" s="172"/>
      <c r="C390" s="172"/>
      <c r="D390" s="172"/>
      <c r="E390" s="172"/>
      <c r="F390" s="172"/>
      <c r="G390" s="172"/>
      <c r="H390" s="172"/>
      <c r="I390" s="172"/>
      <c r="J390" s="172"/>
      <c r="K390" s="172"/>
      <c r="L390" s="172"/>
      <c r="M390" s="172"/>
      <c r="N390" s="172"/>
      <c r="O390" s="172"/>
      <c r="P390" s="172"/>
      <c r="Q390" s="172"/>
      <c r="R390" s="172"/>
      <c r="S390" s="172"/>
      <c r="T390" s="172"/>
    </row>
    <row r="391" spans="1:20" ht="16.5" customHeight="1">
      <c r="A391" s="171"/>
      <c r="B391" s="172"/>
      <c r="C391" s="172"/>
      <c r="D391" s="172"/>
      <c r="E391" s="172"/>
      <c r="F391" s="172"/>
      <c r="G391" s="172"/>
      <c r="H391" s="172"/>
      <c r="I391" s="172"/>
      <c r="J391" s="172"/>
      <c r="K391" s="172"/>
      <c r="L391" s="172"/>
      <c r="M391" s="172"/>
      <c r="N391" s="172"/>
      <c r="O391" s="172"/>
      <c r="P391" s="172"/>
      <c r="Q391" s="172"/>
      <c r="R391" s="172"/>
      <c r="S391" s="172"/>
      <c r="T391" s="172"/>
    </row>
    <row r="392" spans="1:20" ht="16.5" customHeight="1">
      <c r="A392" s="171"/>
      <c r="B392" s="172"/>
      <c r="C392" s="172"/>
      <c r="D392" s="172"/>
      <c r="E392" s="172"/>
      <c r="F392" s="172"/>
      <c r="G392" s="172"/>
      <c r="H392" s="172"/>
      <c r="I392" s="172"/>
      <c r="J392" s="172"/>
      <c r="K392" s="172"/>
      <c r="L392" s="172"/>
      <c r="M392" s="172"/>
      <c r="N392" s="172"/>
      <c r="O392" s="172"/>
      <c r="P392" s="172"/>
      <c r="Q392" s="172"/>
      <c r="R392" s="172"/>
      <c r="S392" s="172"/>
      <c r="T392" s="172"/>
    </row>
    <row r="393" spans="1:20" ht="16.5" customHeight="1">
      <c r="A393" s="171"/>
      <c r="B393" s="172"/>
      <c r="C393" s="172"/>
      <c r="D393" s="172"/>
      <c r="E393" s="172"/>
      <c r="F393" s="172"/>
      <c r="G393" s="172"/>
      <c r="H393" s="172"/>
      <c r="I393" s="172"/>
      <c r="J393" s="172"/>
      <c r="K393" s="172"/>
      <c r="L393" s="172"/>
      <c r="M393" s="172"/>
      <c r="N393" s="172"/>
      <c r="O393" s="172"/>
      <c r="P393" s="172"/>
      <c r="Q393" s="172"/>
      <c r="R393" s="172"/>
      <c r="S393" s="172"/>
      <c r="T393" s="172"/>
    </row>
    <row r="394" spans="1:20" ht="16.5" customHeight="1">
      <c r="A394" s="171"/>
      <c r="B394" s="172"/>
      <c r="C394" s="172"/>
      <c r="D394" s="172"/>
      <c r="E394" s="172"/>
      <c r="F394" s="172"/>
      <c r="G394" s="172"/>
      <c r="H394" s="172"/>
      <c r="I394" s="172"/>
      <c r="J394" s="172"/>
      <c r="K394" s="172"/>
      <c r="L394" s="172"/>
      <c r="M394" s="172"/>
      <c r="N394" s="172"/>
      <c r="O394" s="172"/>
      <c r="P394" s="172"/>
      <c r="Q394" s="172"/>
      <c r="R394" s="172"/>
      <c r="S394" s="172"/>
      <c r="T394" s="172"/>
    </row>
    <row r="395" spans="1:20" ht="16.5" customHeight="1">
      <c r="A395" s="171"/>
      <c r="B395" s="172"/>
      <c r="C395" s="172"/>
      <c r="D395" s="172"/>
      <c r="E395" s="172"/>
      <c r="F395" s="172"/>
      <c r="G395" s="172"/>
      <c r="H395" s="172"/>
      <c r="I395" s="172"/>
      <c r="J395" s="172"/>
      <c r="K395" s="172"/>
      <c r="L395" s="172"/>
      <c r="M395" s="172"/>
      <c r="N395" s="172"/>
      <c r="O395" s="172"/>
      <c r="P395" s="172"/>
      <c r="Q395" s="172"/>
      <c r="R395" s="172"/>
      <c r="S395" s="172"/>
      <c r="T395" s="172"/>
    </row>
    <row r="396" spans="1:20" ht="16.5" customHeight="1">
      <c r="A396" s="171"/>
      <c r="B396" s="172"/>
      <c r="C396" s="172"/>
      <c r="D396" s="172"/>
      <c r="E396" s="172"/>
      <c r="F396" s="172"/>
      <c r="G396" s="172"/>
      <c r="H396" s="172"/>
      <c r="I396" s="172"/>
      <c r="J396" s="172"/>
      <c r="K396" s="172"/>
      <c r="L396" s="172"/>
      <c r="M396" s="172"/>
      <c r="N396" s="172"/>
      <c r="O396" s="172"/>
      <c r="P396" s="172"/>
      <c r="Q396" s="172"/>
      <c r="R396" s="172"/>
      <c r="S396" s="172"/>
      <c r="T396" s="172"/>
    </row>
    <row r="397" spans="1:20" ht="16.5" customHeight="1">
      <c r="A397" s="171"/>
      <c r="B397" s="172"/>
      <c r="C397" s="172"/>
      <c r="D397" s="172"/>
      <c r="E397" s="172"/>
      <c r="F397" s="172"/>
      <c r="G397" s="172"/>
      <c r="H397" s="172"/>
      <c r="I397" s="172"/>
      <c r="J397" s="172"/>
      <c r="K397" s="172"/>
      <c r="L397" s="172"/>
      <c r="M397" s="172"/>
      <c r="N397" s="172"/>
      <c r="O397" s="172"/>
      <c r="P397" s="172"/>
      <c r="Q397" s="172"/>
      <c r="R397" s="172"/>
      <c r="S397" s="172"/>
      <c r="T397" s="172"/>
    </row>
    <row r="398" spans="1:20" ht="16.5" customHeight="1">
      <c r="A398" s="171"/>
      <c r="B398" s="172"/>
      <c r="C398" s="172"/>
      <c r="D398" s="172"/>
      <c r="E398" s="172"/>
      <c r="F398" s="172"/>
      <c r="G398" s="172"/>
      <c r="H398" s="172"/>
      <c r="I398" s="172"/>
      <c r="J398" s="172"/>
      <c r="K398" s="172"/>
      <c r="L398" s="172"/>
      <c r="M398" s="172"/>
      <c r="N398" s="172"/>
      <c r="O398" s="172"/>
      <c r="P398" s="172"/>
      <c r="Q398" s="172"/>
      <c r="R398" s="172"/>
      <c r="S398" s="172"/>
      <c r="T398" s="172"/>
    </row>
    <row r="399" spans="1:20" ht="16.5" customHeight="1">
      <c r="A399" s="171"/>
      <c r="B399" s="172"/>
      <c r="C399" s="172"/>
      <c r="D399" s="172"/>
      <c r="E399" s="172"/>
      <c r="F399" s="172"/>
      <c r="G399" s="172"/>
      <c r="H399" s="172"/>
      <c r="I399" s="172"/>
      <c r="J399" s="172"/>
      <c r="K399" s="172"/>
      <c r="L399" s="172"/>
      <c r="M399" s="172"/>
      <c r="N399" s="172"/>
      <c r="O399" s="172"/>
      <c r="P399" s="172"/>
      <c r="Q399" s="172"/>
      <c r="R399" s="172"/>
      <c r="S399" s="172"/>
      <c r="T399" s="172"/>
    </row>
    <row r="400" spans="1:20" ht="16.5" customHeight="1">
      <c r="A400" s="171"/>
      <c r="B400" s="172"/>
      <c r="C400" s="172"/>
      <c r="D400" s="172"/>
      <c r="E400" s="172"/>
      <c r="F400" s="172"/>
      <c r="G400" s="172"/>
      <c r="H400" s="172"/>
      <c r="I400" s="172"/>
      <c r="J400" s="172"/>
      <c r="K400" s="172"/>
      <c r="L400" s="172"/>
      <c r="M400" s="172"/>
      <c r="N400" s="172"/>
      <c r="O400" s="172"/>
      <c r="P400" s="172"/>
      <c r="Q400" s="172"/>
      <c r="R400" s="172"/>
      <c r="S400" s="172"/>
      <c r="T400" s="172"/>
    </row>
    <row r="401" spans="1:20" ht="16.5" customHeight="1">
      <c r="A401" s="171"/>
      <c r="B401" s="172"/>
      <c r="C401" s="172"/>
      <c r="D401" s="172"/>
      <c r="E401" s="172"/>
      <c r="F401" s="172"/>
      <c r="G401" s="172"/>
      <c r="H401" s="172"/>
      <c r="I401" s="172"/>
      <c r="J401" s="172"/>
      <c r="K401" s="172"/>
      <c r="L401" s="172"/>
      <c r="M401" s="172"/>
      <c r="N401" s="172"/>
      <c r="O401" s="172"/>
      <c r="P401" s="172"/>
      <c r="Q401" s="172"/>
      <c r="R401" s="172"/>
      <c r="S401" s="172"/>
      <c r="T401" s="172"/>
    </row>
    <row r="402" spans="1:20" ht="16.5" customHeight="1">
      <c r="A402" s="171"/>
      <c r="B402" s="172"/>
      <c r="C402" s="172"/>
      <c r="D402" s="172"/>
      <c r="E402" s="172"/>
      <c r="F402" s="172"/>
      <c r="G402" s="172"/>
      <c r="H402" s="172"/>
      <c r="I402" s="172"/>
      <c r="J402" s="172"/>
      <c r="K402" s="172"/>
      <c r="L402" s="172"/>
      <c r="M402" s="172"/>
      <c r="N402" s="172"/>
      <c r="O402" s="172"/>
      <c r="P402" s="172"/>
      <c r="Q402" s="172"/>
      <c r="R402" s="172"/>
      <c r="S402" s="172"/>
      <c r="T402" s="172"/>
    </row>
    <row r="403" spans="1:20" ht="16.5" customHeight="1">
      <c r="A403" s="171"/>
      <c r="B403" s="172"/>
      <c r="C403" s="172"/>
      <c r="D403" s="172"/>
      <c r="E403" s="172"/>
      <c r="F403" s="172"/>
      <c r="G403" s="172"/>
      <c r="H403" s="172"/>
      <c r="I403" s="172"/>
      <c r="J403" s="172"/>
      <c r="K403" s="172"/>
      <c r="L403" s="172"/>
      <c r="M403" s="172"/>
      <c r="N403" s="172"/>
      <c r="O403" s="172"/>
      <c r="P403" s="172"/>
      <c r="Q403" s="172"/>
      <c r="R403" s="172"/>
      <c r="S403" s="172"/>
      <c r="T403" s="172"/>
    </row>
    <row r="404" spans="1:20" ht="16.5" customHeight="1">
      <c r="A404" s="171"/>
      <c r="B404" s="172"/>
      <c r="C404" s="172"/>
      <c r="D404" s="172"/>
      <c r="E404" s="172"/>
      <c r="F404" s="172"/>
      <c r="G404" s="172"/>
      <c r="H404" s="172"/>
      <c r="I404" s="172"/>
      <c r="J404" s="172"/>
      <c r="K404" s="172"/>
      <c r="L404" s="172"/>
      <c r="M404" s="172"/>
      <c r="N404" s="172"/>
      <c r="O404" s="172"/>
      <c r="P404" s="172"/>
      <c r="Q404" s="172"/>
      <c r="R404" s="172"/>
      <c r="S404" s="172"/>
      <c r="T404" s="172"/>
    </row>
    <row r="405" spans="1:20" ht="16.5" customHeight="1">
      <c r="A405" s="171"/>
      <c r="B405" s="172"/>
      <c r="C405" s="172"/>
      <c r="D405" s="172"/>
      <c r="E405" s="172"/>
      <c r="F405" s="172"/>
      <c r="G405" s="172"/>
      <c r="H405" s="172"/>
      <c r="I405" s="172"/>
      <c r="J405" s="172"/>
      <c r="K405" s="172"/>
      <c r="L405" s="172"/>
      <c r="M405" s="172"/>
      <c r="N405" s="172"/>
      <c r="O405" s="172"/>
      <c r="P405" s="172"/>
      <c r="Q405" s="172"/>
      <c r="R405" s="172"/>
      <c r="S405" s="172"/>
      <c r="T405" s="172"/>
    </row>
    <row r="406" spans="1:20" ht="16.5" customHeight="1">
      <c r="A406" s="171"/>
      <c r="B406" s="172"/>
      <c r="C406" s="172"/>
      <c r="D406" s="172"/>
      <c r="E406" s="172"/>
      <c r="F406" s="172"/>
      <c r="G406" s="172"/>
      <c r="H406" s="172"/>
      <c r="I406" s="172"/>
      <c r="J406" s="172"/>
      <c r="K406" s="172"/>
      <c r="L406" s="172"/>
      <c r="M406" s="172"/>
      <c r="N406" s="172"/>
      <c r="O406" s="172"/>
      <c r="P406" s="172"/>
      <c r="Q406" s="172"/>
      <c r="R406" s="172"/>
      <c r="S406" s="172"/>
      <c r="T406" s="172"/>
    </row>
    <row r="407" spans="1:20" ht="16.5" customHeight="1">
      <c r="A407" s="171"/>
      <c r="B407" s="172"/>
      <c r="C407" s="172"/>
      <c r="D407" s="172"/>
      <c r="E407" s="172"/>
      <c r="F407" s="172"/>
      <c r="G407" s="172"/>
      <c r="H407" s="172"/>
      <c r="I407" s="172"/>
      <c r="J407" s="172"/>
      <c r="K407" s="172"/>
      <c r="L407" s="172"/>
      <c r="M407" s="172"/>
      <c r="N407" s="172"/>
      <c r="O407" s="172"/>
      <c r="P407" s="172"/>
      <c r="Q407" s="172"/>
      <c r="R407" s="172"/>
      <c r="S407" s="172"/>
      <c r="T407" s="172"/>
    </row>
    <row r="408" spans="1:20" ht="16.5" customHeight="1">
      <c r="A408" s="171"/>
      <c r="B408" s="172"/>
      <c r="C408" s="172"/>
      <c r="D408" s="172"/>
      <c r="E408" s="172"/>
      <c r="F408" s="172"/>
      <c r="G408" s="172"/>
      <c r="H408" s="172"/>
      <c r="I408" s="172"/>
      <c r="J408" s="172"/>
      <c r="K408" s="172"/>
      <c r="L408" s="172"/>
      <c r="M408" s="172"/>
      <c r="N408" s="172"/>
      <c r="O408" s="172"/>
      <c r="P408" s="172"/>
      <c r="Q408" s="172"/>
      <c r="R408" s="172"/>
      <c r="S408" s="172"/>
      <c r="T408" s="172"/>
    </row>
    <row r="409" spans="1:20" ht="16.5" customHeight="1">
      <c r="A409" s="171"/>
      <c r="B409" s="172"/>
      <c r="C409" s="172"/>
      <c r="D409" s="172"/>
      <c r="E409" s="172"/>
      <c r="F409" s="172"/>
      <c r="G409" s="172"/>
      <c r="H409" s="172"/>
      <c r="I409" s="172"/>
      <c r="J409" s="172"/>
      <c r="K409" s="172"/>
      <c r="L409" s="172"/>
      <c r="M409" s="172"/>
      <c r="N409" s="172"/>
      <c r="O409" s="172"/>
      <c r="P409" s="172"/>
      <c r="Q409" s="172"/>
      <c r="R409" s="172"/>
      <c r="S409" s="172"/>
      <c r="T409" s="172"/>
    </row>
    <row r="410" spans="1:20" ht="16.5" customHeight="1">
      <c r="A410" s="171"/>
      <c r="B410" s="172"/>
      <c r="C410" s="172"/>
      <c r="D410" s="172"/>
      <c r="E410" s="172"/>
      <c r="F410" s="172"/>
      <c r="G410" s="172"/>
      <c r="H410" s="172"/>
      <c r="I410" s="172"/>
      <c r="J410" s="172"/>
      <c r="K410" s="172"/>
      <c r="L410" s="172"/>
      <c r="M410" s="172"/>
      <c r="N410" s="172"/>
      <c r="O410" s="172"/>
      <c r="P410" s="172"/>
      <c r="Q410" s="172"/>
      <c r="R410" s="172"/>
      <c r="S410" s="172"/>
      <c r="T410" s="172"/>
    </row>
    <row r="411" spans="1:20" ht="16.5" customHeight="1">
      <c r="A411" s="171"/>
      <c r="B411" s="172"/>
      <c r="C411" s="172"/>
      <c r="D411" s="172"/>
      <c r="E411" s="172"/>
      <c r="F411" s="172"/>
      <c r="G411" s="172"/>
      <c r="H411" s="172"/>
      <c r="I411" s="172"/>
      <c r="J411" s="172"/>
      <c r="K411" s="172"/>
      <c r="L411" s="172"/>
      <c r="M411" s="172"/>
      <c r="N411" s="172"/>
      <c r="O411" s="172"/>
      <c r="P411" s="172"/>
      <c r="Q411" s="172"/>
      <c r="R411" s="172"/>
      <c r="S411" s="172"/>
      <c r="T411" s="172"/>
    </row>
    <row r="412" spans="1:20" ht="16.5" customHeight="1">
      <c r="A412" s="171"/>
      <c r="B412" s="172"/>
      <c r="C412" s="172"/>
      <c r="D412" s="172"/>
      <c r="E412" s="172"/>
      <c r="F412" s="172"/>
      <c r="G412" s="172"/>
      <c r="H412" s="172"/>
      <c r="I412" s="172"/>
      <c r="J412" s="172"/>
      <c r="K412" s="172"/>
      <c r="L412" s="172"/>
      <c r="M412" s="172"/>
      <c r="N412" s="172"/>
      <c r="O412" s="172"/>
      <c r="P412" s="172"/>
      <c r="Q412" s="172"/>
      <c r="R412" s="172"/>
      <c r="S412" s="172"/>
      <c r="T412" s="172"/>
    </row>
    <row r="413" spans="1:20" ht="16.5" customHeight="1">
      <c r="A413" s="171"/>
      <c r="B413" s="172"/>
      <c r="C413" s="172"/>
      <c r="D413" s="172"/>
      <c r="E413" s="172"/>
      <c r="F413" s="172"/>
      <c r="G413" s="172"/>
      <c r="H413" s="172"/>
      <c r="I413" s="172"/>
      <c r="J413" s="172"/>
      <c r="K413" s="172"/>
      <c r="L413" s="172"/>
      <c r="M413" s="172"/>
      <c r="N413" s="172"/>
      <c r="O413" s="172"/>
      <c r="P413" s="172"/>
      <c r="Q413" s="172"/>
      <c r="R413" s="172"/>
      <c r="S413" s="172"/>
      <c r="T413" s="172"/>
    </row>
    <row r="414" spans="1:20" ht="16.5" customHeight="1">
      <c r="A414" s="171"/>
      <c r="B414" s="172"/>
      <c r="C414" s="172"/>
      <c r="D414" s="172"/>
      <c r="E414" s="172"/>
      <c r="F414" s="172"/>
      <c r="G414" s="172"/>
      <c r="H414" s="172"/>
      <c r="I414" s="172"/>
      <c r="J414" s="172"/>
      <c r="K414" s="172"/>
      <c r="L414" s="172"/>
      <c r="M414" s="172"/>
      <c r="N414" s="172"/>
      <c r="O414" s="172"/>
      <c r="P414" s="172"/>
      <c r="Q414" s="172"/>
      <c r="R414" s="172"/>
      <c r="S414" s="172"/>
      <c r="T414" s="172"/>
    </row>
    <row r="415" spans="1:20" ht="16.5" customHeight="1">
      <c r="A415" s="171"/>
      <c r="B415" s="172"/>
      <c r="C415" s="172"/>
      <c r="D415" s="172"/>
      <c r="E415" s="172"/>
      <c r="F415" s="172"/>
      <c r="G415" s="172"/>
      <c r="H415" s="172"/>
      <c r="I415" s="172"/>
      <c r="J415" s="172"/>
      <c r="K415" s="172"/>
      <c r="L415" s="172"/>
      <c r="M415" s="172"/>
      <c r="N415" s="172"/>
      <c r="O415" s="172"/>
      <c r="P415" s="172"/>
      <c r="Q415" s="172"/>
      <c r="R415" s="172"/>
      <c r="S415" s="172"/>
      <c r="T415" s="172"/>
    </row>
    <row r="416" spans="1:20" ht="16.5" customHeight="1">
      <c r="A416" s="171"/>
      <c r="B416" s="172"/>
      <c r="C416" s="172"/>
      <c r="D416" s="172"/>
      <c r="E416" s="172"/>
      <c r="F416" s="172"/>
      <c r="G416" s="172"/>
      <c r="H416" s="172"/>
      <c r="I416" s="172"/>
      <c r="J416" s="172"/>
      <c r="K416" s="172"/>
      <c r="L416" s="172"/>
      <c r="M416" s="172"/>
      <c r="N416" s="172"/>
      <c r="O416" s="172"/>
      <c r="P416" s="172"/>
      <c r="Q416" s="172"/>
      <c r="R416" s="172"/>
      <c r="S416" s="172"/>
      <c r="T416" s="172"/>
    </row>
    <row r="417" spans="1:20" ht="16.5" customHeight="1">
      <c r="A417" s="171"/>
      <c r="B417" s="172"/>
      <c r="C417" s="172"/>
      <c r="D417" s="172"/>
      <c r="E417" s="172"/>
      <c r="F417" s="172"/>
      <c r="G417" s="172"/>
      <c r="H417" s="172"/>
      <c r="I417" s="172"/>
      <c r="J417" s="172"/>
      <c r="K417" s="172"/>
      <c r="L417" s="172"/>
      <c r="M417" s="172"/>
      <c r="N417" s="172"/>
      <c r="O417" s="172"/>
      <c r="P417" s="172"/>
      <c r="Q417" s="172"/>
      <c r="R417" s="172"/>
      <c r="S417" s="172"/>
      <c r="T417" s="172"/>
    </row>
    <row r="418" spans="1:20" ht="16.5" customHeight="1">
      <c r="A418" s="171"/>
      <c r="B418" s="172"/>
      <c r="C418" s="172"/>
      <c r="D418" s="172"/>
      <c r="E418" s="172"/>
      <c r="F418" s="172"/>
      <c r="G418" s="172"/>
      <c r="H418" s="172"/>
      <c r="I418" s="172"/>
      <c r="J418" s="172"/>
      <c r="K418" s="172"/>
      <c r="L418" s="172"/>
      <c r="M418" s="172"/>
      <c r="N418" s="172"/>
      <c r="O418" s="172"/>
      <c r="P418" s="172"/>
      <c r="Q418" s="172"/>
      <c r="R418" s="172"/>
      <c r="S418" s="172"/>
      <c r="T418" s="172"/>
    </row>
    <row r="419" spans="1:20" ht="16.5" customHeight="1">
      <c r="A419" s="171"/>
      <c r="B419" s="172"/>
      <c r="C419" s="172"/>
      <c r="D419" s="172"/>
      <c r="E419" s="172"/>
      <c r="F419" s="172"/>
      <c r="G419" s="172"/>
      <c r="H419" s="172"/>
      <c r="I419" s="172"/>
      <c r="J419" s="172"/>
      <c r="K419" s="172"/>
      <c r="L419" s="172"/>
      <c r="M419" s="172"/>
      <c r="N419" s="172"/>
      <c r="O419" s="172"/>
      <c r="P419" s="172"/>
      <c r="Q419" s="172"/>
      <c r="R419" s="172"/>
      <c r="S419" s="172"/>
      <c r="T419" s="172"/>
    </row>
    <row r="420" spans="1:20" ht="16.5" customHeight="1">
      <c r="A420" s="171"/>
      <c r="B420" s="172"/>
      <c r="C420" s="172"/>
      <c r="D420" s="172"/>
      <c r="E420" s="172"/>
      <c r="F420" s="172"/>
      <c r="G420" s="172"/>
      <c r="H420" s="172"/>
      <c r="I420" s="172"/>
      <c r="J420" s="172"/>
      <c r="K420" s="172"/>
      <c r="L420" s="172"/>
      <c r="M420" s="172"/>
      <c r="N420" s="172"/>
      <c r="O420" s="172"/>
      <c r="P420" s="172"/>
      <c r="Q420" s="172"/>
      <c r="R420" s="172"/>
      <c r="S420" s="172"/>
      <c r="T420" s="172"/>
    </row>
    <row r="421" spans="1:20" ht="16.5" customHeight="1">
      <c r="A421" s="171"/>
      <c r="B421" s="172"/>
      <c r="C421" s="172"/>
      <c r="D421" s="172"/>
      <c r="E421" s="172"/>
      <c r="F421" s="172"/>
      <c r="G421" s="172"/>
      <c r="H421" s="172"/>
      <c r="I421" s="172"/>
      <c r="J421" s="172"/>
      <c r="K421" s="172"/>
      <c r="L421" s="172"/>
      <c r="M421" s="172"/>
      <c r="N421" s="172"/>
      <c r="O421" s="172"/>
      <c r="P421" s="172"/>
      <c r="Q421" s="172"/>
      <c r="R421" s="172"/>
      <c r="S421" s="172"/>
      <c r="T421" s="172"/>
    </row>
    <row r="422" spans="1:20" ht="16.5" customHeight="1">
      <c r="A422" s="171"/>
      <c r="B422" s="172"/>
      <c r="C422" s="172"/>
      <c r="D422" s="172"/>
      <c r="E422" s="172"/>
      <c r="F422" s="172"/>
      <c r="G422" s="172"/>
      <c r="H422" s="172"/>
      <c r="I422" s="172"/>
      <c r="J422" s="172"/>
      <c r="K422" s="172"/>
      <c r="L422" s="172"/>
      <c r="M422" s="172"/>
      <c r="N422" s="172"/>
      <c r="O422" s="172"/>
      <c r="P422" s="172"/>
      <c r="Q422" s="172"/>
      <c r="R422" s="172"/>
      <c r="S422" s="172"/>
      <c r="T422" s="172"/>
    </row>
    <row r="423" spans="1:20" ht="16.5" customHeight="1">
      <c r="A423" s="171"/>
      <c r="B423" s="172"/>
      <c r="C423" s="172"/>
      <c r="D423" s="172"/>
      <c r="E423" s="172"/>
      <c r="F423" s="172"/>
      <c r="G423" s="172"/>
      <c r="H423" s="172"/>
      <c r="I423" s="172"/>
      <c r="J423" s="172"/>
      <c r="K423" s="172"/>
      <c r="L423" s="172"/>
      <c r="M423" s="172"/>
      <c r="N423" s="172"/>
      <c r="O423" s="172"/>
      <c r="P423" s="172"/>
      <c r="Q423" s="172"/>
      <c r="R423" s="172"/>
      <c r="S423" s="172"/>
      <c r="T423" s="172"/>
    </row>
    <row r="424" spans="1:20" ht="16.5" customHeight="1">
      <c r="A424" s="171"/>
      <c r="B424" s="172"/>
      <c r="C424" s="172"/>
      <c r="D424" s="172"/>
      <c r="E424" s="172"/>
      <c r="F424" s="172"/>
      <c r="G424" s="172"/>
      <c r="H424" s="172"/>
      <c r="I424" s="172"/>
      <c r="J424" s="172"/>
      <c r="K424" s="172"/>
      <c r="L424" s="172"/>
      <c r="M424" s="172"/>
      <c r="N424" s="172"/>
      <c r="O424" s="172"/>
      <c r="P424" s="172"/>
      <c r="Q424" s="172"/>
      <c r="R424" s="172"/>
      <c r="S424" s="172"/>
      <c r="T424" s="172"/>
    </row>
    <row r="425" spans="1:20" ht="16.5" customHeight="1">
      <c r="A425" s="171"/>
      <c r="B425" s="172"/>
      <c r="C425" s="172"/>
      <c r="D425" s="172"/>
      <c r="E425" s="172"/>
      <c r="F425" s="172"/>
      <c r="G425" s="172"/>
      <c r="H425" s="172"/>
      <c r="I425" s="172"/>
      <c r="J425" s="172"/>
      <c r="K425" s="172"/>
      <c r="L425" s="172"/>
      <c r="M425" s="172"/>
      <c r="N425" s="172"/>
      <c r="O425" s="172"/>
      <c r="P425" s="172"/>
      <c r="Q425" s="172"/>
      <c r="R425" s="172"/>
      <c r="S425" s="172"/>
      <c r="T425" s="172"/>
    </row>
    <row r="426" spans="1:20" ht="16.5" customHeight="1">
      <c r="A426" s="171"/>
      <c r="B426" s="172"/>
      <c r="C426" s="172"/>
      <c r="D426" s="172"/>
      <c r="E426" s="172"/>
      <c r="F426" s="172"/>
      <c r="G426" s="172"/>
      <c r="H426" s="172"/>
      <c r="I426" s="172"/>
      <c r="J426" s="172"/>
      <c r="K426" s="172"/>
      <c r="L426" s="172"/>
      <c r="M426" s="172"/>
      <c r="N426" s="172"/>
      <c r="O426" s="172"/>
      <c r="P426" s="172"/>
      <c r="Q426" s="172"/>
      <c r="R426" s="172"/>
      <c r="S426" s="172"/>
      <c r="T426" s="172"/>
    </row>
    <row r="427" spans="1:20" ht="16.5" customHeight="1">
      <c r="A427" s="171"/>
      <c r="B427" s="172"/>
      <c r="C427" s="172"/>
      <c r="D427" s="172"/>
      <c r="E427" s="172"/>
      <c r="F427" s="172"/>
      <c r="G427" s="172"/>
      <c r="H427" s="172"/>
      <c r="I427" s="172"/>
      <c r="J427" s="172"/>
      <c r="K427" s="172"/>
      <c r="L427" s="172"/>
      <c r="M427" s="172"/>
      <c r="N427" s="172"/>
      <c r="O427" s="172"/>
      <c r="P427" s="172"/>
      <c r="Q427" s="172"/>
      <c r="R427" s="172"/>
      <c r="S427" s="172"/>
      <c r="T427" s="172"/>
    </row>
    <row r="428" spans="1:20" ht="16.5" customHeight="1">
      <c r="A428" s="171"/>
      <c r="B428" s="172"/>
      <c r="C428" s="172"/>
      <c r="D428" s="172"/>
      <c r="E428" s="172"/>
      <c r="F428" s="172"/>
      <c r="G428" s="172"/>
      <c r="H428" s="172"/>
      <c r="I428" s="172"/>
      <c r="J428" s="172"/>
      <c r="K428" s="172"/>
      <c r="L428" s="172"/>
      <c r="M428" s="172"/>
      <c r="N428" s="172"/>
      <c r="O428" s="172"/>
      <c r="P428" s="172"/>
      <c r="Q428" s="172"/>
      <c r="R428" s="172"/>
      <c r="S428" s="172"/>
      <c r="T428" s="172"/>
    </row>
    <row r="429" spans="1:20" ht="16.5" customHeight="1">
      <c r="A429" s="171"/>
      <c r="B429" s="172"/>
      <c r="C429" s="172"/>
      <c r="D429" s="172"/>
      <c r="E429" s="172"/>
      <c r="F429" s="172"/>
      <c r="G429" s="172"/>
      <c r="H429" s="172"/>
      <c r="I429" s="172"/>
      <c r="J429" s="172"/>
      <c r="K429" s="172"/>
      <c r="L429" s="172"/>
      <c r="M429" s="172"/>
      <c r="N429" s="172"/>
      <c r="O429" s="172"/>
      <c r="P429" s="172"/>
      <c r="Q429" s="172"/>
      <c r="R429" s="172"/>
      <c r="S429" s="172"/>
      <c r="T429" s="172"/>
    </row>
    <row r="430" spans="1:20" ht="16.5" customHeight="1">
      <c r="A430" s="171"/>
      <c r="B430" s="172"/>
      <c r="C430" s="172"/>
      <c r="D430" s="172"/>
      <c r="E430" s="172"/>
      <c r="F430" s="172"/>
      <c r="G430" s="172"/>
      <c r="H430" s="172"/>
      <c r="I430" s="172"/>
      <c r="J430" s="172"/>
      <c r="K430" s="172"/>
      <c r="L430" s="172"/>
      <c r="M430" s="172"/>
      <c r="N430" s="172"/>
      <c r="O430" s="172"/>
      <c r="P430" s="172"/>
      <c r="Q430" s="172"/>
      <c r="R430" s="172"/>
      <c r="S430" s="172"/>
      <c r="T430" s="172"/>
    </row>
    <row r="431" spans="1:20" ht="16.5" customHeight="1">
      <c r="A431" s="171"/>
      <c r="B431" s="172"/>
      <c r="C431" s="172"/>
      <c r="D431" s="172"/>
      <c r="E431" s="172"/>
      <c r="F431" s="172"/>
      <c r="G431" s="172"/>
      <c r="H431" s="172"/>
      <c r="I431" s="172"/>
      <c r="J431" s="172"/>
      <c r="K431" s="172"/>
      <c r="L431" s="172"/>
      <c r="M431" s="172"/>
      <c r="N431" s="172"/>
      <c r="O431" s="172"/>
      <c r="P431" s="172"/>
      <c r="Q431" s="172"/>
      <c r="R431" s="172"/>
      <c r="S431" s="172"/>
      <c r="T431" s="172"/>
    </row>
    <row r="432" spans="1:20" ht="16.5" customHeight="1">
      <c r="A432" s="171"/>
      <c r="B432" s="172"/>
      <c r="C432" s="172"/>
      <c r="D432" s="172"/>
      <c r="E432" s="172"/>
      <c r="F432" s="172"/>
      <c r="G432" s="172"/>
      <c r="H432" s="172"/>
      <c r="I432" s="172"/>
      <c r="J432" s="172"/>
      <c r="K432" s="172"/>
      <c r="L432" s="172"/>
      <c r="M432" s="172"/>
      <c r="N432" s="172"/>
      <c r="O432" s="172"/>
      <c r="P432" s="172"/>
      <c r="Q432" s="172"/>
      <c r="R432" s="172"/>
      <c r="S432" s="172"/>
      <c r="T432" s="172"/>
    </row>
    <row r="433" spans="1:20" ht="16.5" customHeight="1">
      <c r="A433" s="171"/>
      <c r="B433" s="172"/>
      <c r="C433" s="172"/>
      <c r="D433" s="172"/>
      <c r="E433" s="172"/>
      <c r="F433" s="172"/>
      <c r="G433" s="172"/>
      <c r="H433" s="172"/>
      <c r="I433" s="172"/>
      <c r="J433" s="172"/>
      <c r="K433" s="172"/>
      <c r="L433" s="172"/>
      <c r="M433" s="172"/>
      <c r="N433" s="172"/>
      <c r="O433" s="172"/>
      <c r="P433" s="172"/>
      <c r="Q433" s="172"/>
      <c r="R433" s="172"/>
      <c r="S433" s="172"/>
      <c r="T433" s="172"/>
    </row>
    <row r="434" spans="1:20" ht="16.5" customHeight="1">
      <c r="A434" s="171"/>
      <c r="B434" s="172"/>
      <c r="C434" s="172"/>
      <c r="D434" s="172"/>
      <c r="E434" s="172"/>
      <c r="F434" s="172"/>
      <c r="G434" s="172"/>
      <c r="H434" s="172"/>
      <c r="I434" s="172"/>
      <c r="J434" s="172"/>
      <c r="K434" s="172"/>
      <c r="L434" s="172"/>
      <c r="M434" s="172"/>
      <c r="N434" s="172"/>
      <c r="O434" s="172"/>
      <c r="P434" s="172"/>
      <c r="Q434" s="172"/>
      <c r="R434" s="172"/>
      <c r="S434" s="172"/>
      <c r="T434" s="172"/>
    </row>
    <row r="435" spans="1:20" ht="16.5" customHeight="1">
      <c r="A435" s="171"/>
      <c r="B435" s="172"/>
      <c r="C435" s="172"/>
      <c r="D435" s="172"/>
      <c r="E435" s="172"/>
      <c r="F435" s="172"/>
      <c r="G435" s="172"/>
      <c r="H435" s="172"/>
      <c r="I435" s="172"/>
      <c r="J435" s="172"/>
      <c r="K435" s="172"/>
      <c r="L435" s="172"/>
      <c r="M435" s="172"/>
      <c r="N435" s="172"/>
      <c r="O435" s="172"/>
      <c r="P435" s="172"/>
      <c r="Q435" s="172"/>
      <c r="R435" s="172"/>
      <c r="S435" s="172"/>
      <c r="T435" s="172"/>
    </row>
    <row r="436" spans="1:20" ht="16.5" customHeight="1">
      <c r="A436" s="171"/>
      <c r="B436" s="172"/>
      <c r="C436" s="172"/>
      <c r="D436" s="172"/>
      <c r="E436" s="172"/>
      <c r="F436" s="172"/>
      <c r="G436" s="172"/>
      <c r="H436" s="172"/>
      <c r="I436" s="172"/>
      <c r="J436" s="172"/>
      <c r="K436" s="172"/>
      <c r="L436" s="172"/>
      <c r="M436" s="172"/>
      <c r="N436" s="172"/>
      <c r="O436" s="172"/>
      <c r="P436" s="172"/>
      <c r="Q436" s="172"/>
      <c r="R436" s="172"/>
      <c r="S436" s="172"/>
      <c r="T436" s="172"/>
    </row>
    <row r="437" spans="1:20" ht="16.5" customHeight="1">
      <c r="A437" s="171"/>
      <c r="B437" s="172"/>
      <c r="C437" s="172"/>
      <c r="D437" s="172"/>
      <c r="E437" s="172"/>
      <c r="F437" s="172"/>
      <c r="G437" s="172"/>
      <c r="H437" s="172"/>
      <c r="I437" s="172"/>
      <c r="J437" s="172"/>
      <c r="K437" s="172"/>
      <c r="L437" s="172"/>
      <c r="M437" s="172"/>
      <c r="N437" s="172"/>
      <c r="O437" s="172"/>
      <c r="P437" s="172"/>
      <c r="Q437" s="172"/>
      <c r="R437" s="172"/>
      <c r="S437" s="172"/>
      <c r="T437" s="172"/>
    </row>
    <row r="438" spans="1:20" ht="16.5" customHeight="1">
      <c r="A438" s="171"/>
      <c r="B438" s="172"/>
      <c r="C438" s="172"/>
      <c r="D438" s="172"/>
      <c r="E438" s="172"/>
      <c r="F438" s="172"/>
      <c r="G438" s="172"/>
      <c r="H438" s="172"/>
      <c r="I438" s="172"/>
      <c r="J438" s="172"/>
      <c r="K438" s="172"/>
      <c r="L438" s="172"/>
      <c r="M438" s="172"/>
      <c r="N438" s="172"/>
      <c r="O438" s="172"/>
      <c r="P438" s="172"/>
      <c r="Q438" s="172"/>
      <c r="R438" s="172"/>
      <c r="S438" s="172"/>
      <c r="T438" s="172"/>
    </row>
    <row r="439" spans="1:20" ht="16.5" customHeight="1">
      <c r="A439" s="171"/>
      <c r="B439" s="172"/>
      <c r="C439" s="172"/>
      <c r="D439" s="172"/>
      <c r="E439" s="172"/>
      <c r="F439" s="172"/>
      <c r="G439" s="172"/>
      <c r="H439" s="172"/>
      <c r="I439" s="172"/>
      <c r="J439" s="172"/>
      <c r="K439" s="172"/>
      <c r="L439" s="172"/>
      <c r="M439" s="172"/>
      <c r="N439" s="172"/>
      <c r="O439" s="172"/>
      <c r="P439" s="172"/>
      <c r="Q439" s="172"/>
      <c r="R439" s="172"/>
      <c r="S439" s="172"/>
      <c r="T439" s="172"/>
    </row>
    <row r="440" spans="1:20" ht="16.5" customHeight="1">
      <c r="A440" s="171"/>
      <c r="B440" s="172"/>
      <c r="C440" s="172"/>
      <c r="D440" s="172"/>
      <c r="E440" s="172"/>
      <c r="F440" s="172"/>
      <c r="G440" s="172"/>
      <c r="H440" s="172"/>
      <c r="I440" s="172"/>
      <c r="J440" s="172"/>
      <c r="K440" s="172"/>
      <c r="L440" s="172"/>
      <c r="M440" s="172"/>
      <c r="N440" s="172"/>
      <c r="O440" s="172"/>
      <c r="P440" s="172"/>
      <c r="Q440" s="172"/>
      <c r="R440" s="172"/>
      <c r="S440" s="172"/>
      <c r="T440" s="172"/>
    </row>
    <row r="441" spans="1:20" ht="16.5" customHeight="1">
      <c r="A441" s="171"/>
      <c r="B441" s="172"/>
      <c r="C441" s="172"/>
      <c r="D441" s="172"/>
      <c r="E441" s="172"/>
      <c r="F441" s="172"/>
      <c r="G441" s="172"/>
      <c r="H441" s="172"/>
      <c r="I441" s="172"/>
      <c r="J441" s="172"/>
      <c r="K441" s="172"/>
      <c r="L441" s="172"/>
      <c r="M441" s="172"/>
      <c r="N441" s="172"/>
      <c r="O441" s="172"/>
      <c r="P441" s="172"/>
      <c r="Q441" s="172"/>
      <c r="R441" s="172"/>
      <c r="S441" s="172"/>
      <c r="T441" s="172"/>
    </row>
    <row r="442" spans="1:20" ht="16.5" customHeight="1">
      <c r="A442" s="171"/>
      <c r="B442" s="172"/>
      <c r="C442" s="172"/>
      <c r="D442" s="172"/>
      <c r="E442" s="172"/>
      <c r="F442" s="172"/>
      <c r="G442" s="172"/>
      <c r="H442" s="172"/>
      <c r="I442" s="172"/>
      <c r="J442" s="172"/>
      <c r="K442" s="172"/>
      <c r="L442" s="172"/>
      <c r="M442" s="172"/>
      <c r="N442" s="172"/>
      <c r="O442" s="172"/>
      <c r="P442" s="172"/>
      <c r="Q442" s="172"/>
      <c r="R442" s="172"/>
      <c r="S442" s="172"/>
      <c r="T442" s="172"/>
    </row>
    <row r="443" spans="1:20" ht="16.5" customHeight="1">
      <c r="A443" s="171"/>
      <c r="B443" s="172"/>
      <c r="C443" s="172"/>
      <c r="D443" s="172"/>
      <c r="E443" s="172"/>
      <c r="F443" s="172"/>
      <c r="G443" s="172"/>
      <c r="H443" s="172"/>
      <c r="I443" s="172"/>
      <c r="J443" s="172"/>
      <c r="K443" s="172"/>
      <c r="L443" s="172"/>
      <c r="M443" s="172"/>
      <c r="N443" s="172"/>
      <c r="O443" s="172"/>
      <c r="P443" s="172"/>
      <c r="Q443" s="172"/>
      <c r="R443" s="172"/>
      <c r="S443" s="172"/>
      <c r="T443" s="172"/>
    </row>
    <row r="444" spans="1:20" ht="16.5" customHeight="1">
      <c r="A444" s="171"/>
      <c r="B444" s="172"/>
      <c r="C444" s="172"/>
      <c r="D444" s="172"/>
      <c r="E444" s="172"/>
      <c r="F444" s="172"/>
      <c r="G444" s="172"/>
      <c r="H444" s="172"/>
      <c r="I444" s="172"/>
      <c r="J444" s="172"/>
      <c r="K444" s="172"/>
      <c r="L444" s="172"/>
      <c r="M444" s="172"/>
      <c r="N444" s="172"/>
      <c r="O444" s="172"/>
      <c r="P444" s="172"/>
      <c r="Q444" s="172"/>
      <c r="R444" s="172"/>
      <c r="S444" s="172"/>
      <c r="T444" s="172"/>
    </row>
    <row r="445" spans="1:20" ht="16.5" customHeight="1">
      <c r="A445" s="171"/>
      <c r="B445" s="172"/>
      <c r="C445" s="172"/>
      <c r="D445" s="172"/>
      <c r="E445" s="172"/>
      <c r="F445" s="172"/>
      <c r="G445" s="172"/>
      <c r="H445" s="172"/>
      <c r="I445" s="172"/>
      <c r="J445" s="172"/>
      <c r="K445" s="172"/>
      <c r="L445" s="172"/>
      <c r="M445" s="172"/>
      <c r="N445" s="172"/>
      <c r="O445" s="172"/>
      <c r="P445" s="172"/>
      <c r="Q445" s="172"/>
      <c r="R445" s="172"/>
      <c r="S445" s="172"/>
      <c r="T445" s="172"/>
    </row>
    <row r="446" spans="1:20" ht="16.5" customHeight="1">
      <c r="A446" s="171"/>
      <c r="B446" s="172"/>
      <c r="C446" s="172"/>
      <c r="D446" s="172"/>
      <c r="E446" s="172"/>
      <c r="F446" s="172"/>
      <c r="G446" s="172"/>
      <c r="H446" s="172"/>
      <c r="I446" s="172"/>
      <c r="J446" s="172"/>
      <c r="K446" s="172"/>
      <c r="L446" s="172"/>
      <c r="M446" s="172"/>
      <c r="N446" s="172"/>
      <c r="O446" s="172"/>
      <c r="P446" s="172"/>
      <c r="Q446" s="172"/>
      <c r="R446" s="172"/>
      <c r="S446" s="172"/>
      <c r="T446" s="172"/>
    </row>
    <row r="447" spans="1:20" ht="16.5" customHeight="1">
      <c r="A447" s="171"/>
      <c r="B447" s="172"/>
      <c r="C447" s="172"/>
      <c r="D447" s="172"/>
      <c r="E447" s="172"/>
      <c r="F447" s="172"/>
      <c r="G447" s="172"/>
      <c r="H447" s="172"/>
      <c r="I447" s="172"/>
      <c r="J447" s="172"/>
      <c r="K447" s="172"/>
      <c r="L447" s="172"/>
      <c r="M447" s="172"/>
      <c r="N447" s="172"/>
      <c r="O447" s="172"/>
      <c r="P447" s="172"/>
      <c r="Q447" s="172"/>
      <c r="R447" s="172"/>
      <c r="S447" s="172"/>
      <c r="T447" s="172"/>
    </row>
    <row r="448" spans="1:20" ht="16.5" customHeight="1">
      <c r="A448" s="171"/>
      <c r="B448" s="172"/>
      <c r="C448" s="172"/>
      <c r="D448" s="172"/>
      <c r="E448" s="172"/>
      <c r="F448" s="172"/>
      <c r="G448" s="172"/>
      <c r="H448" s="172"/>
      <c r="I448" s="172"/>
      <c r="J448" s="172"/>
      <c r="K448" s="172"/>
      <c r="L448" s="172"/>
      <c r="M448" s="172"/>
      <c r="N448" s="172"/>
      <c r="O448" s="172"/>
      <c r="P448" s="172"/>
      <c r="Q448" s="172"/>
      <c r="R448" s="172"/>
      <c r="S448" s="172"/>
      <c r="T448" s="172"/>
    </row>
    <row r="449" spans="1:20" ht="16.5" customHeight="1">
      <c r="A449" s="171"/>
      <c r="B449" s="172"/>
      <c r="C449" s="172"/>
      <c r="D449" s="172"/>
      <c r="E449" s="172"/>
      <c r="F449" s="172"/>
      <c r="G449" s="172"/>
      <c r="H449" s="172"/>
      <c r="I449" s="172"/>
      <c r="J449" s="172"/>
      <c r="K449" s="172"/>
      <c r="L449" s="172"/>
      <c r="M449" s="172"/>
      <c r="N449" s="172"/>
      <c r="O449" s="172"/>
      <c r="P449" s="172"/>
      <c r="Q449" s="172"/>
      <c r="R449" s="172"/>
      <c r="S449" s="172"/>
      <c r="T449" s="172"/>
    </row>
    <row r="450" spans="1:20" ht="16.5" customHeight="1">
      <c r="A450" s="171"/>
      <c r="B450" s="172"/>
      <c r="C450" s="172"/>
      <c r="D450" s="172"/>
      <c r="E450" s="172"/>
      <c r="F450" s="172"/>
      <c r="G450" s="172"/>
      <c r="H450" s="172"/>
      <c r="I450" s="172"/>
      <c r="J450" s="172"/>
      <c r="K450" s="172"/>
      <c r="L450" s="172"/>
      <c r="M450" s="172"/>
      <c r="N450" s="172"/>
      <c r="O450" s="172"/>
      <c r="P450" s="172"/>
      <c r="Q450" s="172"/>
      <c r="R450" s="172"/>
      <c r="S450" s="172"/>
      <c r="T450" s="172"/>
    </row>
    <row r="451" spans="1:20" ht="16.5" customHeight="1">
      <c r="A451" s="171"/>
      <c r="B451" s="172"/>
      <c r="C451" s="172"/>
      <c r="D451" s="172"/>
      <c r="E451" s="172"/>
      <c r="F451" s="172"/>
      <c r="G451" s="172"/>
      <c r="H451" s="172"/>
      <c r="I451" s="172"/>
      <c r="J451" s="172"/>
      <c r="K451" s="172"/>
      <c r="L451" s="172"/>
      <c r="M451" s="172"/>
      <c r="N451" s="172"/>
      <c r="O451" s="172"/>
      <c r="P451" s="172"/>
      <c r="Q451" s="172"/>
      <c r="R451" s="172"/>
      <c r="S451" s="172"/>
      <c r="T451" s="172"/>
    </row>
    <row r="452" spans="1:20" ht="16.5" customHeight="1">
      <c r="A452" s="171"/>
      <c r="B452" s="172"/>
      <c r="C452" s="172"/>
      <c r="D452" s="172"/>
      <c r="E452" s="172"/>
      <c r="F452" s="172"/>
      <c r="G452" s="172"/>
      <c r="H452" s="172"/>
      <c r="I452" s="172"/>
      <c r="J452" s="172"/>
      <c r="K452" s="172"/>
      <c r="L452" s="172"/>
      <c r="M452" s="172"/>
      <c r="N452" s="172"/>
      <c r="O452" s="172"/>
      <c r="P452" s="172"/>
      <c r="Q452" s="172"/>
      <c r="R452" s="172"/>
      <c r="S452" s="172"/>
      <c r="T452" s="172"/>
    </row>
    <row r="453" spans="1:20" ht="16.5" customHeight="1">
      <c r="A453" s="171"/>
      <c r="B453" s="172"/>
      <c r="C453" s="172"/>
      <c r="D453" s="172"/>
      <c r="E453" s="172"/>
      <c r="F453" s="172"/>
      <c r="G453" s="172"/>
      <c r="H453" s="172"/>
      <c r="I453" s="172"/>
      <c r="J453" s="172"/>
      <c r="K453" s="172"/>
      <c r="L453" s="172"/>
      <c r="M453" s="172"/>
      <c r="N453" s="172"/>
      <c r="O453" s="172"/>
      <c r="P453" s="172"/>
      <c r="Q453" s="172"/>
      <c r="R453" s="172"/>
      <c r="S453" s="172"/>
      <c r="T453" s="172"/>
    </row>
    <row r="454" spans="1:20" ht="16.5" customHeight="1">
      <c r="A454" s="171"/>
      <c r="B454" s="172"/>
      <c r="C454" s="172"/>
      <c r="D454" s="172"/>
      <c r="E454" s="172"/>
      <c r="F454" s="172"/>
      <c r="G454" s="172"/>
      <c r="H454" s="172"/>
      <c r="I454" s="172"/>
      <c r="J454" s="172"/>
      <c r="K454" s="172"/>
      <c r="L454" s="172"/>
      <c r="M454" s="172"/>
      <c r="N454" s="172"/>
      <c r="O454" s="172"/>
      <c r="P454" s="172"/>
      <c r="Q454" s="172"/>
      <c r="R454" s="172"/>
      <c r="S454" s="172"/>
      <c r="T454" s="172"/>
    </row>
    <row r="455" spans="1:20" ht="16.5" customHeight="1">
      <c r="A455" s="171"/>
      <c r="B455" s="172"/>
      <c r="C455" s="172"/>
      <c r="D455" s="172"/>
      <c r="E455" s="172"/>
      <c r="F455" s="172"/>
      <c r="G455" s="172"/>
      <c r="H455" s="172"/>
      <c r="I455" s="172"/>
      <c r="J455" s="172"/>
      <c r="K455" s="172"/>
      <c r="L455" s="172"/>
      <c r="M455" s="172"/>
      <c r="N455" s="172"/>
      <c r="O455" s="172"/>
      <c r="P455" s="172"/>
      <c r="Q455" s="172"/>
      <c r="R455" s="172"/>
      <c r="S455" s="172"/>
      <c r="T455" s="172"/>
    </row>
    <row r="456" spans="1:20" ht="16.5" customHeight="1">
      <c r="A456" s="171"/>
      <c r="B456" s="172"/>
      <c r="C456" s="172"/>
      <c r="D456" s="172"/>
      <c r="E456" s="172"/>
      <c r="F456" s="172"/>
      <c r="G456" s="172"/>
      <c r="H456" s="172"/>
      <c r="I456" s="172"/>
      <c r="J456" s="172"/>
      <c r="K456" s="172"/>
      <c r="L456" s="172"/>
      <c r="M456" s="172"/>
      <c r="N456" s="172"/>
      <c r="O456" s="172"/>
      <c r="P456" s="172"/>
      <c r="Q456" s="172"/>
      <c r="R456" s="172"/>
      <c r="S456" s="172"/>
      <c r="T456" s="172"/>
    </row>
    <row r="457" spans="1:20" ht="16.5" customHeight="1">
      <c r="A457" s="171"/>
      <c r="B457" s="172"/>
      <c r="C457" s="172"/>
      <c r="D457" s="172"/>
      <c r="E457" s="172"/>
      <c r="F457" s="172"/>
      <c r="G457" s="172"/>
      <c r="H457" s="172"/>
      <c r="I457" s="172"/>
      <c r="J457" s="172"/>
      <c r="K457" s="172"/>
      <c r="L457" s="172"/>
      <c r="M457" s="172"/>
      <c r="N457" s="172"/>
      <c r="O457" s="172"/>
      <c r="P457" s="172"/>
      <c r="Q457" s="172"/>
      <c r="R457" s="172"/>
      <c r="S457" s="172"/>
      <c r="T457" s="172"/>
    </row>
    <row r="458" spans="1:20" ht="16.5" customHeight="1">
      <c r="A458" s="171"/>
      <c r="B458" s="172"/>
      <c r="C458" s="172"/>
      <c r="D458" s="172"/>
      <c r="E458" s="172"/>
      <c r="F458" s="172"/>
      <c r="G458" s="172"/>
      <c r="H458" s="172"/>
      <c r="I458" s="172"/>
      <c r="J458" s="172"/>
      <c r="K458" s="172"/>
      <c r="L458" s="172"/>
      <c r="M458" s="172"/>
      <c r="N458" s="172"/>
      <c r="O458" s="172"/>
      <c r="P458" s="172"/>
      <c r="Q458" s="172"/>
      <c r="R458" s="172"/>
      <c r="S458" s="172"/>
      <c r="T458" s="172"/>
    </row>
    <row r="459" spans="1:20" ht="16.5" customHeight="1">
      <c r="A459" s="171"/>
      <c r="B459" s="172"/>
      <c r="C459" s="172"/>
      <c r="D459" s="172"/>
      <c r="E459" s="172"/>
      <c r="F459" s="172"/>
      <c r="G459" s="172"/>
      <c r="H459" s="172"/>
      <c r="I459" s="172"/>
      <c r="J459" s="172"/>
      <c r="K459" s="172"/>
      <c r="L459" s="172"/>
      <c r="M459" s="172"/>
      <c r="N459" s="172"/>
      <c r="O459" s="172"/>
      <c r="P459" s="172"/>
      <c r="Q459" s="172"/>
      <c r="R459" s="172"/>
      <c r="S459" s="172"/>
      <c r="T459" s="172"/>
    </row>
    <row r="460" spans="1:20" ht="16.5" customHeight="1">
      <c r="A460" s="171"/>
      <c r="B460" s="172"/>
      <c r="C460" s="172"/>
      <c r="D460" s="172"/>
      <c r="E460" s="172"/>
      <c r="F460" s="172"/>
      <c r="G460" s="172"/>
      <c r="H460" s="172"/>
      <c r="I460" s="172"/>
      <c r="J460" s="172"/>
      <c r="K460" s="172"/>
      <c r="L460" s="172"/>
      <c r="M460" s="172"/>
      <c r="N460" s="172"/>
      <c r="O460" s="172"/>
      <c r="P460" s="172"/>
      <c r="Q460" s="172"/>
      <c r="R460" s="172"/>
      <c r="S460" s="172"/>
      <c r="T460" s="172"/>
    </row>
    <row r="461" spans="1:20" ht="16.5" customHeight="1">
      <c r="A461" s="171"/>
      <c r="B461" s="172"/>
      <c r="C461" s="172"/>
      <c r="D461" s="172"/>
      <c r="E461" s="172"/>
      <c r="F461" s="172"/>
      <c r="G461" s="172"/>
      <c r="H461" s="172"/>
      <c r="I461" s="172"/>
      <c r="J461" s="172"/>
      <c r="K461" s="172"/>
      <c r="L461" s="172"/>
      <c r="M461" s="172"/>
      <c r="N461" s="172"/>
      <c r="O461" s="172"/>
      <c r="P461" s="172"/>
      <c r="Q461" s="172"/>
      <c r="R461" s="172"/>
      <c r="S461" s="172"/>
      <c r="T461" s="172"/>
    </row>
    <row r="462" spans="1:20" ht="16.5" customHeight="1">
      <c r="A462" s="171"/>
      <c r="B462" s="172"/>
      <c r="C462" s="172"/>
      <c r="D462" s="172"/>
      <c r="E462" s="172"/>
      <c r="F462" s="172"/>
      <c r="G462" s="172"/>
      <c r="H462" s="172"/>
      <c r="I462" s="172"/>
      <c r="J462" s="172"/>
      <c r="K462" s="172"/>
      <c r="L462" s="172"/>
      <c r="M462" s="172"/>
      <c r="N462" s="172"/>
      <c r="O462" s="172"/>
      <c r="P462" s="172"/>
      <c r="Q462" s="172"/>
      <c r="R462" s="172"/>
      <c r="S462" s="172"/>
      <c r="T462" s="172"/>
    </row>
    <row r="463" spans="1:20" ht="16.5" customHeight="1">
      <c r="A463" s="171"/>
      <c r="B463" s="172"/>
      <c r="C463" s="172"/>
      <c r="D463" s="172"/>
      <c r="E463" s="172"/>
      <c r="F463" s="172"/>
      <c r="G463" s="172"/>
      <c r="H463" s="172"/>
      <c r="I463" s="172"/>
      <c r="J463" s="172"/>
      <c r="K463" s="172"/>
      <c r="L463" s="172"/>
      <c r="M463" s="172"/>
      <c r="N463" s="172"/>
      <c r="O463" s="172"/>
      <c r="P463" s="172"/>
      <c r="Q463" s="172"/>
      <c r="R463" s="172"/>
      <c r="S463" s="172"/>
      <c r="T463" s="172"/>
    </row>
    <row r="464" spans="1:20" ht="16.5" customHeight="1">
      <c r="A464" s="171"/>
      <c r="B464" s="172"/>
      <c r="C464" s="172"/>
      <c r="D464" s="172"/>
      <c r="E464" s="172"/>
      <c r="F464" s="172"/>
      <c r="G464" s="172"/>
      <c r="H464" s="172"/>
      <c r="I464" s="172"/>
      <c r="J464" s="172"/>
      <c r="K464" s="172"/>
      <c r="L464" s="172"/>
      <c r="M464" s="172"/>
      <c r="N464" s="172"/>
      <c r="O464" s="172"/>
      <c r="P464" s="172"/>
      <c r="Q464" s="172"/>
      <c r="R464" s="172"/>
      <c r="S464" s="172"/>
      <c r="T464" s="172"/>
    </row>
    <row r="465" spans="1:20" ht="16.5" customHeight="1">
      <c r="A465" s="171"/>
      <c r="B465" s="172"/>
      <c r="C465" s="172"/>
      <c r="D465" s="172"/>
      <c r="E465" s="172"/>
      <c r="F465" s="172"/>
      <c r="G465" s="172"/>
      <c r="H465" s="172"/>
      <c r="I465" s="172"/>
      <c r="J465" s="172"/>
      <c r="K465" s="172"/>
      <c r="L465" s="172"/>
      <c r="M465" s="172"/>
      <c r="N465" s="172"/>
      <c r="O465" s="172"/>
      <c r="P465" s="172"/>
      <c r="Q465" s="172"/>
      <c r="R465" s="172"/>
      <c r="S465" s="172"/>
      <c r="T465" s="172"/>
    </row>
    <row r="466" spans="1:20" ht="16.5" customHeight="1">
      <c r="A466" s="171"/>
      <c r="B466" s="172"/>
      <c r="C466" s="172"/>
      <c r="D466" s="172"/>
      <c r="E466" s="172"/>
      <c r="F466" s="172"/>
      <c r="G466" s="172"/>
      <c r="H466" s="172"/>
      <c r="I466" s="172"/>
      <c r="J466" s="172"/>
      <c r="K466" s="172"/>
      <c r="L466" s="172"/>
      <c r="M466" s="172"/>
      <c r="N466" s="172"/>
      <c r="O466" s="172"/>
      <c r="P466" s="172"/>
      <c r="Q466" s="172"/>
      <c r="R466" s="172"/>
      <c r="S466" s="172"/>
      <c r="T466" s="172"/>
    </row>
    <row r="467" spans="1:20" ht="16.5" customHeight="1">
      <c r="A467" s="171"/>
      <c r="B467" s="172"/>
      <c r="C467" s="172"/>
      <c r="D467" s="172"/>
      <c r="E467" s="172"/>
      <c r="F467" s="172"/>
      <c r="G467" s="172"/>
      <c r="H467" s="172"/>
      <c r="I467" s="172"/>
      <c r="J467" s="172"/>
      <c r="K467" s="172"/>
      <c r="L467" s="172"/>
      <c r="M467" s="172"/>
      <c r="N467" s="172"/>
      <c r="O467" s="172"/>
      <c r="P467" s="172"/>
      <c r="Q467" s="172"/>
      <c r="R467" s="172"/>
      <c r="S467" s="172"/>
      <c r="T467" s="172"/>
    </row>
    <row r="468" spans="1:20" ht="16.5" customHeight="1">
      <c r="A468" s="171"/>
      <c r="B468" s="172"/>
      <c r="C468" s="172"/>
      <c r="D468" s="172"/>
      <c r="E468" s="172"/>
      <c r="F468" s="172"/>
      <c r="G468" s="172"/>
      <c r="H468" s="172"/>
      <c r="I468" s="172"/>
      <c r="J468" s="172"/>
      <c r="K468" s="172"/>
      <c r="L468" s="172"/>
      <c r="M468" s="172"/>
      <c r="N468" s="172"/>
      <c r="O468" s="172"/>
      <c r="P468" s="172"/>
      <c r="Q468" s="172"/>
      <c r="R468" s="172"/>
      <c r="S468" s="172"/>
      <c r="T468" s="172"/>
    </row>
    <row r="469" spans="1:20" ht="16.5" customHeight="1">
      <c r="A469" s="171"/>
      <c r="B469" s="172"/>
      <c r="C469" s="172"/>
      <c r="D469" s="172"/>
      <c r="E469" s="172"/>
      <c r="F469" s="172"/>
      <c r="G469" s="172"/>
      <c r="H469" s="172"/>
      <c r="I469" s="172"/>
      <c r="J469" s="172"/>
      <c r="K469" s="172"/>
      <c r="L469" s="172"/>
      <c r="M469" s="172"/>
      <c r="N469" s="172"/>
      <c r="O469" s="172"/>
      <c r="P469" s="172"/>
      <c r="Q469" s="172"/>
      <c r="R469" s="172"/>
      <c r="S469" s="172"/>
      <c r="T469" s="172"/>
    </row>
    <row r="470" spans="1:20" ht="16.5" customHeight="1">
      <c r="A470" s="171"/>
      <c r="B470" s="172"/>
      <c r="C470" s="172"/>
      <c r="D470" s="172"/>
      <c r="E470" s="172"/>
      <c r="F470" s="172"/>
      <c r="G470" s="172"/>
      <c r="H470" s="172"/>
      <c r="I470" s="172"/>
      <c r="J470" s="172"/>
      <c r="K470" s="172"/>
      <c r="L470" s="172"/>
      <c r="M470" s="172"/>
      <c r="N470" s="172"/>
      <c r="O470" s="172"/>
      <c r="P470" s="172"/>
      <c r="Q470" s="172"/>
      <c r="R470" s="172"/>
      <c r="S470" s="172"/>
      <c r="T470" s="172"/>
    </row>
    <row r="471" spans="1:20" ht="16.5" customHeight="1">
      <c r="A471" s="171"/>
      <c r="B471" s="172"/>
      <c r="C471" s="172"/>
      <c r="D471" s="172"/>
      <c r="E471" s="172"/>
      <c r="F471" s="172"/>
      <c r="G471" s="172"/>
      <c r="H471" s="172"/>
      <c r="I471" s="172"/>
      <c r="J471" s="172"/>
      <c r="K471" s="172"/>
      <c r="L471" s="172"/>
      <c r="M471" s="172"/>
      <c r="N471" s="172"/>
      <c r="O471" s="172"/>
      <c r="P471" s="172"/>
      <c r="Q471" s="172"/>
      <c r="R471" s="172"/>
      <c r="S471" s="172"/>
      <c r="T471" s="172"/>
    </row>
    <row r="472" spans="1:20" ht="16.5" customHeight="1">
      <c r="A472" s="171"/>
      <c r="B472" s="172"/>
      <c r="C472" s="172"/>
      <c r="D472" s="172"/>
      <c r="E472" s="172"/>
      <c r="F472" s="172"/>
      <c r="G472" s="172"/>
      <c r="H472" s="172"/>
      <c r="I472" s="172"/>
      <c r="J472" s="172"/>
      <c r="K472" s="172"/>
      <c r="L472" s="172"/>
      <c r="M472" s="172"/>
      <c r="N472" s="172"/>
      <c r="O472" s="172"/>
      <c r="P472" s="172"/>
      <c r="Q472" s="172"/>
      <c r="R472" s="172"/>
      <c r="S472" s="172"/>
      <c r="T472" s="172"/>
    </row>
    <row r="473" spans="1:20" ht="16.5" customHeight="1">
      <c r="A473" s="171"/>
      <c r="B473" s="172"/>
      <c r="C473" s="172"/>
      <c r="D473" s="172"/>
      <c r="E473" s="172"/>
      <c r="F473" s="172"/>
      <c r="G473" s="172"/>
      <c r="H473" s="172"/>
      <c r="I473" s="172"/>
      <c r="J473" s="172"/>
      <c r="K473" s="172"/>
      <c r="L473" s="172"/>
      <c r="M473" s="172"/>
      <c r="N473" s="172"/>
      <c r="O473" s="172"/>
      <c r="P473" s="172"/>
      <c r="Q473" s="172"/>
      <c r="R473" s="172"/>
      <c r="S473" s="172"/>
      <c r="T473" s="172"/>
    </row>
    <row r="474" spans="1:20" ht="16.5" customHeight="1">
      <c r="A474" s="171"/>
      <c r="B474" s="172"/>
      <c r="C474" s="172"/>
      <c r="D474" s="172"/>
      <c r="E474" s="172"/>
      <c r="F474" s="172"/>
      <c r="G474" s="172"/>
      <c r="H474" s="172"/>
      <c r="I474" s="172"/>
      <c r="J474" s="172"/>
      <c r="K474" s="172"/>
      <c r="L474" s="172"/>
      <c r="M474" s="172"/>
      <c r="N474" s="172"/>
      <c r="O474" s="172"/>
      <c r="P474" s="172"/>
      <c r="Q474" s="172"/>
      <c r="R474" s="172"/>
      <c r="S474" s="172"/>
      <c r="T474" s="172"/>
    </row>
    <row r="475" spans="1:20" ht="16.5" customHeight="1">
      <c r="A475" s="171"/>
      <c r="B475" s="172"/>
      <c r="C475" s="172"/>
      <c r="D475" s="172"/>
      <c r="E475" s="172"/>
      <c r="F475" s="172"/>
      <c r="G475" s="172"/>
      <c r="H475" s="172"/>
      <c r="I475" s="172"/>
      <c r="J475" s="172"/>
      <c r="K475" s="172"/>
      <c r="L475" s="172"/>
      <c r="M475" s="172"/>
      <c r="N475" s="172"/>
      <c r="O475" s="172"/>
      <c r="P475" s="172"/>
      <c r="Q475" s="172"/>
      <c r="R475" s="172"/>
      <c r="S475" s="172"/>
      <c r="T475" s="172"/>
    </row>
    <row r="476" spans="1:20" ht="16.5" customHeight="1">
      <c r="A476" s="171"/>
      <c r="B476" s="172"/>
      <c r="C476" s="172"/>
      <c r="D476" s="172"/>
      <c r="E476" s="172"/>
      <c r="F476" s="172"/>
      <c r="G476" s="172"/>
      <c r="H476" s="172"/>
      <c r="I476" s="172"/>
      <c r="J476" s="172"/>
      <c r="K476" s="172"/>
      <c r="L476" s="172"/>
      <c r="M476" s="172"/>
      <c r="N476" s="172"/>
      <c r="O476" s="172"/>
      <c r="P476" s="172"/>
      <c r="Q476" s="172"/>
      <c r="R476" s="172"/>
      <c r="S476" s="172"/>
      <c r="T476" s="172"/>
    </row>
    <row r="477" spans="1:20" ht="16.5" customHeight="1">
      <c r="A477" s="171"/>
      <c r="B477" s="172"/>
      <c r="C477" s="172"/>
      <c r="D477" s="172"/>
      <c r="E477" s="172"/>
      <c r="F477" s="172"/>
      <c r="G477" s="172"/>
      <c r="H477" s="172"/>
      <c r="I477" s="172"/>
      <c r="J477" s="172"/>
      <c r="K477" s="172"/>
      <c r="L477" s="172"/>
      <c r="M477" s="172"/>
      <c r="N477" s="172"/>
      <c r="O477" s="172"/>
      <c r="P477" s="172"/>
      <c r="Q477" s="172"/>
      <c r="R477" s="172"/>
      <c r="S477" s="172"/>
      <c r="T477" s="172"/>
    </row>
    <row r="478" spans="1:20" ht="16.5" customHeight="1">
      <c r="A478" s="171"/>
      <c r="B478" s="172"/>
      <c r="C478" s="172"/>
      <c r="D478" s="172"/>
      <c r="E478" s="172"/>
      <c r="F478" s="172"/>
      <c r="G478" s="172"/>
      <c r="H478" s="172"/>
      <c r="I478" s="172"/>
      <c r="J478" s="172"/>
      <c r="K478" s="172"/>
      <c r="L478" s="172"/>
      <c r="M478" s="172"/>
      <c r="N478" s="172"/>
      <c r="O478" s="172"/>
      <c r="P478" s="172"/>
      <c r="Q478" s="172"/>
      <c r="R478" s="172"/>
      <c r="S478" s="172"/>
      <c r="T478" s="172"/>
    </row>
    <row r="479" spans="1:20" ht="16.5" customHeight="1">
      <c r="A479" s="171"/>
      <c r="B479" s="172"/>
      <c r="C479" s="172"/>
      <c r="D479" s="172"/>
      <c r="E479" s="172"/>
      <c r="F479" s="172"/>
      <c r="G479" s="172"/>
      <c r="H479" s="172"/>
      <c r="I479" s="172"/>
      <c r="J479" s="172"/>
      <c r="K479" s="172"/>
      <c r="L479" s="172"/>
      <c r="M479" s="172"/>
      <c r="N479" s="172"/>
      <c r="O479" s="172"/>
      <c r="P479" s="172"/>
      <c r="Q479" s="172"/>
      <c r="R479" s="172"/>
      <c r="S479" s="172"/>
      <c r="T479" s="172"/>
    </row>
    <row r="480" spans="1:20" ht="16.5" customHeight="1">
      <c r="A480" s="171"/>
      <c r="B480" s="172"/>
      <c r="C480" s="172"/>
      <c r="D480" s="172"/>
      <c r="E480" s="172"/>
      <c r="F480" s="172"/>
      <c r="G480" s="172"/>
      <c r="H480" s="172"/>
      <c r="I480" s="172"/>
      <c r="J480" s="172"/>
      <c r="K480" s="172"/>
      <c r="L480" s="172"/>
      <c r="M480" s="172"/>
      <c r="N480" s="172"/>
      <c r="O480" s="172"/>
      <c r="P480" s="172"/>
      <c r="Q480" s="172"/>
      <c r="R480" s="172"/>
      <c r="S480" s="172"/>
      <c r="T480" s="172"/>
    </row>
    <row r="481" spans="1:20" ht="16.5" customHeight="1">
      <c r="A481" s="171"/>
      <c r="B481" s="172"/>
      <c r="C481" s="172"/>
      <c r="D481" s="172"/>
      <c r="E481" s="172"/>
      <c r="F481" s="172"/>
      <c r="G481" s="172"/>
      <c r="H481" s="172"/>
      <c r="I481" s="172"/>
      <c r="J481" s="172"/>
      <c r="K481" s="172"/>
      <c r="L481" s="172"/>
      <c r="M481" s="172"/>
      <c r="N481" s="172"/>
      <c r="O481" s="172"/>
      <c r="P481" s="172"/>
      <c r="Q481" s="172"/>
      <c r="R481" s="172"/>
      <c r="S481" s="172"/>
      <c r="T481" s="172"/>
    </row>
    <row r="482" spans="1:20" ht="16.5" customHeight="1">
      <c r="B482" s="123"/>
      <c r="C482" s="123"/>
      <c r="D482" s="123"/>
      <c r="E482" s="123"/>
      <c r="F482" s="123"/>
      <c r="G482" s="123"/>
      <c r="H482" s="123"/>
      <c r="I482" s="123"/>
      <c r="J482" s="123"/>
      <c r="K482" s="123"/>
      <c r="L482" s="123"/>
      <c r="M482" s="123"/>
      <c r="N482" s="123"/>
      <c r="O482" s="123"/>
      <c r="P482" s="123"/>
      <c r="Q482" s="123"/>
      <c r="R482" s="123"/>
      <c r="S482" s="123"/>
      <c r="T482" s="123"/>
    </row>
    <row r="483" spans="1:20" ht="16.5" customHeight="1">
      <c r="B483" s="123"/>
      <c r="C483" s="123"/>
      <c r="D483" s="123"/>
      <c r="E483" s="123"/>
      <c r="F483" s="123"/>
      <c r="G483" s="123"/>
      <c r="H483" s="123"/>
      <c r="I483" s="123"/>
      <c r="J483" s="123"/>
      <c r="K483" s="123"/>
      <c r="L483" s="123"/>
      <c r="M483" s="123"/>
      <c r="N483" s="123"/>
      <c r="O483" s="123"/>
      <c r="P483" s="123"/>
      <c r="Q483" s="123"/>
      <c r="R483" s="123"/>
      <c r="S483" s="123"/>
      <c r="T483" s="123"/>
    </row>
    <row r="484" spans="1:20" ht="16.5" customHeight="1">
      <c r="B484" s="123"/>
      <c r="C484" s="123"/>
      <c r="D484" s="123"/>
      <c r="E484" s="123"/>
      <c r="F484" s="123"/>
      <c r="G484" s="123"/>
      <c r="H484" s="123"/>
      <c r="I484" s="123"/>
      <c r="J484" s="123"/>
      <c r="K484" s="123"/>
      <c r="L484" s="123"/>
      <c r="M484" s="123"/>
      <c r="N484" s="123"/>
      <c r="O484" s="123"/>
      <c r="P484" s="123"/>
      <c r="Q484" s="123"/>
      <c r="R484" s="123"/>
      <c r="S484" s="123"/>
      <c r="T484" s="123"/>
    </row>
    <row r="485" spans="1:20" ht="16.5" customHeight="1">
      <c r="B485" s="123"/>
      <c r="C485" s="123"/>
      <c r="D485" s="123"/>
      <c r="E485" s="123"/>
      <c r="F485" s="123"/>
      <c r="G485" s="123"/>
      <c r="H485" s="123"/>
      <c r="I485" s="123"/>
      <c r="J485" s="123"/>
      <c r="K485" s="123"/>
      <c r="L485" s="123"/>
      <c r="M485" s="123"/>
      <c r="N485" s="123"/>
      <c r="O485" s="123"/>
      <c r="P485" s="123"/>
      <c r="Q485" s="123"/>
      <c r="R485" s="123"/>
      <c r="S485" s="123"/>
      <c r="T485" s="123"/>
    </row>
    <row r="486" spans="1:20" ht="16.5" customHeight="1">
      <c r="B486" s="123"/>
      <c r="C486" s="123"/>
      <c r="D486" s="123"/>
      <c r="E486" s="123"/>
      <c r="F486" s="123"/>
      <c r="G486" s="123"/>
      <c r="H486" s="123"/>
      <c r="I486" s="123"/>
      <c r="J486" s="123"/>
      <c r="K486" s="123"/>
      <c r="L486" s="123"/>
      <c r="M486" s="123"/>
      <c r="N486" s="123"/>
      <c r="O486" s="123"/>
      <c r="P486" s="123"/>
      <c r="Q486" s="123"/>
      <c r="R486" s="123"/>
      <c r="S486" s="123"/>
      <c r="T486" s="123"/>
    </row>
    <row r="487" spans="1:20" ht="16.5" customHeight="1">
      <c r="B487" s="123"/>
      <c r="C487" s="123"/>
      <c r="D487" s="123"/>
      <c r="E487" s="123"/>
      <c r="F487" s="123"/>
      <c r="G487" s="123"/>
      <c r="H487" s="123"/>
      <c r="I487" s="123"/>
      <c r="J487" s="123"/>
      <c r="K487" s="123"/>
      <c r="L487" s="123"/>
      <c r="M487" s="123"/>
      <c r="N487" s="123"/>
      <c r="O487" s="123"/>
      <c r="P487" s="123"/>
      <c r="Q487" s="123"/>
      <c r="R487" s="123"/>
      <c r="S487" s="123"/>
      <c r="T487" s="123"/>
    </row>
    <row r="488" spans="1:20" ht="16.5" customHeight="1">
      <c r="B488" s="123"/>
      <c r="C488" s="123"/>
      <c r="D488" s="123"/>
      <c r="E488" s="123"/>
      <c r="F488" s="123"/>
      <c r="G488" s="123"/>
      <c r="H488" s="123"/>
      <c r="I488" s="123"/>
      <c r="J488" s="123"/>
      <c r="K488" s="123"/>
      <c r="L488" s="123"/>
      <c r="M488" s="123"/>
      <c r="N488" s="123"/>
      <c r="O488" s="123"/>
      <c r="P488" s="123"/>
      <c r="Q488" s="123"/>
      <c r="R488" s="123"/>
      <c r="S488" s="123"/>
      <c r="T488" s="123"/>
    </row>
    <row r="489" spans="1:20" ht="16.5" customHeight="1">
      <c r="B489" s="123"/>
      <c r="C489" s="123"/>
      <c r="D489" s="123"/>
      <c r="E489" s="123"/>
      <c r="F489" s="123"/>
      <c r="G489" s="123"/>
      <c r="H489" s="123"/>
      <c r="I489" s="123"/>
      <c r="J489" s="123"/>
      <c r="K489" s="123"/>
      <c r="L489" s="123"/>
      <c r="M489" s="123"/>
      <c r="N489" s="123"/>
      <c r="O489" s="123"/>
      <c r="P489" s="123"/>
      <c r="Q489" s="123"/>
      <c r="R489" s="123"/>
      <c r="S489" s="123"/>
      <c r="T489" s="123"/>
    </row>
    <row r="490" spans="1:20" ht="16.5" customHeight="1">
      <c r="B490" s="123"/>
      <c r="C490" s="123"/>
      <c r="D490" s="123"/>
      <c r="E490" s="123"/>
      <c r="F490" s="123"/>
      <c r="G490" s="123"/>
      <c r="H490" s="123"/>
      <c r="I490" s="123"/>
      <c r="J490" s="123"/>
      <c r="K490" s="123"/>
      <c r="L490" s="123"/>
      <c r="M490" s="123"/>
      <c r="N490" s="123"/>
      <c r="O490" s="123"/>
      <c r="P490" s="123"/>
      <c r="Q490" s="123"/>
      <c r="R490" s="123"/>
      <c r="S490" s="123"/>
      <c r="T490" s="123"/>
    </row>
    <row r="491" spans="1:20" ht="16.5" customHeight="1">
      <c r="B491" s="123"/>
      <c r="C491" s="123"/>
      <c r="D491" s="123"/>
      <c r="E491" s="123"/>
      <c r="F491" s="123"/>
      <c r="G491" s="123"/>
      <c r="H491" s="123"/>
      <c r="I491" s="123"/>
      <c r="J491" s="123"/>
      <c r="K491" s="123"/>
      <c r="L491" s="123"/>
      <c r="M491" s="123"/>
      <c r="N491" s="123"/>
      <c r="O491" s="123"/>
      <c r="P491" s="123"/>
      <c r="Q491" s="123"/>
      <c r="R491" s="123"/>
      <c r="S491" s="123"/>
      <c r="T491" s="123"/>
    </row>
    <row r="492" spans="1:20" ht="16.5" customHeight="1">
      <c r="B492" s="123"/>
      <c r="C492" s="123"/>
      <c r="D492" s="123"/>
      <c r="E492" s="123"/>
      <c r="F492" s="123"/>
      <c r="G492" s="123"/>
      <c r="H492" s="123"/>
      <c r="I492" s="123"/>
      <c r="J492" s="123"/>
      <c r="K492" s="123"/>
      <c r="L492" s="123"/>
      <c r="M492" s="123"/>
      <c r="N492" s="123"/>
      <c r="O492" s="123"/>
      <c r="P492" s="123"/>
      <c r="Q492" s="123"/>
      <c r="R492" s="123"/>
      <c r="S492" s="123"/>
      <c r="T492" s="123"/>
    </row>
    <row r="493" spans="1:20" ht="16.5" customHeight="1">
      <c r="B493" s="123"/>
      <c r="C493" s="123"/>
      <c r="D493" s="123"/>
      <c r="E493" s="123"/>
      <c r="F493" s="123"/>
      <c r="G493" s="123"/>
      <c r="H493" s="123"/>
      <c r="I493" s="123"/>
      <c r="J493" s="123"/>
      <c r="K493" s="123"/>
      <c r="L493" s="123"/>
      <c r="M493" s="123"/>
      <c r="N493" s="123"/>
      <c r="O493" s="123"/>
      <c r="P493" s="123"/>
      <c r="Q493" s="123"/>
      <c r="R493" s="123"/>
      <c r="S493" s="123"/>
      <c r="T493" s="123"/>
    </row>
    <row r="494" spans="1:20" ht="16.5" customHeight="1">
      <c r="B494" s="123"/>
      <c r="C494" s="123"/>
      <c r="D494" s="123"/>
      <c r="E494" s="123"/>
      <c r="F494" s="123"/>
      <c r="G494" s="123"/>
      <c r="H494" s="123"/>
      <c r="I494" s="123"/>
      <c r="J494" s="123"/>
      <c r="K494" s="123"/>
      <c r="L494" s="123"/>
      <c r="M494" s="123"/>
      <c r="N494" s="123"/>
      <c r="O494" s="123"/>
      <c r="P494" s="123"/>
      <c r="Q494" s="123"/>
      <c r="R494" s="123"/>
      <c r="S494" s="123"/>
      <c r="T494" s="123"/>
    </row>
    <row r="495" spans="1:20" ht="16.5" customHeight="1">
      <c r="B495" s="123"/>
      <c r="C495" s="123"/>
      <c r="D495" s="123"/>
      <c r="E495" s="123"/>
      <c r="F495" s="123"/>
      <c r="G495" s="123"/>
      <c r="H495" s="123"/>
      <c r="I495" s="123"/>
      <c r="J495" s="123"/>
      <c r="K495" s="123"/>
      <c r="L495" s="123"/>
      <c r="M495" s="123"/>
      <c r="N495" s="123"/>
      <c r="O495" s="123"/>
      <c r="P495" s="123"/>
      <c r="Q495" s="123"/>
      <c r="R495" s="123"/>
      <c r="S495" s="123"/>
      <c r="T495" s="123"/>
    </row>
    <row r="496" spans="1:20" ht="16.5" customHeight="1">
      <c r="B496" s="123"/>
      <c r="C496" s="123"/>
      <c r="D496" s="123"/>
      <c r="E496" s="123"/>
      <c r="F496" s="123"/>
      <c r="G496" s="123"/>
      <c r="H496" s="123"/>
      <c r="I496" s="123"/>
      <c r="J496" s="123"/>
      <c r="K496" s="123"/>
      <c r="L496" s="123"/>
      <c r="M496" s="123"/>
      <c r="N496" s="123"/>
      <c r="O496" s="123"/>
      <c r="P496" s="123"/>
      <c r="Q496" s="123"/>
      <c r="R496" s="123"/>
      <c r="S496" s="123"/>
      <c r="T496" s="123"/>
    </row>
    <row r="497" spans="2:20" ht="16.5" customHeight="1">
      <c r="B497" s="123"/>
      <c r="C497" s="123"/>
      <c r="D497" s="123"/>
      <c r="E497" s="123"/>
      <c r="F497" s="123"/>
      <c r="G497" s="123"/>
      <c r="H497" s="123"/>
      <c r="I497" s="123"/>
      <c r="J497" s="123"/>
      <c r="K497" s="123"/>
      <c r="L497" s="123"/>
      <c r="M497" s="123"/>
      <c r="N497" s="123"/>
      <c r="O497" s="123"/>
      <c r="P497" s="123"/>
      <c r="Q497" s="123"/>
      <c r="R497" s="123"/>
      <c r="S497" s="123"/>
      <c r="T497" s="123"/>
    </row>
    <row r="498" spans="2:20" ht="16.5" customHeight="1">
      <c r="B498" s="123"/>
      <c r="C498" s="123"/>
      <c r="D498" s="123"/>
      <c r="E498" s="123"/>
      <c r="F498" s="123"/>
      <c r="G498" s="123"/>
      <c r="H498" s="123"/>
      <c r="I498" s="123"/>
      <c r="J498" s="123"/>
      <c r="K498" s="123"/>
      <c r="L498" s="123"/>
      <c r="M498" s="123"/>
      <c r="N498" s="123"/>
      <c r="O498" s="123"/>
      <c r="P498" s="123"/>
      <c r="Q498" s="123"/>
      <c r="R498" s="123"/>
      <c r="S498" s="123"/>
      <c r="T498" s="123"/>
    </row>
    <row r="499" spans="2:20" ht="16.5" customHeight="1">
      <c r="B499" s="123"/>
      <c r="C499" s="123"/>
      <c r="D499" s="123"/>
      <c r="E499" s="123"/>
      <c r="F499" s="123"/>
      <c r="G499" s="123"/>
      <c r="H499" s="123"/>
      <c r="I499" s="123"/>
      <c r="J499" s="123"/>
      <c r="K499" s="123"/>
      <c r="L499" s="123"/>
      <c r="M499" s="123"/>
      <c r="N499" s="123"/>
      <c r="O499" s="123"/>
      <c r="P499" s="123"/>
      <c r="Q499" s="123"/>
      <c r="R499" s="123"/>
      <c r="S499" s="123"/>
      <c r="T499" s="123"/>
    </row>
    <row r="500" spans="2:20" ht="16.5" customHeight="1">
      <c r="B500" s="123"/>
      <c r="C500" s="123"/>
      <c r="D500" s="123"/>
      <c r="E500" s="123"/>
      <c r="F500" s="123"/>
      <c r="G500" s="123"/>
      <c r="H500" s="123"/>
      <c r="I500" s="123"/>
      <c r="J500" s="123"/>
      <c r="K500" s="123"/>
      <c r="L500" s="123"/>
      <c r="M500" s="123"/>
      <c r="N500" s="123"/>
      <c r="O500" s="123"/>
      <c r="P500" s="123"/>
      <c r="Q500" s="123"/>
      <c r="R500" s="123"/>
      <c r="S500" s="123"/>
      <c r="T500" s="123"/>
    </row>
    <row r="501" spans="2:20" ht="16.5" customHeight="1">
      <c r="B501" s="123"/>
      <c r="C501" s="123"/>
      <c r="D501" s="123"/>
      <c r="E501" s="123"/>
      <c r="F501" s="123"/>
      <c r="G501" s="123"/>
      <c r="H501" s="123"/>
      <c r="I501" s="123"/>
      <c r="J501" s="123"/>
      <c r="K501" s="123"/>
      <c r="L501" s="123"/>
      <c r="M501" s="123"/>
      <c r="N501" s="123"/>
      <c r="O501" s="123"/>
      <c r="P501" s="123"/>
      <c r="Q501" s="123"/>
      <c r="R501" s="123"/>
      <c r="S501" s="123"/>
      <c r="T501" s="123"/>
    </row>
    <row r="502" spans="2:20" ht="16.5" customHeight="1">
      <c r="B502" s="123"/>
      <c r="C502" s="123"/>
      <c r="D502" s="123"/>
      <c r="E502" s="123"/>
      <c r="F502" s="123"/>
      <c r="G502" s="123"/>
      <c r="H502" s="123"/>
      <c r="I502" s="123"/>
      <c r="J502" s="123"/>
      <c r="K502" s="123"/>
      <c r="L502" s="123"/>
      <c r="M502" s="123"/>
      <c r="N502" s="123"/>
      <c r="O502" s="123"/>
      <c r="P502" s="123"/>
      <c r="Q502" s="123"/>
      <c r="R502" s="123"/>
      <c r="S502" s="123"/>
      <c r="T502" s="123"/>
    </row>
    <row r="503" spans="2:20" ht="16.5" customHeight="1">
      <c r="B503" s="123"/>
      <c r="C503" s="123"/>
      <c r="D503" s="123"/>
      <c r="E503" s="123"/>
      <c r="F503" s="123"/>
      <c r="G503" s="123"/>
      <c r="H503" s="123"/>
      <c r="I503" s="123"/>
      <c r="J503" s="123"/>
      <c r="K503" s="123"/>
      <c r="L503" s="123"/>
      <c r="M503" s="123"/>
      <c r="N503" s="123"/>
      <c r="O503" s="123"/>
      <c r="P503" s="123"/>
      <c r="Q503" s="123"/>
      <c r="R503" s="123"/>
      <c r="S503" s="123"/>
      <c r="T503" s="123"/>
    </row>
    <row r="504" spans="2:20" ht="16.5" customHeight="1">
      <c r="B504" s="123"/>
      <c r="C504" s="123"/>
      <c r="D504" s="123"/>
      <c r="E504" s="123"/>
      <c r="F504" s="123"/>
      <c r="G504" s="123"/>
      <c r="H504" s="123"/>
      <c r="I504" s="123"/>
      <c r="J504" s="123"/>
      <c r="K504" s="123"/>
      <c r="L504" s="123"/>
      <c r="M504" s="123"/>
      <c r="N504" s="123"/>
      <c r="O504" s="123"/>
      <c r="P504" s="123"/>
      <c r="Q504" s="123"/>
      <c r="R504" s="123"/>
      <c r="S504" s="123"/>
      <c r="T504" s="123"/>
    </row>
    <row r="505" spans="2:20" ht="16.5" customHeight="1">
      <c r="B505" s="123"/>
      <c r="C505" s="123"/>
      <c r="D505" s="123"/>
      <c r="E505" s="123"/>
      <c r="F505" s="123"/>
      <c r="G505" s="123"/>
      <c r="H505" s="123"/>
      <c r="I505" s="123"/>
      <c r="J505" s="123"/>
      <c r="K505" s="123"/>
      <c r="L505" s="123"/>
      <c r="M505" s="123"/>
      <c r="N505" s="123"/>
      <c r="O505" s="123"/>
      <c r="P505" s="123"/>
      <c r="Q505" s="123"/>
      <c r="R505" s="123"/>
      <c r="S505" s="123"/>
      <c r="T505" s="123"/>
    </row>
    <row r="506" spans="2:20" ht="16.5" customHeight="1">
      <c r="B506" s="123"/>
      <c r="C506" s="123"/>
      <c r="D506" s="123"/>
      <c r="E506" s="123"/>
      <c r="F506" s="123"/>
      <c r="G506" s="123"/>
      <c r="H506" s="123"/>
      <c r="I506" s="123"/>
      <c r="J506" s="123"/>
      <c r="K506" s="123"/>
      <c r="L506" s="123"/>
      <c r="M506" s="123"/>
      <c r="N506" s="123"/>
      <c r="O506" s="123"/>
      <c r="P506" s="123"/>
      <c r="Q506" s="123"/>
      <c r="R506" s="123"/>
      <c r="S506" s="123"/>
      <c r="T506" s="123"/>
    </row>
    <row r="507" spans="2:20" ht="16.5" customHeight="1">
      <c r="B507" s="123"/>
      <c r="C507" s="123"/>
      <c r="D507" s="123"/>
      <c r="E507" s="123"/>
      <c r="F507" s="123"/>
      <c r="G507" s="123"/>
      <c r="H507" s="123"/>
      <c r="I507" s="123"/>
      <c r="J507" s="123"/>
      <c r="K507" s="123"/>
      <c r="L507" s="123"/>
      <c r="M507" s="123"/>
      <c r="N507" s="123"/>
      <c r="O507" s="123"/>
      <c r="P507" s="123"/>
      <c r="Q507" s="123"/>
      <c r="R507" s="123"/>
      <c r="S507" s="123"/>
      <c r="T507" s="123"/>
    </row>
    <row r="508" spans="2:20" ht="16.5" customHeight="1">
      <c r="B508" s="123"/>
      <c r="C508" s="123"/>
      <c r="D508" s="123"/>
      <c r="E508" s="123"/>
      <c r="F508" s="123"/>
      <c r="G508" s="123"/>
      <c r="H508" s="123"/>
      <c r="I508" s="123"/>
      <c r="J508" s="123"/>
      <c r="K508" s="123"/>
      <c r="L508" s="123"/>
      <c r="M508" s="123"/>
      <c r="N508" s="123"/>
      <c r="O508" s="123"/>
      <c r="P508" s="123"/>
      <c r="Q508" s="123"/>
      <c r="R508" s="123"/>
      <c r="S508" s="123"/>
      <c r="T508" s="123"/>
    </row>
    <row r="509" spans="2:20" ht="16.5" customHeight="1">
      <c r="B509" s="123"/>
      <c r="C509" s="123"/>
      <c r="D509" s="123"/>
      <c r="E509" s="123"/>
      <c r="F509" s="123"/>
      <c r="G509" s="123"/>
      <c r="H509" s="123"/>
      <c r="I509" s="123"/>
      <c r="J509" s="123"/>
      <c r="K509" s="123"/>
      <c r="L509" s="123"/>
      <c r="M509" s="123"/>
      <c r="N509" s="123"/>
      <c r="O509" s="123"/>
      <c r="P509" s="123"/>
      <c r="Q509" s="123"/>
      <c r="R509" s="123"/>
      <c r="S509" s="123"/>
      <c r="T509" s="123"/>
    </row>
    <row r="510" spans="2:20" ht="16.5" customHeight="1">
      <c r="B510" s="123"/>
      <c r="C510" s="123"/>
      <c r="D510" s="123"/>
      <c r="E510" s="123"/>
      <c r="F510" s="123"/>
      <c r="G510" s="123"/>
      <c r="H510" s="123"/>
      <c r="I510" s="123"/>
      <c r="J510" s="123"/>
      <c r="K510" s="123"/>
      <c r="L510" s="123"/>
      <c r="M510" s="123"/>
      <c r="N510" s="123"/>
      <c r="O510" s="123"/>
      <c r="P510" s="123"/>
      <c r="Q510" s="123"/>
      <c r="R510" s="123"/>
      <c r="S510" s="123"/>
      <c r="T510" s="123"/>
    </row>
    <row r="511" spans="2:20" ht="16.5" customHeight="1">
      <c r="B511" s="123"/>
      <c r="C511" s="123"/>
      <c r="D511" s="123"/>
      <c r="E511" s="123"/>
      <c r="F511" s="123"/>
      <c r="G511" s="123"/>
      <c r="H511" s="123"/>
      <c r="I511" s="123"/>
      <c r="J511" s="123"/>
      <c r="K511" s="123"/>
      <c r="L511" s="123"/>
      <c r="M511" s="123"/>
      <c r="N511" s="123"/>
      <c r="O511" s="123"/>
      <c r="P511" s="123"/>
      <c r="Q511" s="123"/>
      <c r="R511" s="123"/>
      <c r="S511" s="123"/>
      <c r="T511" s="123"/>
    </row>
    <row r="512" spans="2:20" ht="16.5" customHeight="1">
      <c r="B512" s="123"/>
      <c r="C512" s="123"/>
      <c r="D512" s="123"/>
      <c r="E512" s="123"/>
      <c r="F512" s="123"/>
      <c r="G512" s="123"/>
      <c r="H512" s="123"/>
      <c r="I512" s="123"/>
      <c r="J512" s="123"/>
      <c r="K512" s="123"/>
      <c r="L512" s="123"/>
      <c r="M512" s="123"/>
      <c r="N512" s="123"/>
      <c r="O512" s="123"/>
      <c r="P512" s="123"/>
      <c r="Q512" s="123"/>
      <c r="R512" s="123"/>
      <c r="S512" s="123"/>
      <c r="T512" s="123"/>
    </row>
    <row r="513" spans="2:20" ht="16.5" customHeight="1">
      <c r="B513" s="123"/>
      <c r="C513" s="123"/>
      <c r="D513" s="123"/>
      <c r="E513" s="123"/>
      <c r="F513" s="123"/>
      <c r="G513" s="123"/>
      <c r="H513" s="123"/>
      <c r="I513" s="123"/>
      <c r="J513" s="123"/>
      <c r="K513" s="123"/>
      <c r="L513" s="123"/>
      <c r="M513" s="123"/>
      <c r="N513" s="123"/>
      <c r="O513" s="123"/>
      <c r="P513" s="123"/>
      <c r="Q513" s="123"/>
      <c r="R513" s="123"/>
      <c r="S513" s="123"/>
      <c r="T513" s="123"/>
    </row>
    <row r="514" spans="2:20" ht="16.5" customHeight="1">
      <c r="B514" s="123"/>
      <c r="C514" s="123"/>
      <c r="D514" s="123"/>
      <c r="E514" s="123"/>
      <c r="F514" s="123"/>
      <c r="G514" s="123"/>
      <c r="H514" s="123"/>
      <c r="I514" s="123"/>
      <c r="J514" s="123"/>
      <c r="K514" s="123"/>
      <c r="L514" s="123"/>
      <c r="M514" s="123"/>
      <c r="N514" s="123"/>
      <c r="O514" s="123"/>
      <c r="P514" s="123"/>
      <c r="Q514" s="123"/>
      <c r="R514" s="123"/>
      <c r="S514" s="123"/>
      <c r="T514" s="123"/>
    </row>
    <row r="515" spans="2:20" ht="16.5" customHeight="1">
      <c r="B515" s="123"/>
      <c r="C515" s="123"/>
      <c r="D515" s="123"/>
      <c r="E515" s="123"/>
      <c r="F515" s="123"/>
      <c r="G515" s="123"/>
      <c r="H515" s="123"/>
      <c r="I515" s="123"/>
      <c r="J515" s="123"/>
      <c r="K515" s="123"/>
      <c r="L515" s="123"/>
      <c r="M515" s="123"/>
      <c r="N515" s="123"/>
      <c r="O515" s="123"/>
      <c r="P515" s="123"/>
      <c r="Q515" s="123"/>
      <c r="R515" s="123"/>
      <c r="S515" s="123"/>
      <c r="T515" s="123"/>
    </row>
    <row r="516" spans="2:20" ht="16.5" customHeight="1">
      <c r="B516" s="123"/>
      <c r="C516" s="123"/>
      <c r="D516" s="123"/>
      <c r="E516" s="123"/>
      <c r="F516" s="123"/>
      <c r="G516" s="123"/>
      <c r="H516" s="123"/>
      <c r="I516" s="123"/>
      <c r="J516" s="123"/>
      <c r="K516" s="123"/>
      <c r="L516" s="123"/>
      <c r="M516" s="123"/>
      <c r="N516" s="123"/>
      <c r="O516" s="123"/>
      <c r="P516" s="123"/>
      <c r="Q516" s="123"/>
      <c r="R516" s="123"/>
      <c r="S516" s="123"/>
      <c r="T516" s="123"/>
    </row>
    <row r="517" spans="2:20" ht="16.5" customHeight="1">
      <c r="B517" s="123"/>
      <c r="C517" s="123"/>
      <c r="D517" s="123"/>
      <c r="E517" s="123"/>
      <c r="F517" s="123"/>
      <c r="G517" s="123"/>
      <c r="H517" s="123"/>
      <c r="I517" s="123"/>
      <c r="J517" s="123"/>
      <c r="K517" s="123"/>
      <c r="L517" s="123"/>
      <c r="M517" s="123"/>
      <c r="N517" s="123"/>
      <c r="O517" s="123"/>
      <c r="P517" s="123"/>
      <c r="Q517" s="123"/>
      <c r="R517" s="123"/>
      <c r="S517" s="123"/>
      <c r="T517" s="123"/>
    </row>
    <row r="518" spans="2:20" ht="16.5" customHeight="1">
      <c r="B518" s="123"/>
      <c r="C518" s="123"/>
      <c r="D518" s="123"/>
      <c r="E518" s="123"/>
      <c r="F518" s="123"/>
      <c r="G518" s="123"/>
      <c r="H518" s="123"/>
      <c r="I518" s="123"/>
      <c r="J518" s="123"/>
      <c r="K518" s="123"/>
      <c r="L518" s="123"/>
      <c r="M518" s="123"/>
      <c r="N518" s="123"/>
      <c r="O518" s="123"/>
      <c r="P518" s="123"/>
      <c r="Q518" s="123"/>
      <c r="R518" s="123"/>
      <c r="S518" s="123"/>
      <c r="T518" s="123"/>
    </row>
    <row r="519" spans="2:20" ht="16.5" customHeight="1">
      <c r="B519" s="123"/>
      <c r="C519" s="123"/>
      <c r="D519" s="123"/>
      <c r="E519" s="123"/>
      <c r="F519" s="123"/>
      <c r="G519" s="123"/>
      <c r="H519" s="123"/>
      <c r="I519" s="123"/>
      <c r="J519" s="123"/>
      <c r="K519" s="123"/>
      <c r="L519" s="123"/>
      <c r="M519" s="123"/>
      <c r="N519" s="123"/>
      <c r="O519" s="123"/>
      <c r="P519" s="123"/>
      <c r="Q519" s="123"/>
      <c r="R519" s="123"/>
      <c r="S519" s="123"/>
      <c r="T519" s="123"/>
    </row>
    <row r="520" spans="2:20" ht="16.5" customHeight="1">
      <c r="B520" s="123"/>
      <c r="C520" s="123"/>
      <c r="D520" s="123"/>
      <c r="E520" s="123"/>
      <c r="F520" s="123"/>
      <c r="G520" s="123"/>
      <c r="H520" s="123"/>
      <c r="I520" s="123"/>
      <c r="J520" s="123"/>
      <c r="K520" s="123"/>
      <c r="L520" s="123"/>
      <c r="M520" s="123"/>
      <c r="N520" s="123"/>
      <c r="O520" s="123"/>
      <c r="P520" s="123"/>
      <c r="Q520" s="123"/>
      <c r="R520" s="123"/>
      <c r="S520" s="123"/>
      <c r="T520" s="123"/>
    </row>
    <row r="521" spans="2:20" ht="16.5" customHeight="1">
      <c r="B521" s="123"/>
      <c r="C521" s="123"/>
      <c r="D521" s="123"/>
      <c r="E521" s="123"/>
      <c r="F521" s="123"/>
      <c r="G521" s="123"/>
      <c r="H521" s="123"/>
      <c r="I521" s="123"/>
      <c r="J521" s="123"/>
      <c r="K521" s="123"/>
      <c r="L521" s="123"/>
      <c r="M521" s="123"/>
      <c r="N521" s="123"/>
      <c r="O521" s="123"/>
      <c r="P521" s="123"/>
      <c r="Q521" s="123"/>
      <c r="R521" s="123"/>
      <c r="S521" s="123"/>
      <c r="T521" s="123"/>
    </row>
    <row r="522" spans="2:20" ht="16.5" customHeight="1">
      <c r="B522" s="123"/>
      <c r="C522" s="123"/>
      <c r="D522" s="123"/>
      <c r="E522" s="123"/>
      <c r="F522" s="123"/>
      <c r="G522" s="123"/>
      <c r="H522" s="123"/>
      <c r="I522" s="123"/>
      <c r="J522" s="123"/>
      <c r="K522" s="123"/>
      <c r="L522" s="123"/>
      <c r="M522" s="123"/>
      <c r="N522" s="123"/>
      <c r="O522" s="123"/>
      <c r="P522" s="123"/>
      <c r="Q522" s="123"/>
      <c r="R522" s="123"/>
      <c r="S522" s="123"/>
      <c r="T522" s="123"/>
    </row>
    <row r="523" spans="2:20" ht="16.5" customHeight="1">
      <c r="B523" s="123"/>
      <c r="C523" s="123"/>
      <c r="D523" s="123"/>
      <c r="E523" s="123"/>
      <c r="F523" s="123"/>
      <c r="G523" s="123"/>
      <c r="H523" s="123"/>
      <c r="I523" s="123"/>
      <c r="J523" s="123"/>
      <c r="K523" s="123"/>
      <c r="L523" s="123"/>
      <c r="M523" s="123"/>
      <c r="N523" s="123"/>
      <c r="O523" s="123"/>
      <c r="P523" s="123"/>
      <c r="Q523" s="123"/>
      <c r="R523" s="123"/>
      <c r="S523" s="123"/>
      <c r="T523" s="123"/>
    </row>
    <row r="524" spans="2:20" ht="16.5" customHeight="1">
      <c r="B524" s="123"/>
      <c r="C524" s="123"/>
      <c r="D524" s="123"/>
      <c r="E524" s="123"/>
      <c r="F524" s="123"/>
      <c r="G524" s="123"/>
      <c r="H524" s="123"/>
      <c r="I524" s="123"/>
      <c r="J524" s="123"/>
      <c r="K524" s="123"/>
      <c r="L524" s="123"/>
      <c r="M524" s="123"/>
      <c r="N524" s="123"/>
      <c r="O524" s="123"/>
      <c r="P524" s="123"/>
      <c r="Q524" s="123"/>
      <c r="R524" s="123"/>
      <c r="S524" s="123"/>
      <c r="T524" s="123"/>
    </row>
    <row r="525" spans="2:20" ht="16.5" customHeight="1">
      <c r="B525" s="123"/>
      <c r="C525" s="123"/>
      <c r="D525" s="123"/>
      <c r="E525" s="123"/>
      <c r="F525" s="123"/>
      <c r="G525" s="123"/>
      <c r="H525" s="123"/>
      <c r="I525" s="123"/>
      <c r="J525" s="123"/>
      <c r="K525" s="123"/>
      <c r="L525" s="123"/>
      <c r="M525" s="123"/>
      <c r="N525" s="123"/>
      <c r="O525" s="123"/>
      <c r="P525" s="123"/>
      <c r="Q525" s="123"/>
      <c r="R525" s="123"/>
      <c r="S525" s="123"/>
      <c r="T525" s="123"/>
    </row>
    <row r="526" spans="2:20" ht="16.5" customHeight="1">
      <c r="B526" s="123"/>
      <c r="C526" s="123"/>
      <c r="D526" s="123"/>
      <c r="E526" s="123"/>
      <c r="F526" s="123"/>
      <c r="G526" s="123"/>
      <c r="H526" s="123"/>
      <c r="I526" s="123"/>
      <c r="J526" s="123"/>
      <c r="K526" s="123"/>
      <c r="L526" s="123"/>
      <c r="M526" s="123"/>
      <c r="N526" s="123"/>
      <c r="O526" s="123"/>
      <c r="P526" s="123"/>
      <c r="Q526" s="123"/>
      <c r="R526" s="123"/>
      <c r="S526" s="123"/>
      <c r="T526" s="123"/>
    </row>
    <row r="527" spans="2:20" ht="16.5" customHeight="1">
      <c r="B527" s="123"/>
      <c r="C527" s="123"/>
      <c r="D527" s="123"/>
      <c r="E527" s="123"/>
      <c r="F527" s="123"/>
      <c r="G527" s="123"/>
      <c r="H527" s="123"/>
      <c r="I527" s="123"/>
      <c r="J527" s="123"/>
      <c r="K527" s="123"/>
      <c r="L527" s="123"/>
      <c r="M527" s="123"/>
      <c r="N527" s="123"/>
      <c r="O527" s="123"/>
      <c r="P527" s="123"/>
      <c r="Q527" s="123"/>
      <c r="R527" s="123"/>
      <c r="S527" s="123"/>
      <c r="T527" s="123"/>
    </row>
    <row r="528" spans="2:20" ht="16.5" customHeight="1">
      <c r="B528" s="123"/>
      <c r="C528" s="123"/>
      <c r="D528" s="123"/>
      <c r="E528" s="123"/>
      <c r="F528" s="123"/>
      <c r="G528" s="123"/>
      <c r="H528" s="123"/>
      <c r="I528" s="123"/>
      <c r="J528" s="123"/>
      <c r="K528" s="123"/>
      <c r="L528" s="123"/>
      <c r="M528" s="123"/>
      <c r="N528" s="123"/>
      <c r="O528" s="123"/>
      <c r="P528" s="123"/>
      <c r="Q528" s="123"/>
      <c r="R528" s="123"/>
      <c r="S528" s="123"/>
      <c r="T528" s="123"/>
    </row>
    <row r="529" spans="2:20" ht="16.5" customHeight="1">
      <c r="B529" s="123"/>
      <c r="C529" s="123"/>
      <c r="D529" s="123"/>
      <c r="E529" s="123"/>
      <c r="F529" s="123"/>
      <c r="G529" s="123"/>
      <c r="H529" s="123"/>
      <c r="I529" s="123"/>
      <c r="J529" s="123"/>
      <c r="K529" s="123"/>
      <c r="L529" s="123"/>
      <c r="M529" s="123"/>
      <c r="N529" s="123"/>
      <c r="O529" s="123"/>
      <c r="P529" s="123"/>
      <c r="Q529" s="123"/>
      <c r="R529" s="123"/>
      <c r="S529" s="123"/>
      <c r="T529" s="123"/>
    </row>
    <row r="530" spans="2:20" ht="16.5" customHeight="1">
      <c r="B530" s="123"/>
      <c r="C530" s="123"/>
      <c r="D530" s="123"/>
      <c r="E530" s="123"/>
      <c r="F530" s="123"/>
      <c r="G530" s="123"/>
      <c r="H530" s="123"/>
      <c r="I530" s="123"/>
      <c r="J530" s="123"/>
      <c r="K530" s="123"/>
      <c r="L530" s="123"/>
      <c r="M530" s="123"/>
      <c r="N530" s="123"/>
      <c r="O530" s="123"/>
      <c r="P530" s="123"/>
      <c r="Q530" s="123"/>
      <c r="R530" s="123"/>
      <c r="S530" s="123"/>
      <c r="T530" s="123"/>
    </row>
    <row r="531" spans="2:20" ht="16.5" customHeight="1">
      <c r="B531" s="123"/>
      <c r="C531" s="123"/>
      <c r="D531" s="123"/>
      <c r="E531" s="123"/>
      <c r="F531" s="123"/>
      <c r="G531" s="123"/>
      <c r="H531" s="123"/>
      <c r="I531" s="123"/>
      <c r="J531" s="123"/>
      <c r="K531" s="123"/>
      <c r="L531" s="123"/>
      <c r="M531" s="123"/>
      <c r="N531" s="123"/>
      <c r="O531" s="123"/>
      <c r="P531" s="123"/>
      <c r="Q531" s="123"/>
      <c r="R531" s="123"/>
      <c r="S531" s="123"/>
      <c r="T531" s="123"/>
    </row>
    <row r="532" spans="2:20" ht="16.5" customHeight="1">
      <c r="B532" s="123"/>
      <c r="C532" s="123"/>
      <c r="D532" s="123"/>
      <c r="E532" s="123"/>
      <c r="F532" s="123"/>
      <c r="G532" s="123"/>
      <c r="H532" s="123"/>
      <c r="I532" s="123"/>
      <c r="J532" s="123"/>
      <c r="K532" s="123"/>
      <c r="L532" s="123"/>
      <c r="M532" s="123"/>
      <c r="N532" s="123"/>
      <c r="O532" s="123"/>
      <c r="P532" s="123"/>
      <c r="Q532" s="123"/>
      <c r="R532" s="123"/>
      <c r="S532" s="123"/>
      <c r="T532" s="123"/>
    </row>
    <row r="533" spans="2:20" ht="16.5" customHeight="1">
      <c r="B533" s="123"/>
      <c r="C533" s="123"/>
      <c r="D533" s="123"/>
      <c r="E533" s="123"/>
      <c r="F533" s="123"/>
      <c r="G533" s="123"/>
      <c r="H533" s="123"/>
      <c r="I533" s="123"/>
      <c r="J533" s="123"/>
      <c r="K533" s="123"/>
      <c r="L533" s="123"/>
      <c r="M533" s="123"/>
      <c r="N533" s="123"/>
      <c r="O533" s="123"/>
      <c r="P533" s="123"/>
      <c r="Q533" s="123"/>
      <c r="R533" s="123"/>
      <c r="S533" s="123"/>
      <c r="T533" s="123"/>
    </row>
    <row r="534" spans="2:20" ht="16.5" customHeight="1">
      <c r="B534" s="123"/>
      <c r="C534" s="123"/>
      <c r="D534" s="123"/>
      <c r="E534" s="123"/>
      <c r="F534" s="123"/>
      <c r="G534" s="123"/>
      <c r="H534" s="123"/>
      <c r="I534" s="123"/>
      <c r="J534" s="123"/>
      <c r="K534" s="123"/>
      <c r="L534" s="123"/>
      <c r="M534" s="123"/>
      <c r="N534" s="123"/>
      <c r="O534" s="123"/>
      <c r="P534" s="123"/>
      <c r="Q534" s="123"/>
      <c r="R534" s="123"/>
      <c r="S534" s="123"/>
      <c r="T534" s="123"/>
    </row>
    <row r="535" spans="2:20" ht="16.5" customHeight="1">
      <c r="B535" s="123"/>
      <c r="C535" s="123"/>
      <c r="D535" s="123"/>
      <c r="E535" s="123"/>
      <c r="F535" s="123"/>
      <c r="G535" s="123"/>
      <c r="H535" s="123"/>
      <c r="I535" s="123"/>
      <c r="J535" s="123"/>
      <c r="K535" s="123"/>
      <c r="L535" s="123"/>
      <c r="M535" s="123"/>
      <c r="N535" s="123"/>
      <c r="O535" s="123"/>
      <c r="P535" s="123"/>
      <c r="Q535" s="123"/>
      <c r="R535" s="123"/>
      <c r="S535" s="123"/>
      <c r="T535" s="123"/>
    </row>
    <row r="536" spans="2:20" ht="16.5" customHeight="1">
      <c r="B536" s="123"/>
      <c r="C536" s="123"/>
      <c r="D536" s="123"/>
      <c r="E536" s="123"/>
      <c r="F536" s="123"/>
      <c r="G536" s="123"/>
      <c r="H536" s="123"/>
      <c r="I536" s="123"/>
      <c r="J536" s="123"/>
      <c r="K536" s="123"/>
      <c r="L536" s="123"/>
      <c r="M536" s="123"/>
      <c r="N536" s="123"/>
      <c r="O536" s="123"/>
      <c r="P536" s="123"/>
      <c r="Q536" s="123"/>
      <c r="R536" s="123"/>
      <c r="S536" s="123"/>
      <c r="T536" s="123"/>
    </row>
    <row r="537" spans="2:20" ht="16.5" customHeight="1">
      <c r="B537" s="123"/>
      <c r="C537" s="123"/>
      <c r="D537" s="123"/>
      <c r="E537" s="123"/>
      <c r="F537" s="123"/>
      <c r="G537" s="123"/>
      <c r="H537" s="123"/>
      <c r="I537" s="123"/>
      <c r="J537" s="123"/>
      <c r="K537" s="123"/>
      <c r="L537" s="123"/>
      <c r="M537" s="123"/>
      <c r="N537" s="123"/>
      <c r="O537" s="123"/>
      <c r="P537" s="123"/>
      <c r="Q537" s="123"/>
      <c r="R537" s="123"/>
      <c r="S537" s="123"/>
      <c r="T537" s="123"/>
    </row>
    <row r="538" spans="2:20" ht="16.5" customHeight="1">
      <c r="B538" s="123"/>
      <c r="C538" s="123"/>
      <c r="D538" s="123"/>
      <c r="E538" s="123"/>
      <c r="F538" s="123"/>
      <c r="G538" s="123"/>
      <c r="H538" s="123"/>
      <c r="I538" s="123"/>
      <c r="J538" s="123"/>
      <c r="K538" s="123"/>
      <c r="L538" s="123"/>
      <c r="M538" s="123"/>
      <c r="N538" s="123"/>
      <c r="O538" s="123"/>
      <c r="P538" s="123"/>
      <c r="Q538" s="123"/>
      <c r="R538" s="123"/>
      <c r="S538" s="123"/>
      <c r="T538" s="123"/>
    </row>
    <row r="539" spans="2:20" ht="16.5" customHeight="1">
      <c r="B539" s="123"/>
      <c r="C539" s="123"/>
      <c r="D539" s="123"/>
      <c r="E539" s="123"/>
      <c r="F539" s="123"/>
      <c r="G539" s="123"/>
      <c r="H539" s="123"/>
      <c r="I539" s="123"/>
      <c r="J539" s="123"/>
      <c r="K539" s="123"/>
      <c r="L539" s="123"/>
      <c r="M539" s="123"/>
      <c r="N539" s="123"/>
      <c r="O539" s="123"/>
      <c r="P539" s="123"/>
      <c r="Q539" s="123"/>
      <c r="R539" s="123"/>
      <c r="S539" s="123"/>
      <c r="T539" s="123"/>
    </row>
    <row r="540" spans="2:20" ht="16.5" customHeight="1">
      <c r="B540" s="123"/>
      <c r="C540" s="123"/>
      <c r="D540" s="123"/>
      <c r="E540" s="123"/>
      <c r="F540" s="123"/>
      <c r="G540" s="123"/>
      <c r="H540" s="123"/>
      <c r="I540" s="123"/>
      <c r="J540" s="123"/>
      <c r="K540" s="123"/>
      <c r="L540" s="123"/>
      <c r="M540" s="123"/>
      <c r="N540" s="123"/>
      <c r="O540" s="123"/>
      <c r="P540" s="123"/>
      <c r="Q540" s="123"/>
      <c r="R540" s="123"/>
      <c r="S540" s="123"/>
      <c r="T540" s="123"/>
    </row>
    <row r="541" spans="2:20" ht="16.5" customHeight="1">
      <c r="B541" s="123"/>
      <c r="C541" s="123"/>
      <c r="D541" s="123"/>
      <c r="E541" s="123"/>
      <c r="F541" s="123"/>
      <c r="G541" s="123"/>
      <c r="H541" s="123"/>
      <c r="I541" s="123"/>
      <c r="J541" s="123"/>
      <c r="K541" s="123"/>
      <c r="L541" s="123"/>
      <c r="M541" s="123"/>
      <c r="N541" s="123"/>
      <c r="O541" s="123"/>
      <c r="P541" s="123"/>
      <c r="Q541" s="123"/>
      <c r="R541" s="123"/>
      <c r="S541" s="123"/>
      <c r="T541" s="123"/>
    </row>
    <row r="542" spans="2:20" ht="16.5" customHeight="1">
      <c r="B542" s="123"/>
      <c r="C542" s="123"/>
      <c r="D542" s="123"/>
      <c r="E542" s="123"/>
      <c r="F542" s="123"/>
      <c r="G542" s="123"/>
      <c r="H542" s="123"/>
      <c r="I542" s="123"/>
      <c r="J542" s="123"/>
      <c r="K542" s="123"/>
      <c r="L542" s="123"/>
      <c r="M542" s="123"/>
      <c r="N542" s="123"/>
      <c r="O542" s="123"/>
      <c r="P542" s="123"/>
      <c r="Q542" s="123"/>
      <c r="R542" s="123"/>
      <c r="S542" s="123"/>
      <c r="T542" s="123"/>
    </row>
    <row r="543" spans="2:20" ht="16.5" customHeight="1">
      <c r="B543" s="123"/>
      <c r="C543" s="123"/>
      <c r="D543" s="123"/>
      <c r="E543" s="123"/>
      <c r="F543" s="123"/>
      <c r="G543" s="123"/>
      <c r="H543" s="123"/>
      <c r="I543" s="123"/>
      <c r="J543" s="123"/>
      <c r="K543" s="123"/>
      <c r="L543" s="123"/>
      <c r="M543" s="123"/>
      <c r="N543" s="123"/>
      <c r="O543" s="123"/>
      <c r="P543" s="123"/>
      <c r="Q543" s="123"/>
      <c r="R543" s="123"/>
      <c r="S543" s="123"/>
      <c r="T543" s="123"/>
    </row>
    <row r="544" spans="2:20" ht="16.5" customHeight="1">
      <c r="B544" s="123"/>
      <c r="C544" s="123"/>
      <c r="D544" s="123"/>
      <c r="E544" s="123"/>
      <c r="F544" s="123"/>
      <c r="G544" s="123"/>
      <c r="H544" s="123"/>
      <c r="I544" s="123"/>
      <c r="J544" s="123"/>
      <c r="K544" s="123"/>
      <c r="L544" s="123"/>
      <c r="M544" s="123"/>
      <c r="N544" s="123"/>
      <c r="O544" s="123"/>
      <c r="P544" s="123"/>
      <c r="Q544" s="123"/>
      <c r="R544" s="123"/>
      <c r="S544" s="123"/>
      <c r="T544" s="123"/>
    </row>
    <row r="545" spans="2:20" ht="16.5" customHeight="1">
      <c r="B545" s="123"/>
      <c r="C545" s="123"/>
      <c r="D545" s="123"/>
      <c r="E545" s="123"/>
      <c r="F545" s="123"/>
      <c r="G545" s="123"/>
      <c r="H545" s="123"/>
      <c r="I545" s="123"/>
      <c r="J545" s="123"/>
      <c r="K545" s="123"/>
      <c r="L545" s="123"/>
      <c r="M545" s="123"/>
      <c r="N545" s="123"/>
      <c r="O545" s="123"/>
      <c r="P545" s="123"/>
      <c r="Q545" s="123"/>
      <c r="R545" s="123"/>
      <c r="S545" s="123"/>
      <c r="T545" s="123"/>
    </row>
    <row r="546" spans="2:20" ht="16.5" customHeight="1">
      <c r="B546" s="123"/>
      <c r="C546" s="123"/>
      <c r="D546" s="123"/>
      <c r="E546" s="123"/>
      <c r="F546" s="123"/>
      <c r="G546" s="123"/>
      <c r="H546" s="123"/>
      <c r="I546" s="123"/>
      <c r="J546" s="123"/>
      <c r="K546" s="123"/>
      <c r="L546" s="123"/>
      <c r="M546" s="123"/>
      <c r="N546" s="123"/>
      <c r="O546" s="123"/>
      <c r="P546" s="123"/>
      <c r="Q546" s="123"/>
      <c r="R546" s="123"/>
      <c r="S546" s="123"/>
      <c r="T546" s="123"/>
    </row>
    <row r="547" spans="2:20" ht="16.5" customHeight="1">
      <c r="B547" s="123"/>
      <c r="C547" s="123"/>
      <c r="D547" s="123"/>
      <c r="E547" s="123"/>
      <c r="F547" s="123"/>
      <c r="G547" s="123"/>
      <c r="H547" s="123"/>
      <c r="I547" s="123"/>
      <c r="J547" s="123"/>
      <c r="K547" s="123"/>
      <c r="L547" s="123"/>
      <c r="M547" s="123"/>
      <c r="N547" s="123"/>
      <c r="O547" s="123"/>
      <c r="P547" s="123"/>
      <c r="Q547" s="123"/>
      <c r="R547" s="123"/>
      <c r="S547" s="123"/>
      <c r="T547" s="123"/>
    </row>
    <row r="548" spans="2:20" ht="16.5" customHeight="1">
      <c r="B548" s="123"/>
      <c r="C548" s="123"/>
      <c r="D548" s="123"/>
      <c r="E548" s="123"/>
      <c r="F548" s="123"/>
      <c r="G548" s="123"/>
      <c r="H548" s="123"/>
      <c r="I548" s="123"/>
      <c r="J548" s="123"/>
      <c r="K548" s="123"/>
      <c r="L548" s="123"/>
      <c r="M548" s="123"/>
      <c r="N548" s="123"/>
      <c r="O548" s="123"/>
      <c r="P548" s="123"/>
      <c r="Q548" s="123"/>
      <c r="R548" s="123"/>
      <c r="S548" s="123"/>
      <c r="T548" s="123"/>
    </row>
    <row r="549" spans="2:20" ht="16.5" customHeight="1">
      <c r="B549" s="123"/>
      <c r="C549" s="123"/>
      <c r="D549" s="123"/>
      <c r="E549" s="123"/>
      <c r="F549" s="123"/>
      <c r="G549" s="123"/>
      <c r="H549" s="123"/>
      <c r="I549" s="123"/>
      <c r="J549" s="123"/>
      <c r="K549" s="123"/>
      <c r="L549" s="123"/>
      <c r="M549" s="123"/>
      <c r="N549" s="123"/>
      <c r="O549" s="123"/>
      <c r="P549" s="123"/>
      <c r="Q549" s="123"/>
      <c r="R549" s="123"/>
      <c r="S549" s="123"/>
      <c r="T549" s="123"/>
    </row>
    <row r="550" spans="2:20" ht="16.5" customHeight="1">
      <c r="B550" s="123"/>
      <c r="C550" s="123"/>
      <c r="D550" s="123"/>
      <c r="E550" s="123"/>
      <c r="F550" s="123"/>
      <c r="G550" s="123"/>
      <c r="H550" s="123"/>
      <c r="I550" s="123"/>
      <c r="J550" s="123"/>
      <c r="K550" s="123"/>
      <c r="L550" s="123"/>
      <c r="M550" s="123"/>
      <c r="N550" s="123"/>
      <c r="O550" s="123"/>
      <c r="P550" s="123"/>
      <c r="Q550" s="123"/>
      <c r="R550" s="123"/>
      <c r="S550" s="123"/>
      <c r="T550" s="123"/>
    </row>
    <row r="551" spans="2:20" ht="16.5" customHeight="1">
      <c r="B551" s="123"/>
      <c r="C551" s="123"/>
      <c r="D551" s="123"/>
      <c r="E551" s="123"/>
      <c r="F551" s="123"/>
      <c r="G551" s="123"/>
      <c r="H551" s="123"/>
      <c r="I551" s="123"/>
      <c r="J551" s="123"/>
      <c r="K551" s="123"/>
      <c r="L551" s="123"/>
      <c r="M551" s="123"/>
      <c r="N551" s="123"/>
      <c r="O551" s="123"/>
      <c r="P551" s="123"/>
      <c r="Q551" s="123"/>
      <c r="R551" s="123"/>
      <c r="S551" s="123"/>
      <c r="T551" s="123"/>
    </row>
    <row r="552" spans="2:20" ht="16.5" customHeight="1">
      <c r="B552" s="123"/>
      <c r="C552" s="123"/>
      <c r="D552" s="123"/>
      <c r="E552" s="123"/>
      <c r="F552" s="123"/>
      <c r="G552" s="123"/>
      <c r="H552" s="123"/>
      <c r="I552" s="123"/>
      <c r="J552" s="123"/>
      <c r="K552" s="123"/>
      <c r="L552" s="123"/>
      <c r="M552" s="123"/>
      <c r="N552" s="123"/>
      <c r="O552" s="123"/>
      <c r="P552" s="123"/>
      <c r="Q552" s="123"/>
      <c r="R552" s="123"/>
      <c r="S552" s="123"/>
      <c r="T552" s="123"/>
    </row>
    <row r="553" spans="2:20" ht="16.5" customHeight="1">
      <c r="B553" s="123"/>
      <c r="C553" s="123"/>
      <c r="D553" s="123"/>
      <c r="E553" s="123"/>
      <c r="F553" s="123"/>
      <c r="G553" s="123"/>
      <c r="H553" s="123"/>
      <c r="I553" s="123"/>
      <c r="J553" s="123"/>
      <c r="K553" s="123"/>
      <c r="L553" s="123"/>
      <c r="M553" s="123"/>
      <c r="N553" s="123"/>
      <c r="O553" s="123"/>
      <c r="P553" s="123"/>
      <c r="Q553" s="123"/>
      <c r="R553" s="123"/>
      <c r="S553" s="123"/>
      <c r="T553" s="123"/>
    </row>
    <row r="554" spans="2:20" ht="16.5" customHeight="1">
      <c r="B554" s="123"/>
      <c r="C554" s="123"/>
      <c r="D554" s="123"/>
      <c r="E554" s="123"/>
      <c r="F554" s="123"/>
      <c r="G554" s="123"/>
      <c r="H554" s="123"/>
      <c r="I554" s="123"/>
      <c r="J554" s="123"/>
      <c r="K554" s="123"/>
      <c r="L554" s="123"/>
      <c r="M554" s="123"/>
      <c r="N554" s="123"/>
      <c r="O554" s="123"/>
      <c r="P554" s="123"/>
      <c r="Q554" s="123"/>
      <c r="R554" s="123"/>
      <c r="S554" s="123"/>
      <c r="T554" s="123"/>
    </row>
    <row r="555" spans="2:20" ht="16.5" customHeight="1">
      <c r="B555" s="123"/>
      <c r="C555" s="123"/>
      <c r="D555" s="123"/>
      <c r="E555" s="123"/>
      <c r="F555" s="123"/>
      <c r="G555" s="123"/>
      <c r="H555" s="123"/>
      <c r="I555" s="123"/>
      <c r="J555" s="123"/>
      <c r="K555" s="123"/>
      <c r="L555" s="123"/>
      <c r="M555" s="123"/>
      <c r="N555" s="123"/>
      <c r="O555" s="123"/>
      <c r="P555" s="123"/>
      <c r="Q555" s="123"/>
      <c r="R555" s="123"/>
      <c r="S555" s="123"/>
      <c r="T555" s="123"/>
    </row>
    <row r="556" spans="2:20" ht="16.5" customHeight="1">
      <c r="B556" s="123"/>
      <c r="C556" s="123"/>
      <c r="D556" s="123"/>
      <c r="E556" s="123"/>
      <c r="F556" s="123"/>
      <c r="G556" s="123"/>
      <c r="H556" s="123"/>
      <c r="I556" s="123"/>
      <c r="J556" s="123"/>
      <c r="K556" s="123"/>
      <c r="L556" s="123"/>
      <c r="M556" s="123"/>
      <c r="N556" s="123"/>
      <c r="O556" s="123"/>
      <c r="P556" s="123"/>
      <c r="Q556" s="123"/>
      <c r="R556" s="123"/>
      <c r="S556" s="123"/>
      <c r="T556" s="123"/>
    </row>
    <row r="557" spans="2:20" ht="16.5" customHeight="1">
      <c r="B557" s="123"/>
      <c r="C557" s="123"/>
      <c r="D557" s="123"/>
      <c r="E557" s="123"/>
      <c r="F557" s="123"/>
      <c r="G557" s="123"/>
      <c r="H557" s="123"/>
      <c r="I557" s="123"/>
      <c r="J557" s="123"/>
      <c r="K557" s="123"/>
      <c r="L557" s="123"/>
      <c r="M557" s="123"/>
      <c r="N557" s="123"/>
      <c r="O557" s="123"/>
      <c r="P557" s="123"/>
      <c r="Q557" s="123"/>
      <c r="R557" s="123"/>
      <c r="S557" s="123"/>
      <c r="T557" s="123"/>
    </row>
    <row r="558" spans="2:20" ht="16.5" customHeight="1">
      <c r="B558" s="123"/>
      <c r="C558" s="123"/>
      <c r="D558" s="123"/>
      <c r="E558" s="123"/>
      <c r="F558" s="123"/>
      <c r="G558" s="123"/>
      <c r="H558" s="123"/>
      <c r="I558" s="123"/>
      <c r="J558" s="123"/>
      <c r="K558" s="123"/>
      <c r="L558" s="123"/>
      <c r="M558" s="123"/>
      <c r="N558" s="123"/>
      <c r="O558" s="123"/>
      <c r="P558" s="123"/>
      <c r="Q558" s="123"/>
      <c r="R558" s="123"/>
      <c r="S558" s="123"/>
      <c r="T558" s="123"/>
    </row>
    <row r="559" spans="2:20" ht="16.5" customHeight="1">
      <c r="B559" s="123"/>
      <c r="C559" s="123"/>
      <c r="D559" s="123"/>
      <c r="E559" s="123"/>
      <c r="F559" s="123"/>
      <c r="G559" s="123"/>
      <c r="H559" s="123"/>
      <c r="I559" s="123"/>
      <c r="J559" s="123"/>
      <c r="K559" s="123"/>
      <c r="L559" s="123"/>
      <c r="M559" s="123"/>
      <c r="N559" s="123"/>
      <c r="O559" s="123"/>
      <c r="P559" s="123"/>
      <c r="Q559" s="123"/>
      <c r="R559" s="123"/>
      <c r="S559" s="123"/>
      <c r="T559" s="123"/>
    </row>
    <row r="560" spans="2:20" ht="16.5" customHeight="1">
      <c r="B560" s="123"/>
      <c r="C560" s="123"/>
      <c r="D560" s="123"/>
      <c r="E560" s="123"/>
      <c r="F560" s="123"/>
      <c r="G560" s="123"/>
      <c r="H560" s="123"/>
      <c r="I560" s="123"/>
      <c r="J560" s="123"/>
      <c r="K560" s="123"/>
      <c r="L560" s="123"/>
      <c r="M560" s="123"/>
      <c r="N560" s="123"/>
      <c r="O560" s="123"/>
      <c r="P560" s="123"/>
      <c r="Q560" s="123"/>
      <c r="R560" s="123"/>
      <c r="S560" s="123"/>
      <c r="T560" s="123"/>
    </row>
    <row r="561" spans="2:20" ht="16.5" customHeight="1">
      <c r="B561" s="123"/>
      <c r="C561" s="123"/>
      <c r="D561" s="123"/>
      <c r="E561" s="123"/>
      <c r="F561" s="123"/>
      <c r="G561" s="123"/>
      <c r="H561" s="123"/>
      <c r="I561" s="123"/>
      <c r="J561" s="123"/>
      <c r="K561" s="123"/>
      <c r="L561" s="123"/>
      <c r="M561" s="123"/>
      <c r="N561" s="123"/>
      <c r="O561" s="123"/>
      <c r="P561" s="123"/>
      <c r="Q561" s="123"/>
      <c r="R561" s="123"/>
      <c r="S561" s="123"/>
      <c r="T561" s="123"/>
    </row>
    <row r="562" spans="2:20" ht="16.5" customHeight="1">
      <c r="B562" s="123"/>
      <c r="C562" s="123"/>
      <c r="D562" s="123"/>
      <c r="E562" s="123"/>
      <c r="F562" s="123"/>
      <c r="G562" s="123"/>
      <c r="H562" s="123"/>
      <c r="I562" s="123"/>
      <c r="J562" s="123"/>
      <c r="K562" s="123"/>
      <c r="L562" s="123"/>
      <c r="M562" s="123"/>
      <c r="N562" s="123"/>
      <c r="O562" s="123"/>
      <c r="P562" s="123"/>
      <c r="Q562" s="123"/>
      <c r="R562" s="123"/>
      <c r="S562" s="123"/>
      <c r="T562" s="123"/>
    </row>
    <row r="563" spans="2:20" ht="16.5" customHeight="1">
      <c r="B563" s="123"/>
      <c r="C563" s="123"/>
      <c r="D563" s="123"/>
      <c r="E563" s="123"/>
      <c r="F563" s="123"/>
      <c r="G563" s="123"/>
      <c r="H563" s="123"/>
      <c r="I563" s="123"/>
      <c r="J563" s="123"/>
      <c r="K563" s="123"/>
      <c r="L563" s="123"/>
      <c r="M563" s="123"/>
      <c r="N563" s="123"/>
      <c r="O563" s="123"/>
      <c r="P563" s="123"/>
      <c r="Q563" s="123"/>
      <c r="R563" s="123"/>
      <c r="S563" s="123"/>
      <c r="T563" s="123"/>
    </row>
    <row r="564" spans="2:20" ht="16.5" customHeight="1">
      <c r="B564" s="123"/>
      <c r="C564" s="123"/>
      <c r="D564" s="123"/>
      <c r="E564" s="123"/>
      <c r="F564" s="123"/>
      <c r="G564" s="123"/>
      <c r="H564" s="123"/>
      <c r="I564" s="123"/>
      <c r="J564" s="123"/>
      <c r="K564" s="123"/>
      <c r="L564" s="123"/>
      <c r="M564" s="123"/>
      <c r="N564" s="123"/>
      <c r="O564" s="123"/>
      <c r="P564" s="123"/>
      <c r="Q564" s="123"/>
      <c r="R564" s="123"/>
      <c r="S564" s="123"/>
      <c r="T564" s="123"/>
    </row>
    <row r="565" spans="2:20" ht="16.5" customHeight="1">
      <c r="B565" s="123"/>
      <c r="C565" s="123"/>
      <c r="D565" s="123"/>
      <c r="E565" s="123"/>
      <c r="F565" s="123"/>
      <c r="G565" s="123"/>
      <c r="H565" s="123"/>
      <c r="I565" s="123"/>
      <c r="J565" s="123"/>
      <c r="K565" s="123"/>
      <c r="L565" s="123"/>
      <c r="M565" s="123"/>
      <c r="N565" s="123"/>
      <c r="O565" s="123"/>
      <c r="P565" s="123"/>
      <c r="Q565" s="123"/>
      <c r="R565" s="123"/>
      <c r="S565" s="123"/>
      <c r="T565" s="123"/>
    </row>
    <row r="566" spans="2:20" ht="16.5" customHeight="1">
      <c r="B566" s="123"/>
      <c r="C566" s="123"/>
      <c r="D566" s="123"/>
      <c r="E566" s="123"/>
      <c r="F566" s="123"/>
      <c r="G566" s="123"/>
      <c r="H566" s="123"/>
      <c r="I566" s="123"/>
      <c r="J566" s="123"/>
      <c r="K566" s="123"/>
      <c r="L566" s="123"/>
      <c r="M566" s="123"/>
      <c r="N566" s="123"/>
      <c r="O566" s="123"/>
      <c r="P566" s="123"/>
      <c r="Q566" s="123"/>
      <c r="R566" s="123"/>
      <c r="S566" s="123"/>
      <c r="T566" s="123"/>
    </row>
    <row r="567" spans="2:20" ht="16.5" customHeight="1">
      <c r="B567" s="123"/>
      <c r="C567" s="123"/>
      <c r="D567" s="123"/>
      <c r="E567" s="123"/>
      <c r="F567" s="123"/>
      <c r="G567" s="123"/>
      <c r="H567" s="123"/>
      <c r="I567" s="123"/>
      <c r="J567" s="123"/>
      <c r="K567" s="123"/>
      <c r="L567" s="123"/>
      <c r="M567" s="123"/>
      <c r="N567" s="123"/>
      <c r="O567" s="123"/>
      <c r="P567" s="123"/>
      <c r="Q567" s="123"/>
      <c r="R567" s="123"/>
      <c r="S567" s="123"/>
      <c r="T567" s="123"/>
    </row>
    <row r="568" spans="2:20" ht="16.5" customHeight="1">
      <c r="B568" s="123"/>
      <c r="C568" s="123"/>
      <c r="D568" s="123"/>
      <c r="E568" s="123"/>
      <c r="F568" s="123"/>
      <c r="G568" s="123"/>
      <c r="H568" s="123"/>
      <c r="I568" s="123"/>
      <c r="J568" s="123"/>
      <c r="K568" s="123"/>
      <c r="L568" s="123"/>
      <c r="M568" s="123"/>
      <c r="N568" s="123"/>
      <c r="O568" s="123"/>
      <c r="P568" s="123"/>
      <c r="Q568" s="123"/>
      <c r="R568" s="123"/>
      <c r="S568" s="123"/>
      <c r="T568" s="123"/>
    </row>
    <row r="569" spans="2:20" ht="16.5" customHeight="1">
      <c r="B569" s="123"/>
      <c r="C569" s="123"/>
      <c r="D569" s="123"/>
      <c r="E569" s="123"/>
      <c r="F569" s="123"/>
      <c r="G569" s="123"/>
      <c r="H569" s="123"/>
      <c r="I569" s="123"/>
      <c r="J569" s="123"/>
      <c r="K569" s="123"/>
      <c r="L569" s="123"/>
      <c r="M569" s="123"/>
      <c r="N569" s="123"/>
      <c r="O569" s="123"/>
      <c r="P569" s="123"/>
      <c r="Q569" s="123"/>
      <c r="R569" s="123"/>
      <c r="S569" s="123"/>
      <c r="T569" s="123"/>
    </row>
    <row r="570" spans="2:20" ht="16.5" customHeight="1">
      <c r="B570" s="123"/>
      <c r="C570" s="123"/>
      <c r="D570" s="123"/>
      <c r="E570" s="123"/>
      <c r="F570" s="123"/>
      <c r="G570" s="123"/>
      <c r="H570" s="123"/>
      <c r="I570" s="123"/>
      <c r="J570" s="123"/>
      <c r="K570" s="123"/>
      <c r="L570" s="123"/>
      <c r="M570" s="123"/>
      <c r="N570" s="123"/>
      <c r="O570" s="123"/>
      <c r="P570" s="123"/>
      <c r="Q570" s="123"/>
      <c r="R570" s="123"/>
      <c r="S570" s="123"/>
      <c r="T570" s="123"/>
    </row>
    <row r="571" spans="2:20" ht="16.5" customHeight="1">
      <c r="B571" s="123"/>
      <c r="C571" s="123"/>
      <c r="D571" s="123"/>
      <c r="E571" s="123"/>
      <c r="F571" s="123"/>
      <c r="G571" s="123"/>
      <c r="H571" s="123"/>
      <c r="I571" s="123"/>
      <c r="J571" s="123"/>
      <c r="K571" s="123"/>
      <c r="L571" s="123"/>
      <c r="M571" s="123"/>
      <c r="N571" s="123"/>
      <c r="O571" s="123"/>
      <c r="P571" s="123"/>
      <c r="Q571" s="123"/>
      <c r="R571" s="123"/>
      <c r="S571" s="123"/>
      <c r="T571" s="123"/>
    </row>
    <row r="572" spans="2:20" ht="16.5" customHeight="1">
      <c r="B572" s="123"/>
      <c r="C572" s="123"/>
      <c r="D572" s="123"/>
      <c r="E572" s="123"/>
      <c r="F572" s="123"/>
      <c r="G572" s="123"/>
      <c r="H572" s="123"/>
      <c r="I572" s="123"/>
      <c r="J572" s="123"/>
      <c r="K572" s="123"/>
      <c r="L572" s="123"/>
      <c r="M572" s="123"/>
      <c r="N572" s="123"/>
      <c r="O572" s="123"/>
      <c r="P572" s="123"/>
      <c r="Q572" s="123"/>
      <c r="R572" s="123"/>
      <c r="S572" s="123"/>
      <c r="T572" s="123"/>
    </row>
    <row r="573" spans="2:20" ht="16.5" customHeight="1">
      <c r="B573" s="123"/>
      <c r="C573" s="123"/>
      <c r="D573" s="123"/>
      <c r="E573" s="123"/>
      <c r="F573" s="123"/>
      <c r="G573" s="123"/>
      <c r="H573" s="123"/>
      <c r="I573" s="123"/>
      <c r="J573" s="123"/>
      <c r="K573" s="123"/>
      <c r="L573" s="123"/>
      <c r="M573" s="123"/>
      <c r="N573" s="123"/>
      <c r="O573" s="123"/>
      <c r="P573" s="123"/>
      <c r="Q573" s="123"/>
      <c r="R573" s="123"/>
      <c r="S573" s="123"/>
      <c r="T573" s="123"/>
    </row>
    <row r="574" spans="2:20" ht="16.5" customHeight="1">
      <c r="B574" s="123"/>
      <c r="C574" s="123"/>
      <c r="D574" s="123"/>
      <c r="E574" s="123"/>
      <c r="F574" s="123"/>
      <c r="G574" s="123"/>
      <c r="H574" s="123"/>
      <c r="I574" s="123"/>
      <c r="J574" s="123"/>
      <c r="K574" s="123"/>
      <c r="L574" s="123"/>
      <c r="M574" s="123"/>
      <c r="N574" s="123"/>
      <c r="O574" s="123"/>
      <c r="P574" s="123"/>
      <c r="Q574" s="123"/>
      <c r="R574" s="123"/>
      <c r="S574" s="123"/>
      <c r="T574" s="123"/>
    </row>
    <row r="575" spans="2:20" ht="16.5" customHeight="1">
      <c r="B575" s="123"/>
      <c r="C575" s="123"/>
      <c r="D575" s="123"/>
      <c r="E575" s="123"/>
      <c r="F575" s="123"/>
      <c r="G575" s="123"/>
      <c r="H575" s="123"/>
      <c r="I575" s="123"/>
      <c r="J575" s="123"/>
      <c r="K575" s="123"/>
      <c r="L575" s="123"/>
      <c r="M575" s="123"/>
      <c r="N575" s="123"/>
      <c r="O575" s="123"/>
      <c r="P575" s="123"/>
      <c r="Q575" s="123"/>
      <c r="R575" s="123"/>
      <c r="S575" s="123"/>
      <c r="T575" s="123"/>
    </row>
    <row r="576" spans="2:20" ht="16.5" customHeight="1">
      <c r="B576" s="123"/>
      <c r="C576" s="123"/>
      <c r="D576" s="123"/>
      <c r="E576" s="123"/>
      <c r="F576" s="123"/>
      <c r="G576" s="123"/>
      <c r="H576" s="123"/>
      <c r="I576" s="123"/>
      <c r="J576" s="123"/>
      <c r="K576" s="123"/>
      <c r="L576" s="123"/>
      <c r="M576" s="123"/>
      <c r="N576" s="123"/>
      <c r="O576" s="123"/>
      <c r="P576" s="123"/>
      <c r="Q576" s="123"/>
      <c r="R576" s="123"/>
      <c r="S576" s="123"/>
      <c r="T576" s="123"/>
    </row>
    <row r="577" spans="2:20" ht="16.5" customHeight="1">
      <c r="B577" s="123"/>
      <c r="C577" s="123"/>
      <c r="D577" s="123"/>
      <c r="E577" s="123"/>
      <c r="F577" s="123"/>
      <c r="G577" s="123"/>
      <c r="H577" s="123"/>
      <c r="I577" s="123"/>
      <c r="J577" s="123"/>
      <c r="K577" s="123"/>
      <c r="L577" s="123"/>
      <c r="M577" s="123"/>
      <c r="N577" s="123"/>
      <c r="O577" s="123"/>
      <c r="P577" s="123"/>
      <c r="Q577" s="123"/>
      <c r="R577" s="123"/>
      <c r="S577" s="123"/>
      <c r="T577" s="123"/>
    </row>
    <row r="578" spans="2:20" ht="16.5" customHeight="1">
      <c r="B578" s="123"/>
      <c r="C578" s="123"/>
      <c r="D578" s="123"/>
      <c r="E578" s="123"/>
      <c r="F578" s="123"/>
      <c r="G578" s="123"/>
      <c r="H578" s="123"/>
      <c r="I578" s="123"/>
      <c r="J578" s="123"/>
      <c r="K578" s="123"/>
      <c r="L578" s="123"/>
      <c r="M578" s="123"/>
      <c r="N578" s="123"/>
      <c r="O578" s="123"/>
      <c r="P578" s="123"/>
      <c r="Q578" s="123"/>
      <c r="R578" s="123"/>
      <c r="S578" s="123"/>
      <c r="T578" s="123"/>
    </row>
    <row r="579" spans="2:20" ht="16.5" customHeight="1">
      <c r="B579" s="123"/>
      <c r="C579" s="123"/>
      <c r="D579" s="123"/>
      <c r="E579" s="123"/>
      <c r="F579" s="123"/>
      <c r="G579" s="123"/>
      <c r="H579" s="123"/>
      <c r="I579" s="123"/>
      <c r="J579" s="123"/>
      <c r="K579" s="123"/>
      <c r="L579" s="123"/>
      <c r="M579" s="123"/>
      <c r="N579" s="123"/>
      <c r="O579" s="123"/>
      <c r="P579" s="123"/>
      <c r="Q579" s="123"/>
      <c r="R579" s="123"/>
      <c r="S579" s="123"/>
      <c r="T579" s="123"/>
    </row>
    <row r="580" spans="2:20" ht="16.5" customHeight="1">
      <c r="B580" s="123"/>
      <c r="C580" s="123"/>
      <c r="D580" s="123"/>
      <c r="E580" s="123"/>
      <c r="F580" s="123"/>
      <c r="G580" s="123"/>
      <c r="H580" s="123"/>
      <c r="I580" s="123"/>
      <c r="J580" s="123"/>
      <c r="K580" s="123"/>
      <c r="L580" s="123"/>
      <c r="M580" s="123"/>
      <c r="N580" s="123"/>
      <c r="O580" s="123"/>
      <c r="P580" s="123"/>
      <c r="Q580" s="123"/>
      <c r="R580" s="123"/>
      <c r="S580" s="123"/>
      <c r="T580" s="123"/>
    </row>
    <row r="581" spans="2:20" ht="16.5" customHeight="1">
      <c r="B581" s="123"/>
      <c r="C581" s="123"/>
      <c r="D581" s="123"/>
      <c r="E581" s="123"/>
      <c r="F581" s="123"/>
      <c r="G581" s="123"/>
      <c r="H581" s="123"/>
      <c r="I581" s="123"/>
      <c r="J581" s="123"/>
      <c r="K581" s="123"/>
      <c r="L581" s="123"/>
      <c r="M581" s="123"/>
      <c r="N581" s="123"/>
      <c r="O581" s="123"/>
      <c r="P581" s="123"/>
      <c r="Q581" s="123"/>
      <c r="R581" s="123"/>
      <c r="S581" s="123"/>
      <c r="T581" s="123"/>
    </row>
    <row r="582" spans="2:20" ht="16.5" customHeight="1">
      <c r="B582" s="123"/>
      <c r="C582" s="123"/>
      <c r="D582" s="123"/>
      <c r="E582" s="123"/>
      <c r="F582" s="123"/>
      <c r="G582" s="123"/>
      <c r="H582" s="123"/>
      <c r="I582" s="123"/>
      <c r="J582" s="123"/>
      <c r="K582" s="123"/>
      <c r="L582" s="123"/>
      <c r="M582" s="123"/>
      <c r="N582" s="123"/>
      <c r="O582" s="123"/>
      <c r="P582" s="123"/>
      <c r="Q582" s="123"/>
      <c r="R582" s="123"/>
      <c r="S582" s="123"/>
      <c r="T582" s="123"/>
    </row>
    <row r="583" spans="2:20" ht="16.5" customHeight="1">
      <c r="B583" s="123"/>
      <c r="C583" s="123"/>
      <c r="D583" s="123"/>
      <c r="E583" s="123"/>
      <c r="F583" s="123"/>
      <c r="G583" s="123"/>
      <c r="H583" s="123"/>
      <c r="I583" s="123"/>
      <c r="J583" s="123"/>
      <c r="K583" s="123"/>
      <c r="L583" s="123"/>
      <c r="M583" s="123"/>
      <c r="N583" s="123"/>
      <c r="O583" s="123"/>
      <c r="P583" s="123"/>
      <c r="Q583" s="123"/>
      <c r="R583" s="123"/>
      <c r="S583" s="123"/>
      <c r="T583" s="123"/>
    </row>
    <row r="584" spans="2:20" ht="16.5" customHeight="1">
      <c r="B584" s="123"/>
      <c r="C584" s="123"/>
      <c r="D584" s="123"/>
      <c r="E584" s="123"/>
      <c r="F584" s="123"/>
      <c r="G584" s="123"/>
      <c r="H584" s="123"/>
      <c r="I584" s="123"/>
      <c r="J584" s="123"/>
      <c r="K584" s="123"/>
      <c r="L584" s="123"/>
      <c r="M584" s="123"/>
      <c r="N584" s="123"/>
      <c r="O584" s="123"/>
      <c r="P584" s="123"/>
      <c r="Q584" s="123"/>
      <c r="R584" s="123"/>
      <c r="S584" s="123"/>
      <c r="T584" s="123"/>
    </row>
    <row r="585" spans="2:20" ht="16.5" customHeight="1">
      <c r="B585" s="123"/>
      <c r="C585" s="123"/>
      <c r="D585" s="123"/>
      <c r="E585" s="123"/>
      <c r="F585" s="123"/>
      <c r="G585" s="123"/>
      <c r="H585" s="123"/>
      <c r="I585" s="123"/>
      <c r="J585" s="123"/>
      <c r="K585" s="123"/>
      <c r="L585" s="123"/>
      <c r="M585" s="123"/>
      <c r="N585" s="123"/>
      <c r="O585" s="123"/>
      <c r="P585" s="123"/>
      <c r="Q585" s="123"/>
      <c r="R585" s="123"/>
      <c r="S585" s="123"/>
      <c r="T585" s="123"/>
    </row>
    <row r="586" spans="2:20" ht="16.5" customHeight="1">
      <c r="B586" s="123"/>
      <c r="C586" s="123"/>
      <c r="D586" s="123"/>
      <c r="E586" s="123"/>
      <c r="F586" s="123"/>
      <c r="G586" s="123"/>
      <c r="H586" s="123"/>
      <c r="I586" s="123"/>
      <c r="J586" s="123"/>
      <c r="K586" s="123"/>
      <c r="L586" s="123"/>
      <c r="M586" s="123"/>
      <c r="N586" s="123"/>
      <c r="O586" s="123"/>
      <c r="P586" s="123"/>
      <c r="Q586" s="123"/>
      <c r="R586" s="123"/>
      <c r="S586" s="123"/>
      <c r="T586" s="123"/>
    </row>
    <row r="587" spans="2:20" ht="16.5" customHeight="1">
      <c r="B587" s="123"/>
      <c r="C587" s="123"/>
      <c r="D587" s="123"/>
      <c r="E587" s="123"/>
      <c r="F587" s="123"/>
      <c r="G587" s="123"/>
      <c r="H587" s="123"/>
      <c r="I587" s="123"/>
      <c r="J587" s="123"/>
      <c r="K587" s="123"/>
      <c r="L587" s="123"/>
      <c r="M587" s="123"/>
      <c r="N587" s="123"/>
      <c r="O587" s="123"/>
      <c r="P587" s="123"/>
      <c r="Q587" s="123"/>
      <c r="R587" s="123"/>
      <c r="S587" s="123"/>
      <c r="T587" s="123"/>
    </row>
    <row r="588" spans="2:20" ht="16.5" customHeight="1">
      <c r="B588" s="123"/>
      <c r="C588" s="123"/>
      <c r="D588" s="123"/>
      <c r="E588" s="123"/>
      <c r="F588" s="123"/>
      <c r="G588" s="123"/>
      <c r="H588" s="123"/>
      <c r="I588" s="123"/>
      <c r="J588" s="123"/>
      <c r="K588" s="123"/>
      <c r="L588" s="123"/>
      <c r="M588" s="123"/>
      <c r="N588" s="123"/>
      <c r="O588" s="123"/>
      <c r="P588" s="123"/>
      <c r="Q588" s="123"/>
      <c r="R588" s="123"/>
      <c r="S588" s="123"/>
      <c r="T588" s="123"/>
    </row>
    <row r="589" spans="2:20" ht="16.5" customHeight="1">
      <c r="B589" s="123"/>
      <c r="C589" s="123"/>
      <c r="D589" s="123"/>
      <c r="E589" s="123"/>
      <c r="F589" s="123"/>
      <c r="G589" s="123"/>
      <c r="H589" s="123"/>
      <c r="I589" s="123"/>
      <c r="J589" s="123"/>
      <c r="K589" s="123"/>
      <c r="L589" s="123"/>
      <c r="M589" s="123"/>
      <c r="N589" s="123"/>
      <c r="O589" s="123"/>
      <c r="P589" s="123"/>
      <c r="Q589" s="123"/>
      <c r="R589" s="123"/>
      <c r="S589" s="123"/>
      <c r="T589" s="123"/>
    </row>
    <row r="590" spans="2:20" ht="16.5" customHeight="1">
      <c r="B590" s="123"/>
      <c r="C590" s="123"/>
      <c r="D590" s="123"/>
      <c r="E590" s="123"/>
      <c r="F590" s="123"/>
      <c r="G590" s="123"/>
      <c r="H590" s="123"/>
      <c r="I590" s="123"/>
      <c r="J590" s="123"/>
      <c r="K590" s="123"/>
      <c r="L590" s="123"/>
      <c r="M590" s="123"/>
      <c r="N590" s="123"/>
      <c r="O590" s="123"/>
      <c r="P590" s="123"/>
      <c r="Q590" s="123"/>
      <c r="R590" s="123"/>
      <c r="S590" s="123"/>
      <c r="T590" s="123"/>
    </row>
    <row r="591" spans="2:20" ht="16.5" customHeight="1">
      <c r="B591" s="123"/>
      <c r="C591" s="123"/>
      <c r="D591" s="123"/>
      <c r="E591" s="123"/>
      <c r="F591" s="123"/>
      <c r="G591" s="123"/>
      <c r="H591" s="123"/>
      <c r="I591" s="123"/>
      <c r="J591" s="123"/>
      <c r="K591" s="123"/>
      <c r="L591" s="123"/>
      <c r="M591" s="123"/>
      <c r="N591" s="123"/>
      <c r="O591" s="123"/>
      <c r="P591" s="123"/>
      <c r="Q591" s="123"/>
      <c r="R591" s="123"/>
      <c r="S591" s="123"/>
      <c r="T591" s="123"/>
    </row>
    <row r="592" spans="2:20" ht="16.5" customHeight="1">
      <c r="B592" s="123"/>
      <c r="C592" s="123"/>
      <c r="D592" s="123"/>
      <c r="E592" s="123"/>
      <c r="F592" s="123"/>
      <c r="G592" s="123"/>
      <c r="H592" s="123"/>
      <c r="I592" s="123"/>
      <c r="J592" s="123"/>
      <c r="K592" s="123"/>
      <c r="L592" s="123"/>
      <c r="M592" s="123"/>
      <c r="N592" s="123"/>
      <c r="O592" s="123"/>
      <c r="P592" s="123"/>
      <c r="Q592" s="123"/>
      <c r="R592" s="123"/>
      <c r="S592" s="123"/>
      <c r="T592" s="123"/>
    </row>
    <row r="593" spans="2:20" ht="16.5" customHeight="1">
      <c r="B593" s="123"/>
      <c r="C593" s="123"/>
      <c r="D593" s="123"/>
      <c r="E593" s="123"/>
      <c r="F593" s="123"/>
      <c r="G593" s="123"/>
      <c r="H593" s="123"/>
      <c r="I593" s="123"/>
      <c r="J593" s="123"/>
      <c r="K593" s="123"/>
      <c r="L593" s="123"/>
      <c r="M593" s="123"/>
      <c r="N593" s="123"/>
      <c r="O593" s="123"/>
      <c r="P593" s="123"/>
      <c r="Q593" s="123"/>
      <c r="R593" s="123"/>
      <c r="S593" s="123"/>
      <c r="T593" s="123"/>
    </row>
    <row r="594" spans="2:20" ht="16.5" customHeight="1">
      <c r="B594" s="123"/>
      <c r="C594" s="123"/>
      <c r="D594" s="123"/>
      <c r="E594" s="123"/>
      <c r="F594" s="123"/>
      <c r="G594" s="123"/>
      <c r="H594" s="123"/>
      <c r="I594" s="123"/>
      <c r="J594" s="123"/>
      <c r="K594" s="123"/>
      <c r="L594" s="123"/>
      <c r="M594" s="123"/>
      <c r="N594" s="123"/>
      <c r="O594" s="123"/>
      <c r="P594" s="123"/>
      <c r="Q594" s="123"/>
      <c r="R594" s="123"/>
      <c r="S594" s="123"/>
      <c r="T594" s="123"/>
    </row>
    <row r="595" spans="2:20" ht="16.5" customHeight="1">
      <c r="B595" s="123"/>
      <c r="C595" s="123"/>
      <c r="D595" s="123"/>
      <c r="E595" s="123"/>
      <c r="F595" s="123"/>
      <c r="G595" s="123"/>
      <c r="H595" s="123"/>
      <c r="I595" s="123"/>
      <c r="J595" s="123"/>
      <c r="K595" s="123"/>
      <c r="L595" s="123"/>
      <c r="M595" s="123"/>
      <c r="N595" s="123"/>
      <c r="O595" s="123"/>
      <c r="P595" s="123"/>
      <c r="Q595" s="123"/>
      <c r="R595" s="123"/>
      <c r="S595" s="123"/>
      <c r="T595" s="123"/>
    </row>
    <row r="596" spans="2:20" ht="16.5" customHeight="1">
      <c r="B596" s="123"/>
      <c r="C596" s="123"/>
      <c r="D596" s="123"/>
      <c r="E596" s="123"/>
      <c r="F596" s="123"/>
      <c r="G596" s="123"/>
      <c r="H596" s="123"/>
      <c r="I596" s="123"/>
      <c r="J596" s="123"/>
      <c r="K596" s="123"/>
      <c r="L596" s="123"/>
      <c r="M596" s="123"/>
      <c r="N596" s="123"/>
      <c r="O596" s="123"/>
      <c r="P596" s="123"/>
      <c r="Q596" s="123"/>
      <c r="R596" s="123"/>
      <c r="S596" s="123"/>
      <c r="T596" s="123"/>
    </row>
    <row r="597" spans="2:20" ht="16.5" customHeight="1">
      <c r="B597" s="123"/>
      <c r="C597" s="123"/>
      <c r="D597" s="123"/>
      <c r="E597" s="123"/>
      <c r="F597" s="123"/>
      <c r="G597" s="123"/>
      <c r="H597" s="123"/>
      <c r="I597" s="123"/>
      <c r="J597" s="123"/>
      <c r="K597" s="123"/>
      <c r="L597" s="123"/>
      <c r="M597" s="123"/>
      <c r="N597" s="123"/>
      <c r="O597" s="123"/>
      <c r="P597" s="123"/>
      <c r="Q597" s="123"/>
      <c r="R597" s="123"/>
      <c r="S597" s="123"/>
      <c r="T597" s="123"/>
    </row>
    <row r="598" spans="2:20" ht="16.5" customHeight="1">
      <c r="B598" s="123"/>
      <c r="C598" s="123"/>
      <c r="D598" s="123"/>
      <c r="E598" s="123"/>
      <c r="F598" s="123"/>
      <c r="G598" s="123"/>
      <c r="H598" s="123"/>
      <c r="I598" s="123"/>
      <c r="J598" s="123"/>
      <c r="K598" s="123"/>
      <c r="L598" s="123"/>
      <c r="M598" s="123"/>
      <c r="N598" s="123"/>
      <c r="O598" s="123"/>
      <c r="P598" s="123"/>
      <c r="Q598" s="123"/>
      <c r="R598" s="123"/>
      <c r="S598" s="123"/>
      <c r="T598" s="123"/>
    </row>
    <row r="599" spans="2:20" ht="16.5" customHeight="1">
      <c r="B599" s="123"/>
      <c r="C599" s="123"/>
      <c r="D599" s="123"/>
      <c r="E599" s="123"/>
      <c r="F599" s="123"/>
      <c r="G599" s="123"/>
      <c r="H599" s="123"/>
      <c r="I599" s="123"/>
      <c r="J599" s="123"/>
      <c r="K599" s="123"/>
      <c r="L599" s="123"/>
      <c r="M599" s="123"/>
      <c r="N599" s="123"/>
      <c r="O599" s="123"/>
      <c r="P599" s="123"/>
      <c r="Q599" s="123"/>
      <c r="R599" s="123"/>
      <c r="S599" s="123"/>
      <c r="T599" s="123"/>
    </row>
    <row r="600" spans="2:20" ht="16.5" customHeight="1">
      <c r="B600" s="123"/>
      <c r="C600" s="123"/>
      <c r="D600" s="123"/>
      <c r="E600" s="123"/>
      <c r="F600" s="123"/>
      <c r="G600" s="123"/>
      <c r="H600" s="123"/>
      <c r="I600" s="123"/>
      <c r="J600" s="123"/>
      <c r="K600" s="123"/>
      <c r="L600" s="123"/>
      <c r="M600" s="123"/>
      <c r="N600" s="123"/>
      <c r="O600" s="123"/>
      <c r="P600" s="123"/>
      <c r="Q600" s="123"/>
      <c r="R600" s="123"/>
      <c r="S600" s="123"/>
      <c r="T600" s="123"/>
    </row>
    <row r="601" spans="2:20" ht="16.5" customHeight="1">
      <c r="B601" s="123"/>
      <c r="C601" s="123"/>
      <c r="D601" s="123"/>
      <c r="E601" s="123"/>
      <c r="F601" s="123"/>
      <c r="G601" s="123"/>
      <c r="H601" s="123"/>
      <c r="I601" s="123"/>
      <c r="J601" s="123"/>
      <c r="K601" s="123"/>
      <c r="L601" s="123"/>
      <c r="M601" s="123"/>
      <c r="N601" s="123"/>
      <c r="O601" s="123"/>
      <c r="P601" s="123"/>
      <c r="Q601" s="123"/>
      <c r="R601" s="123"/>
      <c r="S601" s="123"/>
      <c r="T601" s="123"/>
    </row>
    <row r="602" spans="2:20" ht="16.5" customHeight="1">
      <c r="B602" s="123"/>
      <c r="C602" s="123"/>
      <c r="D602" s="123"/>
      <c r="E602" s="123"/>
      <c r="F602" s="123"/>
      <c r="G602" s="123"/>
      <c r="H602" s="123"/>
      <c r="I602" s="123"/>
      <c r="J602" s="123"/>
      <c r="K602" s="123"/>
      <c r="L602" s="123"/>
      <c r="M602" s="123"/>
      <c r="N602" s="123"/>
      <c r="O602" s="123"/>
      <c r="P602" s="123"/>
      <c r="Q602" s="123"/>
      <c r="R602" s="123"/>
      <c r="S602" s="123"/>
      <c r="T602" s="123"/>
    </row>
    <row r="603" spans="2:20" ht="16.5" customHeight="1">
      <c r="B603" s="123"/>
      <c r="C603" s="123"/>
      <c r="D603" s="123"/>
      <c r="E603" s="123"/>
      <c r="F603" s="123"/>
      <c r="G603" s="123"/>
      <c r="H603" s="123"/>
      <c r="I603" s="123"/>
      <c r="J603" s="123"/>
      <c r="K603" s="123"/>
      <c r="L603" s="123"/>
      <c r="M603" s="123"/>
      <c r="N603" s="123"/>
      <c r="O603" s="123"/>
      <c r="P603" s="123"/>
      <c r="Q603" s="123"/>
      <c r="R603" s="123"/>
      <c r="S603" s="123"/>
      <c r="T603" s="123"/>
    </row>
    <row r="604" spans="2:20" ht="16.5" customHeight="1">
      <c r="B604" s="123"/>
      <c r="C604" s="123"/>
      <c r="D604" s="123"/>
      <c r="E604" s="123"/>
      <c r="F604" s="123"/>
      <c r="G604" s="123"/>
      <c r="H604" s="123"/>
      <c r="I604" s="123"/>
      <c r="J604" s="123"/>
      <c r="K604" s="123"/>
      <c r="L604" s="123"/>
      <c r="M604" s="123"/>
      <c r="N604" s="123"/>
      <c r="O604" s="123"/>
      <c r="P604" s="123"/>
      <c r="Q604" s="123"/>
      <c r="R604" s="123"/>
      <c r="S604" s="123"/>
      <c r="T604" s="123"/>
    </row>
    <row r="605" spans="2:20" ht="16.5" customHeight="1">
      <c r="B605" s="123"/>
      <c r="C605" s="123"/>
      <c r="D605" s="123"/>
      <c r="E605" s="123"/>
      <c r="F605" s="123"/>
      <c r="G605" s="123"/>
      <c r="H605" s="123"/>
      <c r="I605" s="123"/>
      <c r="J605" s="123"/>
      <c r="K605" s="123"/>
      <c r="L605" s="123"/>
      <c r="M605" s="123"/>
      <c r="N605" s="123"/>
      <c r="O605" s="123"/>
      <c r="P605" s="123"/>
      <c r="Q605" s="123"/>
      <c r="R605" s="123"/>
      <c r="S605" s="123"/>
      <c r="T605" s="123"/>
    </row>
    <row r="606" spans="2:20" ht="16.5" customHeight="1">
      <c r="B606" s="123"/>
      <c r="C606" s="123"/>
      <c r="D606" s="123"/>
      <c r="E606" s="123"/>
      <c r="F606" s="123"/>
      <c r="G606" s="123"/>
      <c r="H606" s="123"/>
      <c r="I606" s="123"/>
      <c r="J606" s="123"/>
      <c r="K606" s="123"/>
      <c r="L606" s="123"/>
      <c r="M606" s="123"/>
      <c r="N606" s="123"/>
      <c r="O606" s="123"/>
      <c r="P606" s="123"/>
      <c r="Q606" s="123"/>
      <c r="R606" s="123"/>
      <c r="S606" s="123"/>
      <c r="T606" s="123"/>
    </row>
    <row r="607" spans="2:20" ht="16.5" customHeight="1">
      <c r="B607" s="123"/>
      <c r="C607" s="123"/>
      <c r="D607" s="123"/>
      <c r="E607" s="123"/>
      <c r="F607" s="123"/>
      <c r="G607" s="123"/>
      <c r="H607" s="123"/>
      <c r="I607" s="123"/>
      <c r="J607" s="123"/>
      <c r="K607" s="123"/>
      <c r="L607" s="123"/>
      <c r="M607" s="123"/>
      <c r="N607" s="123"/>
      <c r="O607" s="123"/>
      <c r="P607" s="123"/>
      <c r="Q607" s="123"/>
      <c r="R607" s="123"/>
      <c r="S607" s="123"/>
      <c r="T607" s="123"/>
    </row>
    <row r="608" spans="2:20" ht="16.5" customHeight="1">
      <c r="B608" s="123"/>
      <c r="C608" s="123"/>
      <c r="D608" s="123"/>
      <c r="E608" s="123"/>
      <c r="F608" s="123"/>
      <c r="G608" s="123"/>
      <c r="H608" s="123"/>
      <c r="I608" s="123"/>
      <c r="J608" s="123"/>
      <c r="K608" s="123"/>
      <c r="L608" s="123"/>
      <c r="M608" s="123"/>
      <c r="N608" s="123"/>
      <c r="O608" s="123"/>
      <c r="P608" s="123"/>
      <c r="Q608" s="123"/>
      <c r="R608" s="123"/>
      <c r="S608" s="123"/>
      <c r="T608" s="123"/>
    </row>
    <row r="609" spans="2:20" ht="16.5" customHeight="1">
      <c r="B609" s="123"/>
      <c r="C609" s="123"/>
      <c r="D609" s="123"/>
      <c r="E609" s="123"/>
      <c r="F609" s="123"/>
      <c r="G609" s="123"/>
      <c r="H609" s="123"/>
      <c r="I609" s="123"/>
      <c r="J609" s="123"/>
      <c r="K609" s="123"/>
      <c r="L609" s="123"/>
      <c r="M609" s="123"/>
      <c r="N609" s="123"/>
      <c r="O609" s="123"/>
      <c r="P609" s="123"/>
      <c r="Q609" s="123"/>
      <c r="R609" s="123"/>
      <c r="S609" s="123"/>
      <c r="T609" s="123"/>
    </row>
    <row r="610" spans="2:20" ht="16.5" customHeight="1">
      <c r="B610" s="123"/>
      <c r="C610" s="123"/>
      <c r="D610" s="123"/>
      <c r="E610" s="123"/>
      <c r="F610" s="123"/>
      <c r="G610" s="123"/>
      <c r="H610" s="123"/>
      <c r="I610" s="123"/>
      <c r="J610" s="123"/>
      <c r="K610" s="123"/>
      <c r="L610" s="123"/>
      <c r="M610" s="123"/>
      <c r="N610" s="123"/>
      <c r="O610" s="123"/>
      <c r="P610" s="123"/>
      <c r="Q610" s="123"/>
      <c r="R610" s="123"/>
      <c r="S610" s="123"/>
      <c r="T610" s="123"/>
    </row>
    <row r="611" spans="2:20" ht="16.5" customHeight="1">
      <c r="B611" s="123"/>
      <c r="C611" s="123"/>
      <c r="D611" s="123"/>
      <c r="E611" s="123"/>
      <c r="F611" s="123"/>
      <c r="G611" s="123"/>
      <c r="H611" s="123"/>
      <c r="I611" s="123"/>
      <c r="J611" s="123"/>
      <c r="K611" s="123"/>
      <c r="L611" s="123"/>
      <c r="M611" s="123"/>
      <c r="N611" s="123"/>
      <c r="O611" s="123"/>
      <c r="P611" s="123"/>
      <c r="Q611" s="123"/>
      <c r="R611" s="123"/>
      <c r="S611" s="123"/>
      <c r="T611" s="123"/>
    </row>
    <row r="612" spans="2:20" ht="16.5" customHeight="1">
      <c r="B612" s="123"/>
      <c r="C612" s="123"/>
      <c r="D612" s="123"/>
      <c r="E612" s="123"/>
      <c r="F612" s="123"/>
      <c r="G612" s="123"/>
      <c r="H612" s="123"/>
      <c r="I612" s="123"/>
      <c r="J612" s="123"/>
      <c r="K612" s="123"/>
      <c r="L612" s="123"/>
      <c r="M612" s="123"/>
      <c r="N612" s="123"/>
      <c r="O612" s="123"/>
      <c r="P612" s="123"/>
      <c r="Q612" s="123"/>
      <c r="R612" s="123"/>
      <c r="S612" s="123"/>
      <c r="T612" s="123"/>
    </row>
    <row r="613" spans="2:20" ht="16.5" customHeight="1">
      <c r="B613" s="123"/>
      <c r="C613" s="123"/>
      <c r="D613" s="123"/>
      <c r="E613" s="123"/>
      <c r="F613" s="123"/>
      <c r="G613" s="123"/>
      <c r="H613" s="123"/>
      <c r="I613" s="123"/>
      <c r="J613" s="123"/>
      <c r="K613" s="123"/>
      <c r="L613" s="123"/>
      <c r="M613" s="123"/>
      <c r="N613" s="123"/>
      <c r="O613" s="123"/>
      <c r="P613" s="123"/>
      <c r="Q613" s="123"/>
      <c r="R613" s="123"/>
      <c r="S613" s="123"/>
      <c r="T613" s="123"/>
    </row>
    <row r="614" spans="2:20" ht="16.5" customHeight="1">
      <c r="B614" s="123"/>
      <c r="C614" s="123"/>
      <c r="D614" s="123"/>
      <c r="E614" s="123"/>
      <c r="F614" s="123"/>
      <c r="G614" s="123"/>
      <c r="H614" s="123"/>
      <c r="I614" s="123"/>
      <c r="J614" s="123"/>
      <c r="K614" s="123"/>
      <c r="L614" s="123"/>
      <c r="M614" s="123"/>
      <c r="N614" s="123"/>
      <c r="O614" s="123"/>
      <c r="P614" s="123"/>
      <c r="Q614" s="123"/>
      <c r="R614" s="123"/>
      <c r="S614" s="123"/>
      <c r="T614" s="123"/>
    </row>
    <row r="615" spans="2:20" ht="16.5" customHeight="1">
      <c r="B615" s="123"/>
      <c r="C615" s="123"/>
      <c r="D615" s="123"/>
      <c r="E615" s="123"/>
      <c r="F615" s="123"/>
      <c r="G615" s="123"/>
      <c r="H615" s="123"/>
      <c r="I615" s="123"/>
      <c r="J615" s="123"/>
      <c r="K615" s="123"/>
      <c r="L615" s="123"/>
      <c r="M615" s="123"/>
      <c r="N615" s="123"/>
      <c r="O615" s="123"/>
      <c r="P615" s="123"/>
      <c r="Q615" s="123"/>
      <c r="R615" s="123"/>
      <c r="S615" s="123"/>
      <c r="T615" s="123"/>
    </row>
    <row r="616" spans="2:20" ht="16.5" customHeight="1">
      <c r="B616" s="123"/>
      <c r="C616" s="123"/>
      <c r="D616" s="123"/>
      <c r="E616" s="123"/>
      <c r="F616" s="123"/>
      <c r="G616" s="123"/>
      <c r="H616" s="123"/>
      <c r="I616" s="123"/>
      <c r="J616" s="123"/>
      <c r="K616" s="123"/>
      <c r="L616" s="123"/>
      <c r="M616" s="123"/>
      <c r="N616" s="123"/>
      <c r="O616" s="123"/>
      <c r="P616" s="123"/>
      <c r="Q616" s="123"/>
      <c r="R616" s="123"/>
      <c r="S616" s="123"/>
      <c r="T616" s="123"/>
    </row>
    <row r="617" spans="2:20" ht="16.5" customHeight="1">
      <c r="B617" s="123"/>
      <c r="C617" s="123"/>
      <c r="D617" s="123"/>
      <c r="E617" s="123"/>
      <c r="F617" s="123"/>
      <c r="G617" s="123"/>
      <c r="H617" s="123"/>
      <c r="I617" s="123"/>
      <c r="J617" s="123"/>
      <c r="K617" s="123"/>
      <c r="L617" s="123"/>
      <c r="M617" s="123"/>
      <c r="N617" s="123"/>
      <c r="O617" s="123"/>
      <c r="P617" s="123"/>
      <c r="Q617" s="123"/>
      <c r="R617" s="123"/>
      <c r="S617" s="123"/>
      <c r="T617" s="123"/>
    </row>
    <row r="618" spans="2:20" ht="16.5" customHeight="1">
      <c r="B618" s="123"/>
      <c r="C618" s="123"/>
      <c r="D618" s="123"/>
      <c r="E618" s="123"/>
      <c r="F618" s="123"/>
      <c r="G618" s="123"/>
      <c r="H618" s="123"/>
      <c r="I618" s="123"/>
      <c r="J618" s="123"/>
      <c r="K618" s="123"/>
      <c r="L618" s="123"/>
      <c r="M618" s="123"/>
      <c r="N618" s="123"/>
      <c r="O618" s="123"/>
      <c r="P618" s="123"/>
      <c r="Q618" s="123"/>
      <c r="R618" s="123"/>
      <c r="S618" s="123"/>
      <c r="T618" s="123"/>
    </row>
    <row r="619" spans="2:20" ht="16.5" customHeight="1">
      <c r="B619" s="123"/>
      <c r="C619" s="123"/>
      <c r="D619" s="123"/>
      <c r="E619" s="123"/>
      <c r="F619" s="123"/>
      <c r="G619" s="123"/>
      <c r="H619" s="123"/>
      <c r="I619" s="123"/>
      <c r="J619" s="123"/>
      <c r="K619" s="123"/>
      <c r="L619" s="123"/>
      <c r="M619" s="123"/>
      <c r="N619" s="123"/>
      <c r="O619" s="123"/>
      <c r="P619" s="123"/>
      <c r="Q619" s="123"/>
      <c r="R619" s="123"/>
      <c r="S619" s="123"/>
      <c r="T619" s="123"/>
    </row>
    <row r="620" spans="2:20" ht="16.5" customHeight="1">
      <c r="B620" s="123"/>
      <c r="C620" s="123"/>
      <c r="D620" s="123"/>
      <c r="E620" s="123"/>
      <c r="F620" s="123"/>
      <c r="G620" s="123"/>
      <c r="H620" s="123"/>
      <c r="I620" s="123"/>
      <c r="J620" s="123"/>
      <c r="K620" s="123"/>
      <c r="L620" s="123"/>
      <c r="M620" s="123"/>
      <c r="N620" s="123"/>
      <c r="O620" s="123"/>
      <c r="P620" s="123"/>
      <c r="Q620" s="123"/>
      <c r="R620" s="123"/>
      <c r="S620" s="123"/>
      <c r="T620" s="123"/>
    </row>
    <row r="621" spans="2:20" ht="16.5" customHeight="1">
      <c r="B621" s="123"/>
      <c r="C621" s="123"/>
      <c r="D621" s="123"/>
      <c r="E621" s="123"/>
      <c r="F621" s="123"/>
      <c r="G621" s="123"/>
      <c r="H621" s="123"/>
      <c r="I621" s="123"/>
      <c r="J621" s="123"/>
      <c r="K621" s="123"/>
      <c r="L621" s="123"/>
      <c r="M621" s="123"/>
      <c r="N621" s="123"/>
      <c r="O621" s="123"/>
      <c r="P621" s="123"/>
      <c r="Q621" s="123"/>
      <c r="R621" s="123"/>
      <c r="S621" s="123"/>
      <c r="T621" s="123"/>
    </row>
    <row r="622" spans="2:20" ht="16.5" customHeight="1">
      <c r="B622" s="123"/>
      <c r="C622" s="123"/>
      <c r="D622" s="123"/>
      <c r="E622" s="123"/>
      <c r="F622" s="123"/>
      <c r="G622" s="123"/>
      <c r="H622" s="123"/>
      <c r="I622" s="123"/>
      <c r="J622" s="123"/>
      <c r="K622" s="123"/>
      <c r="L622" s="123"/>
      <c r="M622" s="123"/>
      <c r="N622" s="123"/>
      <c r="O622" s="123"/>
      <c r="P622" s="123"/>
      <c r="Q622" s="123"/>
      <c r="R622" s="123"/>
      <c r="S622" s="123"/>
      <c r="T622" s="123"/>
    </row>
    <row r="623" spans="2:20" ht="16.5" customHeight="1">
      <c r="B623" s="123"/>
      <c r="C623" s="123"/>
      <c r="D623" s="123"/>
      <c r="E623" s="123"/>
      <c r="F623" s="123"/>
      <c r="G623" s="123"/>
      <c r="H623" s="123"/>
      <c r="I623" s="123"/>
      <c r="J623" s="123"/>
      <c r="K623" s="123"/>
      <c r="L623" s="123"/>
      <c r="M623" s="123"/>
      <c r="N623" s="123"/>
      <c r="O623" s="123"/>
      <c r="P623" s="123"/>
      <c r="Q623" s="123"/>
      <c r="R623" s="123"/>
      <c r="S623" s="123"/>
      <c r="T623" s="123"/>
    </row>
    <row r="624" spans="2:20" ht="16.5" customHeight="1">
      <c r="B624" s="123"/>
      <c r="C624" s="123"/>
      <c r="D624" s="123"/>
      <c r="E624" s="123"/>
      <c r="F624" s="123"/>
      <c r="G624" s="123"/>
      <c r="H624" s="123"/>
      <c r="I624" s="123"/>
      <c r="J624" s="123"/>
      <c r="K624" s="123"/>
      <c r="L624" s="123"/>
      <c r="M624" s="123"/>
      <c r="N624" s="123"/>
      <c r="O624" s="123"/>
      <c r="P624" s="123"/>
      <c r="Q624" s="123"/>
      <c r="R624" s="123"/>
      <c r="S624" s="123"/>
      <c r="T624" s="123"/>
    </row>
    <row r="625" spans="2:20" ht="16.5" customHeight="1">
      <c r="B625" s="123"/>
      <c r="C625" s="123"/>
      <c r="D625" s="123"/>
      <c r="E625" s="123"/>
      <c r="F625" s="123"/>
      <c r="G625" s="123"/>
      <c r="H625" s="123"/>
      <c r="I625" s="123"/>
      <c r="J625" s="123"/>
      <c r="K625" s="123"/>
      <c r="L625" s="123"/>
      <c r="M625" s="123"/>
      <c r="N625" s="123"/>
      <c r="O625" s="123"/>
      <c r="P625" s="123"/>
      <c r="Q625" s="123"/>
      <c r="R625" s="123"/>
      <c r="S625" s="123"/>
      <c r="T625" s="123"/>
    </row>
    <row r="626" spans="2:20" ht="16.5" customHeight="1">
      <c r="B626" s="123"/>
      <c r="C626" s="123"/>
      <c r="D626" s="123"/>
      <c r="E626" s="123"/>
      <c r="F626" s="123"/>
      <c r="G626" s="123"/>
      <c r="H626" s="123"/>
      <c r="I626" s="123"/>
      <c r="J626" s="123"/>
      <c r="K626" s="123"/>
      <c r="L626" s="123"/>
      <c r="M626" s="123"/>
      <c r="N626" s="123"/>
      <c r="O626" s="123"/>
      <c r="P626" s="123"/>
      <c r="Q626" s="123"/>
      <c r="R626" s="123"/>
      <c r="S626" s="123"/>
      <c r="T626" s="123"/>
    </row>
    <row r="627" spans="2:20" ht="16.5" customHeight="1">
      <c r="B627" s="123"/>
      <c r="C627" s="123"/>
      <c r="D627" s="123"/>
      <c r="E627" s="123"/>
      <c r="F627" s="123"/>
      <c r="G627" s="123"/>
      <c r="H627" s="123"/>
      <c r="I627" s="123"/>
      <c r="J627" s="123"/>
      <c r="K627" s="123"/>
      <c r="L627" s="123"/>
      <c r="M627" s="123"/>
      <c r="N627" s="123"/>
      <c r="O627" s="123"/>
      <c r="P627" s="123"/>
      <c r="Q627" s="123"/>
      <c r="R627" s="123"/>
      <c r="S627" s="123"/>
      <c r="T627" s="123"/>
    </row>
    <row r="628" spans="2:20" ht="16.5" customHeight="1">
      <c r="B628" s="123"/>
      <c r="C628" s="123"/>
      <c r="D628" s="123"/>
      <c r="E628" s="123"/>
      <c r="F628" s="123"/>
      <c r="G628" s="123"/>
      <c r="H628" s="123"/>
      <c r="I628" s="123"/>
      <c r="J628" s="123"/>
      <c r="K628" s="123"/>
      <c r="L628" s="123"/>
      <c r="M628" s="123"/>
      <c r="N628" s="123"/>
      <c r="O628" s="123"/>
      <c r="P628" s="123"/>
      <c r="Q628" s="123"/>
      <c r="R628" s="123"/>
      <c r="S628" s="123"/>
      <c r="T628" s="123"/>
    </row>
    <row r="629" spans="2:20" ht="16.5" customHeight="1">
      <c r="B629" s="123"/>
      <c r="C629" s="123"/>
      <c r="D629" s="123"/>
      <c r="E629" s="123"/>
      <c r="F629" s="123"/>
      <c r="G629" s="123"/>
      <c r="H629" s="123"/>
      <c r="I629" s="123"/>
      <c r="J629" s="123"/>
      <c r="K629" s="123"/>
      <c r="L629" s="123"/>
      <c r="M629" s="123"/>
      <c r="N629" s="123"/>
      <c r="O629" s="123"/>
      <c r="P629" s="123"/>
      <c r="Q629" s="123"/>
      <c r="R629" s="123"/>
      <c r="S629" s="123"/>
      <c r="T629" s="123"/>
    </row>
    <row r="630" spans="2:20" ht="16.5" customHeight="1">
      <c r="B630" s="123"/>
      <c r="C630" s="123"/>
      <c r="D630" s="123"/>
      <c r="E630" s="123"/>
      <c r="F630" s="123"/>
      <c r="G630" s="123"/>
      <c r="H630" s="123"/>
      <c r="I630" s="123"/>
      <c r="J630" s="123"/>
      <c r="K630" s="123"/>
      <c r="L630" s="123"/>
      <c r="M630" s="123"/>
      <c r="N630" s="123"/>
      <c r="O630" s="123"/>
      <c r="P630" s="123"/>
      <c r="Q630" s="123"/>
      <c r="R630" s="123"/>
      <c r="S630" s="123"/>
      <c r="T630" s="123"/>
    </row>
    <row r="631" spans="2:20" ht="16.5" customHeight="1">
      <c r="B631" s="123"/>
      <c r="C631" s="123"/>
      <c r="D631" s="123"/>
      <c r="E631" s="123"/>
      <c r="F631" s="123"/>
      <c r="G631" s="123"/>
      <c r="H631" s="123"/>
      <c r="I631" s="123"/>
      <c r="J631" s="123"/>
      <c r="K631" s="123"/>
      <c r="L631" s="123"/>
      <c r="M631" s="123"/>
      <c r="N631" s="123"/>
      <c r="O631" s="123"/>
      <c r="P631" s="123"/>
      <c r="Q631" s="123"/>
      <c r="R631" s="123"/>
      <c r="S631" s="123"/>
      <c r="T631" s="123"/>
    </row>
    <row r="632" spans="2:20" ht="16.5" customHeight="1">
      <c r="B632" s="123"/>
      <c r="C632" s="123"/>
      <c r="D632" s="123"/>
      <c r="E632" s="123"/>
      <c r="F632" s="123"/>
      <c r="G632" s="123"/>
      <c r="H632" s="123"/>
      <c r="I632" s="123"/>
      <c r="J632" s="123"/>
      <c r="K632" s="123"/>
      <c r="L632" s="123"/>
      <c r="M632" s="123"/>
      <c r="N632" s="123"/>
      <c r="O632" s="123"/>
      <c r="P632" s="123"/>
      <c r="Q632" s="123"/>
      <c r="R632" s="123"/>
      <c r="S632" s="123"/>
      <c r="T632" s="123"/>
    </row>
    <row r="633" spans="2:20" ht="16.5" customHeight="1">
      <c r="B633" s="123"/>
      <c r="C633" s="123"/>
      <c r="D633" s="123"/>
      <c r="E633" s="123"/>
      <c r="F633" s="123"/>
      <c r="G633" s="123"/>
      <c r="H633" s="123"/>
      <c r="I633" s="123"/>
      <c r="J633" s="123"/>
      <c r="K633" s="123"/>
      <c r="L633" s="123"/>
      <c r="M633" s="123"/>
      <c r="N633" s="123"/>
      <c r="O633" s="123"/>
      <c r="P633" s="123"/>
      <c r="Q633" s="123"/>
      <c r="R633" s="123"/>
      <c r="S633" s="123"/>
      <c r="T633" s="123"/>
    </row>
    <row r="634" spans="2:20" ht="16.5" customHeight="1">
      <c r="B634" s="123"/>
      <c r="C634" s="123"/>
      <c r="D634" s="123"/>
      <c r="E634" s="123"/>
      <c r="F634" s="123"/>
      <c r="G634" s="123"/>
      <c r="H634" s="123"/>
      <c r="I634" s="123"/>
      <c r="J634" s="123"/>
      <c r="K634" s="123"/>
      <c r="L634" s="123"/>
      <c r="M634" s="123"/>
      <c r="N634" s="123"/>
      <c r="O634" s="123"/>
      <c r="P634" s="123"/>
      <c r="Q634" s="123"/>
      <c r="R634" s="123"/>
      <c r="S634" s="123"/>
      <c r="T634" s="123"/>
    </row>
    <row r="635" spans="2:20" ht="16.5" customHeight="1">
      <c r="B635" s="123"/>
      <c r="C635" s="123"/>
      <c r="D635" s="123"/>
      <c r="E635" s="123"/>
      <c r="F635" s="123"/>
      <c r="G635" s="123"/>
      <c r="H635" s="123"/>
      <c r="I635" s="123"/>
      <c r="J635" s="123"/>
      <c r="K635" s="123"/>
      <c r="L635" s="123"/>
      <c r="M635" s="123"/>
      <c r="N635" s="123"/>
      <c r="O635" s="123"/>
      <c r="P635" s="123"/>
      <c r="Q635" s="123"/>
      <c r="R635" s="123"/>
      <c r="S635" s="123"/>
      <c r="T635" s="123"/>
    </row>
    <row r="636" spans="2:20" ht="16.5" customHeight="1">
      <c r="B636" s="123"/>
      <c r="C636" s="123"/>
      <c r="D636" s="123"/>
      <c r="E636" s="123"/>
      <c r="F636" s="123"/>
      <c r="G636" s="123"/>
      <c r="H636" s="123"/>
      <c r="I636" s="123"/>
      <c r="J636" s="123"/>
      <c r="K636" s="123"/>
      <c r="L636" s="123"/>
      <c r="M636" s="123"/>
      <c r="N636" s="123"/>
      <c r="O636" s="123"/>
      <c r="P636" s="123"/>
      <c r="Q636" s="123"/>
      <c r="R636" s="123"/>
      <c r="S636" s="123"/>
      <c r="T636" s="123"/>
    </row>
    <row r="637" spans="2:20" ht="16.5" customHeight="1">
      <c r="B637" s="123"/>
      <c r="C637" s="123"/>
      <c r="D637" s="123"/>
      <c r="E637" s="123"/>
      <c r="F637" s="123"/>
      <c r="G637" s="123"/>
      <c r="H637" s="123"/>
      <c r="I637" s="123"/>
      <c r="J637" s="123"/>
      <c r="K637" s="123"/>
      <c r="L637" s="123"/>
      <c r="M637" s="123"/>
      <c r="N637" s="123"/>
      <c r="O637" s="123"/>
      <c r="P637" s="123"/>
      <c r="Q637" s="123"/>
      <c r="R637" s="123"/>
      <c r="S637" s="123"/>
      <c r="T637" s="123"/>
    </row>
    <row r="638" spans="2:20" ht="16.5" customHeight="1">
      <c r="B638" s="123"/>
      <c r="C638" s="123"/>
      <c r="D638" s="123"/>
      <c r="E638" s="123"/>
      <c r="F638" s="123"/>
      <c r="G638" s="123"/>
      <c r="H638" s="123"/>
      <c r="I638" s="123"/>
      <c r="J638" s="123"/>
      <c r="K638" s="123"/>
      <c r="L638" s="123"/>
      <c r="M638" s="123"/>
      <c r="N638" s="123"/>
      <c r="O638" s="123"/>
      <c r="P638" s="123"/>
      <c r="Q638" s="123"/>
      <c r="R638" s="123"/>
      <c r="S638" s="123"/>
      <c r="T638" s="123"/>
    </row>
    <row r="639" spans="2:20" ht="16.5" customHeight="1">
      <c r="B639" s="123"/>
      <c r="C639" s="123"/>
      <c r="D639" s="123"/>
      <c r="E639" s="123"/>
      <c r="F639" s="123"/>
      <c r="G639" s="123"/>
      <c r="H639" s="123"/>
      <c r="I639" s="123"/>
      <c r="J639" s="123"/>
      <c r="K639" s="123"/>
      <c r="L639" s="123"/>
      <c r="M639" s="123"/>
      <c r="N639" s="123"/>
      <c r="O639" s="123"/>
      <c r="P639" s="123"/>
      <c r="Q639" s="123"/>
      <c r="R639" s="123"/>
      <c r="S639" s="123"/>
      <c r="T639" s="123"/>
    </row>
    <row r="640" spans="2:20" ht="16.5" customHeight="1">
      <c r="B640" s="123"/>
      <c r="C640" s="123"/>
      <c r="D640" s="123"/>
      <c r="E640" s="123"/>
      <c r="F640" s="123"/>
      <c r="G640" s="123"/>
      <c r="H640" s="123"/>
      <c r="I640" s="123"/>
      <c r="J640" s="123"/>
      <c r="K640" s="123"/>
      <c r="L640" s="123"/>
      <c r="M640" s="123"/>
      <c r="N640" s="123"/>
      <c r="O640" s="123"/>
      <c r="P640" s="123"/>
      <c r="Q640" s="123"/>
      <c r="R640" s="123"/>
      <c r="S640" s="123"/>
      <c r="T640" s="123"/>
    </row>
    <row r="641" spans="2:20" ht="16.5" customHeight="1">
      <c r="B641" s="123"/>
      <c r="C641" s="123"/>
      <c r="D641" s="123"/>
      <c r="E641" s="123"/>
      <c r="F641" s="123"/>
      <c r="G641" s="123"/>
      <c r="H641" s="123"/>
      <c r="I641" s="123"/>
      <c r="J641" s="123"/>
      <c r="K641" s="123"/>
      <c r="L641" s="123"/>
      <c r="M641" s="123"/>
      <c r="N641" s="123"/>
      <c r="O641" s="123"/>
      <c r="P641" s="123"/>
      <c r="Q641" s="123"/>
      <c r="R641" s="123"/>
      <c r="S641" s="123"/>
      <c r="T641" s="123"/>
    </row>
    <row r="642" spans="2:20" ht="16.5" customHeight="1">
      <c r="B642" s="123"/>
      <c r="C642" s="123"/>
      <c r="D642" s="123"/>
      <c r="E642" s="123"/>
      <c r="F642" s="123"/>
      <c r="G642" s="123"/>
      <c r="H642" s="123"/>
      <c r="I642" s="123"/>
      <c r="J642" s="123"/>
      <c r="K642" s="123"/>
      <c r="L642" s="123"/>
      <c r="M642" s="123"/>
      <c r="N642" s="123"/>
      <c r="O642" s="123"/>
      <c r="P642" s="123"/>
      <c r="Q642" s="123"/>
      <c r="R642" s="123"/>
      <c r="S642" s="123"/>
      <c r="T642" s="123"/>
    </row>
    <row r="643" spans="2:20" ht="16.5" customHeight="1">
      <c r="B643" s="123"/>
      <c r="C643" s="123"/>
      <c r="D643" s="123"/>
      <c r="E643" s="123"/>
      <c r="F643" s="123"/>
      <c r="G643" s="123"/>
      <c r="H643" s="123"/>
      <c r="I643" s="123"/>
      <c r="J643" s="123"/>
      <c r="K643" s="123"/>
      <c r="L643" s="123"/>
      <c r="M643" s="123"/>
      <c r="N643" s="123"/>
      <c r="O643" s="123"/>
      <c r="P643" s="123"/>
      <c r="Q643" s="123"/>
      <c r="R643" s="123"/>
      <c r="S643" s="123"/>
      <c r="T643" s="123"/>
    </row>
    <row r="644" spans="2:20" ht="16.5" customHeight="1">
      <c r="B644" s="123"/>
      <c r="C644" s="123"/>
      <c r="D644" s="123"/>
      <c r="E644" s="123"/>
      <c r="F644" s="123"/>
      <c r="G644" s="123"/>
      <c r="H644" s="123"/>
      <c r="I644" s="123"/>
      <c r="J644" s="123"/>
      <c r="K644" s="123"/>
      <c r="L644" s="123"/>
      <c r="M644" s="123"/>
      <c r="N644" s="123"/>
      <c r="O644" s="123"/>
      <c r="P644" s="123"/>
      <c r="Q644" s="123"/>
      <c r="R644" s="123"/>
      <c r="S644" s="123"/>
      <c r="T644" s="123"/>
    </row>
    <row r="645" spans="2:20" ht="16.5" customHeight="1">
      <c r="B645" s="123"/>
      <c r="C645" s="123"/>
      <c r="D645" s="123"/>
      <c r="E645" s="123"/>
      <c r="F645" s="123"/>
      <c r="G645" s="123"/>
      <c r="H645" s="123"/>
      <c r="I645" s="123"/>
      <c r="J645" s="123"/>
      <c r="K645" s="123"/>
      <c r="L645" s="123"/>
      <c r="M645" s="123"/>
      <c r="N645" s="123"/>
      <c r="O645" s="123"/>
      <c r="P645" s="123"/>
      <c r="Q645" s="123"/>
      <c r="R645" s="123"/>
      <c r="S645" s="123"/>
      <c r="T645" s="123"/>
    </row>
    <row r="646" spans="2:20" ht="16.5" customHeight="1">
      <c r="B646" s="123"/>
      <c r="C646" s="123"/>
      <c r="D646" s="123"/>
      <c r="E646" s="123"/>
      <c r="F646" s="123"/>
      <c r="G646" s="123"/>
      <c r="H646" s="123"/>
      <c r="I646" s="123"/>
      <c r="J646" s="123"/>
      <c r="K646" s="123"/>
      <c r="L646" s="123"/>
      <c r="M646" s="123"/>
      <c r="N646" s="123"/>
      <c r="O646" s="123"/>
      <c r="P646" s="123"/>
      <c r="Q646" s="123"/>
      <c r="R646" s="123"/>
      <c r="S646" s="123"/>
      <c r="T646" s="123"/>
    </row>
    <row r="647" spans="2:20" ht="16.5" customHeight="1">
      <c r="B647" s="123"/>
      <c r="C647" s="123"/>
      <c r="D647" s="123"/>
      <c r="E647" s="123"/>
      <c r="F647" s="123"/>
      <c r="G647" s="123"/>
      <c r="H647" s="123"/>
      <c r="I647" s="123"/>
      <c r="J647" s="123"/>
      <c r="K647" s="123"/>
      <c r="L647" s="123"/>
      <c r="M647" s="123"/>
      <c r="N647" s="123"/>
      <c r="O647" s="123"/>
      <c r="P647" s="123"/>
      <c r="Q647" s="123"/>
      <c r="R647" s="123"/>
      <c r="S647" s="123"/>
      <c r="T647" s="123"/>
    </row>
    <row r="648" spans="2:20" ht="16.5" customHeight="1">
      <c r="B648" s="123"/>
      <c r="C648" s="123"/>
      <c r="D648" s="123"/>
      <c r="E648" s="123"/>
      <c r="F648" s="123"/>
      <c r="G648" s="123"/>
      <c r="H648" s="123"/>
      <c r="I648" s="123"/>
      <c r="J648" s="123"/>
      <c r="K648" s="123"/>
      <c r="L648" s="123"/>
      <c r="M648" s="123"/>
      <c r="N648" s="123"/>
      <c r="O648" s="123"/>
      <c r="P648" s="123"/>
      <c r="Q648" s="123"/>
      <c r="R648" s="123"/>
      <c r="S648" s="123"/>
      <c r="T648" s="123"/>
    </row>
    <row r="649" spans="2:20" ht="16.5" customHeight="1">
      <c r="B649" s="123"/>
      <c r="C649" s="123"/>
      <c r="D649" s="123"/>
      <c r="E649" s="123"/>
      <c r="F649" s="123"/>
      <c r="G649" s="123"/>
      <c r="H649" s="123"/>
      <c r="I649" s="123"/>
      <c r="J649" s="123"/>
      <c r="K649" s="123"/>
      <c r="L649" s="123"/>
      <c r="M649" s="123"/>
      <c r="N649" s="123"/>
      <c r="O649" s="123"/>
      <c r="P649" s="123"/>
      <c r="Q649" s="123"/>
      <c r="R649" s="123"/>
      <c r="S649" s="123"/>
      <c r="T649" s="123"/>
    </row>
    <row r="650" spans="2:20" ht="16.5" customHeight="1">
      <c r="B650" s="123"/>
      <c r="C650" s="123"/>
      <c r="D650" s="123"/>
      <c r="E650" s="123"/>
      <c r="F650" s="123"/>
      <c r="G650" s="123"/>
      <c r="H650" s="123"/>
      <c r="I650" s="123"/>
      <c r="J650" s="123"/>
      <c r="K650" s="123"/>
      <c r="L650" s="123"/>
      <c r="M650" s="123"/>
      <c r="N650" s="123"/>
      <c r="O650" s="123"/>
      <c r="P650" s="123"/>
      <c r="Q650" s="123"/>
      <c r="R650" s="123"/>
      <c r="S650" s="123"/>
      <c r="T650" s="123"/>
    </row>
    <row r="651" spans="2:20" ht="16.5" customHeight="1">
      <c r="B651" s="123"/>
      <c r="C651" s="123"/>
      <c r="D651" s="123"/>
      <c r="E651" s="123"/>
      <c r="F651" s="123"/>
      <c r="G651" s="123"/>
      <c r="H651" s="123"/>
      <c r="I651" s="123"/>
      <c r="J651" s="123"/>
      <c r="K651" s="123"/>
      <c r="L651" s="123"/>
      <c r="M651" s="123"/>
      <c r="N651" s="123"/>
      <c r="O651" s="123"/>
      <c r="P651" s="123"/>
      <c r="Q651" s="123"/>
      <c r="R651" s="123"/>
      <c r="S651" s="123"/>
      <c r="T651" s="123"/>
    </row>
    <row r="652" spans="2:20" ht="16.5" customHeight="1">
      <c r="B652" s="123"/>
      <c r="C652" s="123"/>
      <c r="D652" s="123"/>
      <c r="E652" s="123"/>
      <c r="F652" s="123"/>
      <c r="G652" s="123"/>
      <c r="H652" s="123"/>
      <c r="I652" s="123"/>
      <c r="J652" s="123"/>
      <c r="K652" s="123"/>
      <c r="L652" s="123"/>
      <c r="M652" s="123"/>
      <c r="N652" s="123"/>
      <c r="O652" s="123"/>
      <c r="P652" s="123"/>
      <c r="Q652" s="123"/>
      <c r="R652" s="123"/>
      <c r="S652" s="123"/>
      <c r="T652" s="123"/>
    </row>
    <row r="653" spans="2:20" ht="16.5" customHeight="1">
      <c r="B653" s="123"/>
      <c r="C653" s="123"/>
      <c r="D653" s="123"/>
      <c r="E653" s="123"/>
      <c r="F653" s="123"/>
      <c r="G653" s="123"/>
      <c r="H653" s="123"/>
      <c r="I653" s="123"/>
      <c r="J653" s="123"/>
      <c r="K653" s="123"/>
      <c r="L653" s="123"/>
      <c r="M653" s="123"/>
      <c r="N653" s="123"/>
      <c r="O653" s="123"/>
      <c r="P653" s="123"/>
      <c r="Q653" s="123"/>
      <c r="R653" s="123"/>
      <c r="S653" s="123"/>
      <c r="T653" s="123"/>
    </row>
    <row r="654" spans="2:20" ht="16.5" customHeight="1">
      <c r="B654" s="123"/>
      <c r="C654" s="123"/>
      <c r="D654" s="123"/>
      <c r="E654" s="123"/>
      <c r="F654" s="123"/>
      <c r="G654" s="123"/>
      <c r="H654" s="123"/>
      <c r="I654" s="123"/>
      <c r="J654" s="123"/>
      <c r="K654" s="123"/>
      <c r="L654" s="123"/>
      <c r="M654" s="123"/>
      <c r="N654" s="123"/>
      <c r="O654" s="123"/>
      <c r="P654" s="123"/>
      <c r="Q654" s="123"/>
      <c r="R654" s="123"/>
      <c r="S654" s="123"/>
      <c r="T654" s="123"/>
    </row>
    <row r="655" spans="2:20" ht="16.5" customHeight="1">
      <c r="B655" s="123"/>
      <c r="C655" s="123"/>
      <c r="D655" s="123"/>
      <c r="E655" s="123"/>
      <c r="F655" s="123"/>
      <c r="G655" s="123"/>
      <c r="H655" s="123"/>
      <c r="I655" s="123"/>
      <c r="J655" s="123"/>
      <c r="K655" s="123"/>
      <c r="L655" s="123"/>
      <c r="M655" s="123"/>
      <c r="N655" s="123"/>
      <c r="O655" s="123"/>
      <c r="P655" s="123"/>
      <c r="Q655" s="123"/>
      <c r="R655" s="123"/>
      <c r="S655" s="123"/>
      <c r="T655" s="123"/>
    </row>
    <row r="656" spans="2:20" ht="16.5" customHeight="1">
      <c r="B656" s="123"/>
      <c r="C656" s="123"/>
      <c r="D656" s="123"/>
      <c r="E656" s="123"/>
      <c r="F656" s="123"/>
      <c r="G656" s="123"/>
      <c r="H656" s="123"/>
      <c r="I656" s="123"/>
      <c r="J656" s="123"/>
      <c r="K656" s="123"/>
      <c r="L656" s="123"/>
      <c r="M656" s="123"/>
      <c r="N656" s="123"/>
      <c r="O656" s="123"/>
      <c r="P656" s="123"/>
      <c r="Q656" s="123"/>
      <c r="R656" s="123"/>
      <c r="S656" s="123"/>
      <c r="T656" s="123"/>
    </row>
    <row r="657" spans="2:20" ht="16.5" customHeight="1">
      <c r="B657" s="123"/>
      <c r="C657" s="123"/>
      <c r="D657" s="123"/>
      <c r="E657" s="123"/>
      <c r="F657" s="123"/>
      <c r="G657" s="123"/>
      <c r="H657" s="123"/>
      <c r="I657" s="123"/>
      <c r="J657" s="123"/>
      <c r="K657" s="123"/>
      <c r="L657" s="123"/>
      <c r="M657" s="123"/>
      <c r="N657" s="123"/>
      <c r="O657" s="123"/>
      <c r="P657" s="123"/>
      <c r="Q657" s="123"/>
      <c r="R657" s="123"/>
      <c r="S657" s="123"/>
      <c r="T657" s="123"/>
    </row>
    <row r="658" spans="2:20" ht="16.5" customHeight="1">
      <c r="B658" s="123"/>
      <c r="C658" s="123"/>
      <c r="D658" s="123"/>
      <c r="E658" s="123"/>
      <c r="F658" s="123"/>
      <c r="G658" s="123"/>
      <c r="H658" s="123"/>
      <c r="I658" s="123"/>
      <c r="J658" s="123"/>
      <c r="K658" s="123"/>
      <c r="L658" s="123"/>
      <c r="M658" s="123"/>
      <c r="N658" s="123"/>
      <c r="O658" s="123"/>
      <c r="P658" s="123"/>
      <c r="Q658" s="123"/>
      <c r="R658" s="123"/>
      <c r="S658" s="123"/>
      <c r="T658" s="123"/>
    </row>
    <row r="659" spans="2:20" ht="16.5" customHeight="1">
      <c r="B659" s="123"/>
      <c r="C659" s="123"/>
      <c r="D659" s="123"/>
      <c r="E659" s="123"/>
      <c r="F659" s="123"/>
      <c r="G659" s="123"/>
      <c r="H659" s="123"/>
      <c r="I659" s="123"/>
      <c r="J659" s="123"/>
      <c r="K659" s="123"/>
      <c r="L659" s="123"/>
      <c r="M659" s="123"/>
      <c r="N659" s="123"/>
      <c r="O659" s="123"/>
      <c r="P659" s="123"/>
      <c r="Q659" s="123"/>
      <c r="R659" s="123"/>
      <c r="S659" s="123"/>
      <c r="T659" s="123"/>
    </row>
    <row r="660" spans="2:20" ht="16.5" customHeight="1">
      <c r="B660" s="123"/>
      <c r="C660" s="123"/>
      <c r="D660" s="123"/>
      <c r="E660" s="123"/>
      <c r="F660" s="123"/>
      <c r="G660" s="123"/>
      <c r="H660" s="123"/>
      <c r="I660" s="123"/>
      <c r="J660" s="123"/>
      <c r="K660" s="123"/>
      <c r="L660" s="123"/>
      <c r="M660" s="123"/>
      <c r="N660" s="123"/>
      <c r="O660" s="123"/>
      <c r="P660" s="123"/>
      <c r="Q660" s="123"/>
      <c r="R660" s="123"/>
      <c r="S660" s="123"/>
      <c r="T660" s="123"/>
    </row>
    <row r="661" spans="2:20" ht="16.5" customHeight="1">
      <c r="B661" s="123"/>
      <c r="C661" s="123"/>
      <c r="D661" s="123"/>
      <c r="E661" s="123"/>
      <c r="F661" s="123"/>
      <c r="G661" s="123"/>
      <c r="H661" s="123"/>
      <c r="I661" s="123"/>
      <c r="J661" s="123"/>
      <c r="K661" s="123"/>
      <c r="L661" s="123"/>
      <c r="M661" s="123"/>
      <c r="N661" s="123"/>
      <c r="O661" s="123"/>
      <c r="P661" s="123"/>
      <c r="Q661" s="123"/>
      <c r="R661" s="123"/>
      <c r="S661" s="123"/>
      <c r="T661" s="123"/>
    </row>
    <row r="662" spans="2:20" ht="16.5" customHeight="1">
      <c r="B662" s="123"/>
      <c r="C662" s="123"/>
      <c r="D662" s="123"/>
      <c r="E662" s="123"/>
      <c r="F662" s="123"/>
      <c r="G662" s="123"/>
      <c r="H662" s="123"/>
      <c r="I662" s="123"/>
      <c r="J662" s="123"/>
      <c r="K662" s="123"/>
      <c r="L662" s="123"/>
      <c r="M662" s="123"/>
      <c r="N662" s="123"/>
      <c r="O662" s="123"/>
      <c r="P662" s="123"/>
      <c r="Q662" s="123"/>
      <c r="R662" s="123"/>
      <c r="S662" s="123"/>
      <c r="T662" s="123"/>
    </row>
    <row r="663" spans="2:20" ht="16.5" customHeight="1">
      <c r="B663" s="123"/>
      <c r="C663" s="123"/>
      <c r="D663" s="123"/>
      <c r="E663" s="123"/>
      <c r="F663" s="123"/>
      <c r="G663" s="123"/>
      <c r="H663" s="123"/>
      <c r="I663" s="123"/>
      <c r="J663" s="123"/>
      <c r="K663" s="123"/>
      <c r="L663" s="123"/>
      <c r="M663" s="123"/>
      <c r="N663" s="123"/>
      <c r="O663" s="123"/>
      <c r="P663" s="123"/>
      <c r="Q663" s="123"/>
      <c r="R663" s="123"/>
      <c r="S663" s="123"/>
      <c r="T663" s="123"/>
    </row>
    <row r="664" spans="2:20" ht="16.5" customHeight="1">
      <c r="B664" s="123"/>
      <c r="C664" s="123"/>
      <c r="D664" s="123"/>
      <c r="E664" s="123"/>
      <c r="F664" s="123"/>
      <c r="G664" s="123"/>
      <c r="H664" s="123"/>
      <c r="I664" s="123"/>
      <c r="J664" s="123"/>
      <c r="K664" s="123"/>
      <c r="L664" s="123"/>
      <c r="M664" s="123"/>
      <c r="N664" s="123"/>
      <c r="O664" s="123"/>
      <c r="P664" s="123"/>
      <c r="Q664" s="123"/>
      <c r="R664" s="123"/>
      <c r="S664" s="123"/>
      <c r="T664" s="123"/>
    </row>
    <row r="665" spans="2:20" ht="16.5" customHeight="1">
      <c r="B665" s="123"/>
      <c r="C665" s="123"/>
      <c r="D665" s="123"/>
      <c r="E665" s="123"/>
      <c r="F665" s="123"/>
      <c r="G665" s="123"/>
      <c r="H665" s="123"/>
      <c r="I665" s="123"/>
      <c r="J665" s="123"/>
      <c r="K665" s="123"/>
      <c r="L665" s="123"/>
      <c r="M665" s="123"/>
      <c r="N665" s="123"/>
      <c r="O665" s="123"/>
      <c r="P665" s="123"/>
      <c r="Q665" s="123"/>
      <c r="R665" s="123"/>
      <c r="S665" s="123"/>
      <c r="T665" s="123"/>
    </row>
    <row r="666" spans="2:20" ht="16.5" customHeight="1">
      <c r="B666" s="123"/>
      <c r="C666" s="123"/>
      <c r="D666" s="123"/>
      <c r="E666" s="123"/>
      <c r="F666" s="123"/>
      <c r="G666" s="123"/>
      <c r="H666" s="123"/>
      <c r="I666" s="123"/>
      <c r="J666" s="123"/>
      <c r="K666" s="123"/>
      <c r="L666" s="123"/>
      <c r="M666" s="123"/>
      <c r="N666" s="123"/>
      <c r="O666" s="123"/>
      <c r="P666" s="123"/>
      <c r="Q666" s="123"/>
      <c r="R666" s="123"/>
      <c r="S666" s="123"/>
      <c r="T666" s="123"/>
    </row>
    <row r="667" spans="2:20" ht="16.5" customHeight="1">
      <c r="B667" s="123"/>
      <c r="C667" s="123"/>
      <c r="D667" s="123"/>
      <c r="E667" s="123"/>
      <c r="F667" s="123"/>
      <c r="G667" s="123"/>
      <c r="H667" s="123"/>
      <c r="I667" s="123"/>
      <c r="J667" s="123"/>
      <c r="K667" s="123"/>
      <c r="L667" s="123"/>
      <c r="M667" s="123"/>
      <c r="N667" s="123"/>
      <c r="O667" s="123"/>
      <c r="P667" s="123"/>
      <c r="Q667" s="123"/>
      <c r="R667" s="123"/>
      <c r="S667" s="123"/>
      <c r="T667" s="123"/>
    </row>
    <row r="668" spans="2:20" ht="16.5" customHeight="1">
      <c r="B668" s="123"/>
      <c r="C668" s="123"/>
      <c r="D668" s="123"/>
      <c r="E668" s="123"/>
      <c r="F668" s="123"/>
      <c r="G668" s="123"/>
      <c r="H668" s="123"/>
      <c r="I668" s="123"/>
      <c r="J668" s="123"/>
      <c r="K668" s="123"/>
      <c r="L668" s="123"/>
      <c r="M668" s="123"/>
      <c r="N668" s="123"/>
      <c r="O668" s="123"/>
      <c r="P668" s="123"/>
      <c r="Q668" s="123"/>
      <c r="R668" s="123"/>
      <c r="S668" s="123"/>
      <c r="T668" s="123"/>
    </row>
    <row r="669" spans="2:20" ht="16.5" customHeight="1">
      <c r="B669" s="123"/>
      <c r="C669" s="123"/>
      <c r="D669" s="123"/>
      <c r="E669" s="123"/>
      <c r="F669" s="123"/>
      <c r="G669" s="123"/>
      <c r="H669" s="123"/>
      <c r="I669" s="123"/>
      <c r="J669" s="123"/>
      <c r="K669" s="123"/>
      <c r="L669" s="123"/>
      <c r="M669" s="123"/>
      <c r="N669" s="123"/>
      <c r="O669" s="123"/>
      <c r="P669" s="123"/>
      <c r="Q669" s="123"/>
      <c r="R669" s="123"/>
      <c r="S669" s="123"/>
      <c r="T669" s="123"/>
    </row>
    <row r="670" spans="2:20" ht="16.5" customHeight="1">
      <c r="B670" s="123"/>
      <c r="C670" s="123"/>
      <c r="D670" s="123"/>
      <c r="E670" s="123"/>
      <c r="F670" s="123"/>
      <c r="G670" s="123"/>
      <c r="H670" s="123"/>
      <c r="I670" s="123"/>
      <c r="J670" s="123"/>
      <c r="K670" s="123"/>
      <c r="L670" s="123"/>
      <c r="M670" s="123"/>
      <c r="N670" s="123"/>
      <c r="O670" s="123"/>
      <c r="P670" s="123"/>
      <c r="Q670" s="123"/>
      <c r="R670" s="123"/>
      <c r="S670" s="123"/>
      <c r="T670" s="123"/>
    </row>
    <row r="671" spans="2:20" ht="16.5" customHeight="1">
      <c r="B671" s="123"/>
      <c r="C671" s="123"/>
      <c r="D671" s="123"/>
      <c r="E671" s="123"/>
      <c r="F671" s="123"/>
      <c r="G671" s="123"/>
      <c r="H671" s="123"/>
      <c r="I671" s="123"/>
      <c r="J671" s="123"/>
      <c r="K671" s="123"/>
      <c r="L671" s="123"/>
      <c r="M671" s="123"/>
      <c r="N671" s="123"/>
      <c r="O671" s="123"/>
      <c r="P671" s="123"/>
      <c r="Q671" s="123"/>
      <c r="R671" s="123"/>
      <c r="S671" s="123"/>
      <c r="T671" s="123"/>
    </row>
    <row r="672" spans="2:20" ht="16.5" customHeight="1">
      <c r="B672" s="123"/>
      <c r="C672" s="123"/>
      <c r="D672" s="123"/>
      <c r="E672" s="123"/>
      <c r="F672" s="123"/>
      <c r="G672" s="123"/>
      <c r="H672" s="123"/>
      <c r="I672" s="123"/>
      <c r="J672" s="123"/>
      <c r="K672" s="123"/>
      <c r="L672" s="123"/>
      <c r="M672" s="123"/>
      <c r="N672" s="123"/>
      <c r="O672" s="123"/>
      <c r="P672" s="123"/>
      <c r="Q672" s="123"/>
      <c r="R672" s="123"/>
      <c r="S672" s="123"/>
      <c r="T672" s="123"/>
    </row>
    <row r="673" spans="2:20" ht="16.5" customHeight="1">
      <c r="B673" s="123"/>
      <c r="C673" s="123"/>
      <c r="D673" s="123"/>
      <c r="E673" s="123"/>
      <c r="F673" s="123"/>
      <c r="G673" s="123"/>
      <c r="H673" s="123"/>
      <c r="I673" s="123"/>
      <c r="J673" s="123"/>
      <c r="K673" s="123"/>
      <c r="L673" s="123"/>
      <c r="M673" s="123"/>
      <c r="N673" s="123"/>
      <c r="O673" s="123"/>
      <c r="P673" s="123"/>
      <c r="Q673" s="123"/>
      <c r="R673" s="123"/>
      <c r="S673" s="123"/>
      <c r="T673" s="123"/>
    </row>
    <row r="674" spans="2:20" ht="16.5" customHeight="1">
      <c r="B674" s="123"/>
      <c r="C674" s="123"/>
      <c r="D674" s="123"/>
      <c r="E674" s="123"/>
      <c r="F674" s="123"/>
      <c r="G674" s="123"/>
      <c r="H674" s="123"/>
      <c r="I674" s="123"/>
      <c r="J674" s="123"/>
      <c r="K674" s="123"/>
      <c r="L674" s="123"/>
      <c r="M674" s="123"/>
      <c r="N674" s="123"/>
      <c r="O674" s="123"/>
      <c r="P674" s="123"/>
      <c r="Q674" s="123"/>
      <c r="R674" s="123"/>
      <c r="S674" s="123"/>
      <c r="T674" s="123"/>
    </row>
    <row r="675" spans="2:20" ht="16.5" customHeight="1">
      <c r="B675" s="123"/>
      <c r="C675" s="123"/>
      <c r="D675" s="123"/>
      <c r="E675" s="123"/>
      <c r="F675" s="123"/>
      <c r="G675" s="123"/>
      <c r="H675" s="123"/>
      <c r="I675" s="123"/>
      <c r="J675" s="123"/>
      <c r="K675" s="123"/>
      <c r="L675" s="123"/>
      <c r="M675" s="123"/>
      <c r="N675" s="123"/>
      <c r="O675" s="123"/>
      <c r="P675" s="123"/>
      <c r="Q675" s="123"/>
      <c r="R675" s="123"/>
      <c r="S675" s="123"/>
      <c r="T675" s="123"/>
    </row>
    <row r="676" spans="2:20" ht="16.5" customHeight="1">
      <c r="B676" s="123"/>
      <c r="C676" s="123"/>
      <c r="D676" s="123"/>
      <c r="E676" s="123"/>
      <c r="F676" s="123"/>
      <c r="G676" s="123"/>
      <c r="H676" s="123"/>
      <c r="I676" s="123"/>
      <c r="J676" s="123"/>
      <c r="K676" s="123"/>
      <c r="L676" s="123"/>
      <c r="M676" s="123"/>
      <c r="N676" s="123"/>
      <c r="O676" s="123"/>
      <c r="P676" s="123"/>
      <c r="Q676" s="123"/>
      <c r="R676" s="123"/>
      <c r="S676" s="123"/>
      <c r="T676" s="123"/>
    </row>
    <row r="677" spans="2:20" ht="16.5" customHeight="1">
      <c r="B677" s="123"/>
      <c r="C677" s="123"/>
      <c r="D677" s="123"/>
      <c r="E677" s="123"/>
      <c r="F677" s="123"/>
      <c r="G677" s="123"/>
      <c r="H677" s="123"/>
      <c r="I677" s="123"/>
      <c r="J677" s="123"/>
      <c r="K677" s="123"/>
      <c r="L677" s="123"/>
      <c r="M677" s="123"/>
      <c r="N677" s="123"/>
      <c r="O677" s="123"/>
      <c r="P677" s="123"/>
      <c r="Q677" s="123"/>
      <c r="R677" s="123"/>
      <c r="S677" s="123"/>
      <c r="T677" s="123"/>
    </row>
    <row r="678" spans="2:20" ht="16.5" customHeight="1">
      <c r="B678" s="123"/>
      <c r="C678" s="123"/>
      <c r="D678" s="123"/>
      <c r="E678" s="123"/>
      <c r="F678" s="123"/>
      <c r="G678" s="123"/>
      <c r="H678" s="123"/>
      <c r="I678" s="123"/>
      <c r="J678" s="123"/>
      <c r="K678" s="123"/>
      <c r="L678" s="123"/>
      <c r="M678" s="123"/>
      <c r="N678" s="123"/>
      <c r="O678" s="123"/>
      <c r="P678" s="123"/>
      <c r="Q678" s="123"/>
      <c r="R678" s="123"/>
      <c r="S678" s="123"/>
      <c r="T678" s="123"/>
    </row>
    <row r="679" spans="2:20" ht="16.5" customHeight="1">
      <c r="B679" s="123"/>
      <c r="C679" s="123"/>
      <c r="D679" s="123"/>
      <c r="E679" s="123"/>
      <c r="F679" s="123"/>
      <c r="G679" s="123"/>
      <c r="H679" s="123"/>
      <c r="I679" s="123"/>
      <c r="J679" s="123"/>
      <c r="K679" s="123"/>
      <c r="L679" s="123"/>
      <c r="M679" s="123"/>
      <c r="N679" s="123"/>
      <c r="O679" s="123"/>
      <c r="P679" s="123"/>
      <c r="Q679" s="123"/>
      <c r="R679" s="123"/>
      <c r="S679" s="123"/>
      <c r="T679" s="123"/>
    </row>
    <row r="680" spans="2:20" ht="16.5" customHeight="1">
      <c r="B680" s="123"/>
      <c r="C680" s="123"/>
      <c r="D680" s="123"/>
      <c r="E680" s="123"/>
      <c r="F680" s="123"/>
      <c r="G680" s="123"/>
      <c r="H680" s="123"/>
      <c r="I680" s="123"/>
      <c r="J680" s="123"/>
      <c r="K680" s="123"/>
      <c r="L680" s="123"/>
      <c r="M680" s="123"/>
      <c r="N680" s="123"/>
      <c r="O680" s="123"/>
      <c r="P680" s="123"/>
      <c r="Q680" s="123"/>
      <c r="R680" s="123"/>
      <c r="S680" s="123"/>
      <c r="T680" s="123"/>
    </row>
    <row r="681" spans="2:20" ht="16.5" customHeight="1">
      <c r="B681" s="123"/>
      <c r="C681" s="123"/>
      <c r="D681" s="123"/>
      <c r="E681" s="123"/>
      <c r="F681" s="123"/>
      <c r="G681" s="123"/>
      <c r="H681" s="123"/>
      <c r="I681" s="123"/>
      <c r="J681" s="123"/>
      <c r="K681" s="123"/>
      <c r="L681" s="123"/>
      <c r="M681" s="123"/>
      <c r="N681" s="123"/>
      <c r="O681" s="123"/>
      <c r="P681" s="123"/>
      <c r="Q681" s="123"/>
      <c r="R681" s="123"/>
      <c r="S681" s="123"/>
      <c r="T681" s="123"/>
    </row>
    <row r="682" spans="2:20" ht="16.5" customHeight="1">
      <c r="B682" s="123"/>
      <c r="C682" s="123"/>
      <c r="D682" s="123"/>
      <c r="E682" s="123"/>
      <c r="F682" s="123"/>
      <c r="G682" s="123"/>
      <c r="H682" s="123"/>
      <c r="I682" s="123"/>
      <c r="J682" s="123"/>
      <c r="K682" s="123"/>
      <c r="L682" s="123"/>
      <c r="M682" s="123"/>
      <c r="N682" s="123"/>
      <c r="O682" s="123"/>
      <c r="P682" s="123"/>
      <c r="Q682" s="123"/>
      <c r="R682" s="123"/>
      <c r="S682" s="123"/>
      <c r="T682" s="123"/>
    </row>
    <row r="683" spans="2:20" ht="16.5" customHeight="1">
      <c r="B683" s="123"/>
      <c r="C683" s="123"/>
      <c r="D683" s="123"/>
      <c r="E683" s="123"/>
      <c r="F683" s="123"/>
      <c r="G683" s="123"/>
      <c r="H683" s="123"/>
      <c r="I683" s="123"/>
      <c r="J683" s="123"/>
      <c r="K683" s="123"/>
      <c r="L683" s="123"/>
      <c r="M683" s="123"/>
      <c r="N683" s="123"/>
      <c r="O683" s="123"/>
      <c r="P683" s="123"/>
      <c r="Q683" s="123"/>
      <c r="R683" s="123"/>
      <c r="S683" s="123"/>
      <c r="T683" s="123"/>
    </row>
    <row r="684" spans="2:20" ht="16.5" customHeight="1">
      <c r="B684" s="123"/>
      <c r="C684" s="123"/>
      <c r="D684" s="123"/>
      <c r="E684" s="123"/>
      <c r="F684" s="123"/>
      <c r="G684" s="123"/>
      <c r="H684" s="123"/>
      <c r="I684" s="123"/>
      <c r="J684" s="123"/>
      <c r="K684" s="123"/>
      <c r="L684" s="123"/>
      <c r="M684" s="123"/>
      <c r="N684" s="123"/>
      <c r="O684" s="123"/>
      <c r="P684" s="123"/>
      <c r="Q684" s="123"/>
      <c r="R684" s="123"/>
      <c r="S684" s="123"/>
      <c r="T684" s="123"/>
    </row>
    <row r="685" spans="2:20" ht="16.5" customHeight="1">
      <c r="B685" s="123"/>
      <c r="C685" s="123"/>
      <c r="D685" s="123"/>
      <c r="E685" s="123"/>
      <c r="F685" s="123"/>
      <c r="G685" s="123"/>
      <c r="H685" s="123"/>
      <c r="I685" s="123"/>
      <c r="J685" s="123"/>
      <c r="K685" s="123"/>
      <c r="L685" s="123"/>
      <c r="M685" s="123"/>
      <c r="N685" s="123"/>
      <c r="O685" s="123"/>
      <c r="P685" s="123"/>
      <c r="Q685" s="123"/>
      <c r="R685" s="123"/>
      <c r="S685" s="123"/>
      <c r="T685" s="123"/>
    </row>
    <row r="686" spans="2:20" ht="16.5" customHeight="1">
      <c r="B686" s="123"/>
      <c r="C686" s="123"/>
      <c r="D686" s="123"/>
      <c r="E686" s="123"/>
      <c r="F686" s="123"/>
      <c r="G686" s="123"/>
      <c r="H686" s="123"/>
      <c r="I686" s="123"/>
      <c r="J686" s="123"/>
      <c r="K686" s="123"/>
      <c r="L686" s="123"/>
      <c r="M686" s="123"/>
      <c r="N686" s="123"/>
      <c r="O686" s="123"/>
      <c r="P686" s="123"/>
      <c r="Q686" s="123"/>
      <c r="R686" s="123"/>
      <c r="S686" s="123"/>
      <c r="T686" s="123"/>
    </row>
    <row r="687" spans="2:20" ht="16.5" customHeight="1">
      <c r="B687" s="123"/>
      <c r="C687" s="123"/>
      <c r="D687" s="123"/>
      <c r="E687" s="123"/>
      <c r="F687" s="123"/>
      <c r="G687" s="123"/>
      <c r="H687" s="123"/>
      <c r="I687" s="123"/>
      <c r="J687" s="123"/>
      <c r="K687" s="123"/>
      <c r="L687" s="123"/>
      <c r="M687" s="123"/>
      <c r="N687" s="123"/>
      <c r="O687" s="123"/>
      <c r="P687" s="123"/>
      <c r="Q687" s="123"/>
      <c r="R687" s="123"/>
      <c r="S687" s="123"/>
      <c r="T687" s="123"/>
    </row>
    <row r="688" spans="2:20" ht="16.5" customHeight="1">
      <c r="B688" s="123"/>
      <c r="C688" s="123"/>
      <c r="D688" s="123"/>
      <c r="E688" s="123"/>
      <c r="F688" s="123"/>
      <c r="G688" s="123"/>
      <c r="H688" s="123"/>
      <c r="I688" s="123"/>
      <c r="J688" s="123"/>
      <c r="K688" s="123"/>
      <c r="L688" s="123"/>
      <c r="M688" s="123"/>
      <c r="N688" s="123"/>
      <c r="O688" s="123"/>
      <c r="P688" s="123"/>
      <c r="Q688" s="123"/>
      <c r="R688" s="123"/>
      <c r="S688" s="123"/>
      <c r="T688" s="123"/>
    </row>
    <row r="689" spans="2:20" ht="16.5" customHeight="1">
      <c r="B689" s="123"/>
      <c r="C689" s="123"/>
      <c r="D689" s="123"/>
      <c r="E689" s="123"/>
      <c r="F689" s="123"/>
      <c r="G689" s="123"/>
      <c r="H689" s="123"/>
      <c r="I689" s="123"/>
      <c r="J689" s="123"/>
      <c r="K689" s="123"/>
      <c r="L689" s="123"/>
      <c r="M689" s="123"/>
      <c r="N689" s="123"/>
      <c r="O689" s="123"/>
      <c r="P689" s="123"/>
      <c r="Q689" s="123"/>
      <c r="R689" s="123"/>
      <c r="S689" s="123"/>
      <c r="T689" s="123"/>
    </row>
    <row r="690" spans="2:20" ht="16.5" customHeight="1">
      <c r="B690" s="123"/>
      <c r="C690" s="123"/>
      <c r="D690" s="123"/>
      <c r="E690" s="123"/>
      <c r="F690" s="123"/>
      <c r="G690" s="123"/>
      <c r="H690" s="123"/>
      <c r="I690" s="123"/>
      <c r="J690" s="123"/>
      <c r="K690" s="123"/>
      <c r="L690" s="123"/>
      <c r="M690" s="123"/>
      <c r="N690" s="123"/>
      <c r="O690" s="123"/>
      <c r="P690" s="123"/>
      <c r="Q690" s="123"/>
      <c r="R690" s="123"/>
      <c r="S690" s="123"/>
      <c r="T690" s="123"/>
    </row>
    <row r="691" spans="2:20" ht="16.5" customHeight="1">
      <c r="B691" s="123"/>
      <c r="C691" s="123"/>
      <c r="D691" s="123"/>
      <c r="E691" s="123"/>
      <c r="F691" s="123"/>
      <c r="G691" s="123"/>
      <c r="H691" s="123"/>
      <c r="I691" s="123"/>
      <c r="J691" s="123"/>
      <c r="K691" s="123"/>
      <c r="L691" s="123"/>
      <c r="M691" s="123"/>
      <c r="N691" s="123"/>
      <c r="O691" s="123"/>
      <c r="P691" s="123"/>
      <c r="Q691" s="123"/>
      <c r="R691" s="123"/>
      <c r="S691" s="123"/>
      <c r="T691" s="123"/>
    </row>
    <row r="692" spans="2:20" ht="16.5" customHeight="1">
      <c r="B692" s="123"/>
      <c r="C692" s="123"/>
      <c r="D692" s="123"/>
      <c r="E692" s="123"/>
      <c r="F692" s="123"/>
      <c r="G692" s="123"/>
      <c r="H692" s="123"/>
      <c r="I692" s="123"/>
      <c r="J692" s="123"/>
      <c r="K692" s="123"/>
      <c r="L692" s="123"/>
      <c r="M692" s="123"/>
      <c r="N692" s="123"/>
      <c r="O692" s="123"/>
      <c r="P692" s="123"/>
      <c r="Q692" s="123"/>
      <c r="R692" s="123"/>
      <c r="S692" s="123"/>
      <c r="T692" s="123"/>
    </row>
    <row r="693" spans="2:20" ht="16.5" customHeight="1">
      <c r="B693" s="123"/>
      <c r="C693" s="123"/>
      <c r="D693" s="123"/>
      <c r="E693" s="123"/>
      <c r="F693" s="123"/>
      <c r="G693" s="123"/>
      <c r="H693" s="123"/>
      <c r="I693" s="123"/>
      <c r="J693" s="123"/>
      <c r="K693" s="123"/>
      <c r="L693" s="123"/>
      <c r="M693" s="123"/>
      <c r="N693" s="123"/>
      <c r="O693" s="123"/>
      <c r="P693" s="123"/>
      <c r="Q693" s="123"/>
      <c r="R693" s="123"/>
      <c r="S693" s="123"/>
      <c r="T693" s="123"/>
    </row>
    <row r="694" spans="2:20" ht="16.5" customHeight="1">
      <c r="B694" s="123"/>
      <c r="C694" s="123"/>
      <c r="D694" s="123"/>
      <c r="E694" s="123"/>
      <c r="F694" s="123"/>
      <c r="G694" s="123"/>
      <c r="H694" s="123"/>
      <c r="I694" s="123"/>
      <c r="J694" s="123"/>
      <c r="K694" s="123"/>
      <c r="L694" s="123"/>
      <c r="M694" s="123"/>
      <c r="N694" s="123"/>
      <c r="O694" s="123"/>
      <c r="P694" s="123"/>
      <c r="Q694" s="123"/>
      <c r="R694" s="123"/>
      <c r="S694" s="123"/>
      <c r="T694" s="123"/>
    </row>
    <row r="695" spans="2:20" ht="16.5" customHeight="1">
      <c r="B695" s="123"/>
      <c r="C695" s="123"/>
      <c r="D695" s="123"/>
      <c r="E695" s="123"/>
      <c r="F695" s="123"/>
      <c r="G695" s="123"/>
      <c r="H695" s="123"/>
      <c r="I695" s="123"/>
      <c r="J695" s="123"/>
      <c r="K695" s="123"/>
      <c r="L695" s="123"/>
      <c r="M695" s="123"/>
      <c r="N695" s="123"/>
      <c r="O695" s="123"/>
      <c r="P695" s="123"/>
      <c r="Q695" s="123"/>
      <c r="R695" s="123"/>
      <c r="S695" s="123"/>
      <c r="T695" s="123"/>
    </row>
    <row r="696" spans="2:20" ht="16.5" customHeight="1">
      <c r="B696" s="123"/>
      <c r="C696" s="123"/>
      <c r="D696" s="123"/>
      <c r="E696" s="123"/>
      <c r="F696" s="123"/>
      <c r="G696" s="123"/>
      <c r="H696" s="123"/>
      <c r="I696" s="123"/>
      <c r="J696" s="123"/>
      <c r="K696" s="123"/>
      <c r="L696" s="123"/>
      <c r="M696" s="123"/>
      <c r="N696" s="123"/>
      <c r="O696" s="123"/>
      <c r="P696" s="123"/>
      <c r="Q696" s="123"/>
      <c r="R696" s="123"/>
      <c r="S696" s="123"/>
      <c r="T696" s="123"/>
    </row>
    <row r="697" spans="2:20" ht="16.5" customHeight="1">
      <c r="B697" s="123"/>
      <c r="C697" s="123"/>
      <c r="D697" s="123"/>
      <c r="E697" s="123"/>
      <c r="F697" s="123"/>
      <c r="G697" s="123"/>
      <c r="H697" s="123"/>
      <c r="I697" s="123"/>
      <c r="J697" s="123"/>
      <c r="K697" s="123"/>
      <c r="L697" s="123"/>
      <c r="M697" s="123"/>
      <c r="N697" s="123"/>
      <c r="O697" s="123"/>
      <c r="P697" s="123"/>
      <c r="Q697" s="123"/>
      <c r="R697" s="123"/>
      <c r="S697" s="123"/>
      <c r="T697" s="123"/>
    </row>
    <row r="698" spans="2:20" ht="16.5" customHeight="1">
      <c r="B698" s="123"/>
      <c r="C698" s="123"/>
      <c r="D698" s="123"/>
      <c r="E698" s="123"/>
      <c r="F698" s="123"/>
      <c r="G698" s="123"/>
      <c r="H698" s="123"/>
      <c r="I698" s="123"/>
      <c r="J698" s="123"/>
      <c r="K698" s="123"/>
      <c r="L698" s="123"/>
      <c r="M698" s="123"/>
      <c r="N698" s="123"/>
      <c r="O698" s="123"/>
      <c r="P698" s="123"/>
      <c r="Q698" s="123"/>
      <c r="R698" s="123"/>
      <c r="S698" s="123"/>
      <c r="T698" s="123"/>
    </row>
    <row r="699" spans="2:20" ht="16.5" customHeight="1">
      <c r="B699" s="123"/>
      <c r="C699" s="123"/>
      <c r="D699" s="123"/>
      <c r="E699" s="123"/>
      <c r="F699" s="123"/>
      <c r="G699" s="123"/>
      <c r="H699" s="123"/>
      <c r="I699" s="123"/>
      <c r="J699" s="123"/>
      <c r="K699" s="123"/>
      <c r="L699" s="123"/>
      <c r="M699" s="123"/>
      <c r="N699" s="123"/>
      <c r="O699" s="123"/>
      <c r="P699" s="123"/>
      <c r="Q699" s="123"/>
      <c r="R699" s="123"/>
      <c r="S699" s="123"/>
      <c r="T699" s="123"/>
    </row>
    <row r="700" spans="2:20" ht="16.5" customHeight="1">
      <c r="B700" s="123"/>
      <c r="C700" s="123"/>
      <c r="D700" s="123"/>
      <c r="E700" s="123"/>
      <c r="F700" s="123"/>
      <c r="G700" s="123"/>
      <c r="H700" s="123"/>
      <c r="I700" s="123"/>
      <c r="J700" s="123"/>
      <c r="K700" s="123"/>
      <c r="L700" s="123"/>
      <c r="M700" s="123"/>
      <c r="N700" s="123"/>
      <c r="O700" s="123"/>
      <c r="P700" s="123"/>
      <c r="Q700" s="123"/>
      <c r="R700" s="123"/>
      <c r="S700" s="123"/>
      <c r="T700" s="123"/>
    </row>
    <row r="701" spans="2:20" ht="16.5" customHeight="1">
      <c r="B701" s="123"/>
      <c r="C701" s="123"/>
      <c r="D701" s="123"/>
      <c r="E701" s="123"/>
      <c r="F701" s="123"/>
      <c r="G701" s="123"/>
      <c r="H701" s="123"/>
      <c r="I701" s="123"/>
      <c r="J701" s="123"/>
      <c r="K701" s="123"/>
      <c r="L701" s="123"/>
      <c r="M701" s="123"/>
      <c r="N701" s="123"/>
      <c r="O701" s="123"/>
      <c r="P701" s="123"/>
      <c r="Q701" s="123"/>
      <c r="R701" s="123"/>
      <c r="S701" s="123"/>
      <c r="T701" s="123"/>
    </row>
    <row r="702" spans="2:20" ht="16.5" customHeight="1">
      <c r="B702" s="123"/>
      <c r="C702" s="123"/>
      <c r="D702" s="123"/>
      <c r="E702" s="123"/>
      <c r="F702" s="123"/>
      <c r="G702" s="123"/>
      <c r="H702" s="123"/>
      <c r="I702" s="123"/>
      <c r="J702" s="123"/>
      <c r="K702" s="123"/>
      <c r="L702" s="123"/>
      <c r="M702" s="123"/>
      <c r="N702" s="123"/>
      <c r="O702" s="123"/>
      <c r="P702" s="123"/>
      <c r="Q702" s="123"/>
      <c r="R702" s="123"/>
      <c r="S702" s="123"/>
      <c r="T702" s="123"/>
    </row>
    <row r="703" spans="2:20" ht="16.5" customHeight="1">
      <c r="B703" s="123"/>
      <c r="C703" s="123"/>
      <c r="D703" s="123"/>
      <c r="E703" s="123"/>
      <c r="F703" s="123"/>
      <c r="G703" s="123"/>
      <c r="H703" s="123"/>
      <c r="I703" s="123"/>
      <c r="J703" s="123"/>
      <c r="K703" s="123"/>
      <c r="L703" s="123"/>
      <c r="M703" s="123"/>
      <c r="N703" s="123"/>
      <c r="O703" s="123"/>
      <c r="P703" s="123"/>
      <c r="Q703" s="123"/>
      <c r="R703" s="123"/>
      <c r="S703" s="123"/>
      <c r="T703" s="123"/>
    </row>
    <row r="704" spans="2:20" ht="16.5" customHeight="1">
      <c r="B704" s="123"/>
      <c r="C704" s="123"/>
      <c r="D704" s="123"/>
      <c r="E704" s="123"/>
      <c r="F704" s="123"/>
      <c r="G704" s="123"/>
      <c r="H704" s="123"/>
      <c r="I704" s="123"/>
      <c r="J704" s="123"/>
      <c r="K704" s="123"/>
      <c r="L704" s="123"/>
      <c r="M704" s="123"/>
      <c r="N704" s="123"/>
      <c r="O704" s="123"/>
      <c r="P704" s="123"/>
      <c r="Q704" s="123"/>
      <c r="R704" s="123"/>
      <c r="S704" s="123"/>
      <c r="T704" s="123"/>
    </row>
    <row r="705" spans="2:20" ht="16.5" customHeight="1">
      <c r="B705" s="123"/>
      <c r="C705" s="123"/>
      <c r="D705" s="123"/>
      <c r="E705" s="123"/>
      <c r="F705" s="123"/>
      <c r="G705" s="123"/>
      <c r="H705" s="123"/>
      <c r="I705" s="123"/>
      <c r="J705" s="123"/>
      <c r="K705" s="123"/>
      <c r="L705" s="123"/>
      <c r="M705" s="123"/>
      <c r="N705" s="123"/>
      <c r="O705" s="123"/>
      <c r="P705" s="123"/>
      <c r="Q705" s="123"/>
      <c r="R705" s="123"/>
      <c r="S705" s="123"/>
      <c r="T705" s="123"/>
    </row>
    <row r="706" spans="2:20" ht="16.5" customHeight="1">
      <c r="B706" s="123"/>
      <c r="C706" s="123"/>
      <c r="D706" s="123"/>
      <c r="E706" s="123"/>
      <c r="F706" s="123"/>
      <c r="G706" s="123"/>
      <c r="H706" s="123"/>
      <c r="I706" s="123"/>
      <c r="J706" s="123"/>
      <c r="K706" s="123"/>
      <c r="L706" s="123"/>
      <c r="M706" s="123"/>
      <c r="N706" s="123"/>
      <c r="O706" s="123"/>
      <c r="P706" s="123"/>
      <c r="Q706" s="123"/>
      <c r="R706" s="123"/>
      <c r="S706" s="123"/>
      <c r="T706" s="123"/>
    </row>
    <row r="707" spans="2:20" ht="16.5" customHeight="1">
      <c r="B707" s="123"/>
      <c r="C707" s="123"/>
      <c r="D707" s="123"/>
      <c r="E707" s="123"/>
      <c r="F707" s="123"/>
      <c r="G707" s="123"/>
      <c r="H707" s="123"/>
      <c r="I707" s="123"/>
      <c r="J707" s="123"/>
      <c r="K707" s="123"/>
      <c r="L707" s="123"/>
      <c r="M707" s="123"/>
      <c r="N707" s="123"/>
      <c r="O707" s="123"/>
      <c r="P707" s="123"/>
      <c r="Q707" s="123"/>
      <c r="R707" s="123"/>
      <c r="S707" s="123"/>
      <c r="T707" s="123"/>
    </row>
    <row r="708" spans="2:20" ht="16.5" customHeight="1">
      <c r="B708" s="123"/>
      <c r="C708" s="123"/>
      <c r="D708" s="123"/>
      <c r="E708" s="123"/>
      <c r="F708" s="123"/>
      <c r="G708" s="123"/>
      <c r="H708" s="123"/>
      <c r="I708" s="123"/>
      <c r="J708" s="123"/>
      <c r="K708" s="123"/>
      <c r="L708" s="123"/>
      <c r="M708" s="123"/>
      <c r="N708" s="123"/>
      <c r="O708" s="123"/>
      <c r="P708" s="123"/>
      <c r="Q708" s="123"/>
      <c r="R708" s="123"/>
      <c r="S708" s="123"/>
      <c r="T708" s="123"/>
    </row>
    <row r="709" spans="2:20" ht="16.5" customHeight="1">
      <c r="B709" s="123"/>
      <c r="C709" s="123"/>
      <c r="D709" s="123"/>
      <c r="E709" s="123"/>
      <c r="F709" s="123"/>
      <c r="G709" s="123"/>
      <c r="H709" s="123"/>
      <c r="I709" s="123"/>
      <c r="J709" s="123"/>
      <c r="K709" s="123"/>
      <c r="L709" s="123"/>
      <c r="M709" s="123"/>
      <c r="N709" s="123"/>
      <c r="O709" s="123"/>
      <c r="P709" s="123"/>
      <c r="Q709" s="123"/>
      <c r="R709" s="123"/>
      <c r="S709" s="123"/>
      <c r="T709" s="123"/>
    </row>
    <row r="710" spans="2:20" ht="16.5" customHeight="1">
      <c r="B710" s="123"/>
      <c r="C710" s="123"/>
      <c r="D710" s="123"/>
      <c r="E710" s="123"/>
      <c r="F710" s="123"/>
      <c r="G710" s="123"/>
      <c r="H710" s="123"/>
      <c r="I710" s="123"/>
      <c r="J710" s="123"/>
      <c r="K710" s="123"/>
      <c r="L710" s="123"/>
      <c r="M710" s="123"/>
      <c r="N710" s="123"/>
      <c r="O710" s="123"/>
      <c r="P710" s="123"/>
      <c r="Q710" s="123"/>
      <c r="R710" s="123"/>
      <c r="S710" s="123"/>
      <c r="T710" s="123"/>
    </row>
    <row r="711" spans="2:20" ht="16.5" customHeight="1">
      <c r="B711" s="123"/>
      <c r="C711" s="123"/>
      <c r="D711" s="123"/>
      <c r="E711" s="123"/>
      <c r="F711" s="123"/>
      <c r="G711" s="123"/>
      <c r="H711" s="123"/>
      <c r="I711" s="123"/>
      <c r="J711" s="123"/>
      <c r="K711" s="123"/>
      <c r="L711" s="123"/>
      <c r="M711" s="123"/>
      <c r="N711" s="123"/>
      <c r="O711" s="123"/>
      <c r="P711" s="123"/>
      <c r="Q711" s="123"/>
      <c r="R711" s="123"/>
      <c r="S711" s="123"/>
      <c r="T711" s="123"/>
    </row>
    <row r="712" spans="2:20" ht="16.5" customHeight="1">
      <c r="B712" s="123"/>
      <c r="C712" s="123"/>
      <c r="D712" s="123"/>
      <c r="E712" s="123"/>
      <c r="F712" s="123"/>
      <c r="G712" s="123"/>
      <c r="H712" s="123"/>
      <c r="I712" s="123"/>
      <c r="J712" s="123"/>
      <c r="K712" s="123"/>
      <c r="L712" s="123"/>
      <c r="M712" s="123"/>
      <c r="N712" s="123"/>
      <c r="O712" s="123"/>
      <c r="P712" s="123"/>
      <c r="Q712" s="123"/>
      <c r="R712" s="123"/>
      <c r="S712" s="123"/>
      <c r="T712" s="123"/>
    </row>
    <row r="713" spans="2:20" ht="16.5" customHeight="1">
      <c r="B713" s="123"/>
      <c r="C713" s="123"/>
      <c r="D713" s="123"/>
      <c r="E713" s="123"/>
      <c r="F713" s="123"/>
      <c r="G713" s="123"/>
      <c r="H713" s="123"/>
      <c r="I713" s="123"/>
      <c r="J713" s="123"/>
      <c r="K713" s="123"/>
      <c r="L713" s="123"/>
      <c r="M713" s="123"/>
      <c r="N713" s="123"/>
      <c r="O713" s="123"/>
      <c r="P713" s="123"/>
      <c r="Q713" s="123"/>
      <c r="R713" s="123"/>
      <c r="S713" s="123"/>
      <c r="T713" s="123"/>
    </row>
    <row r="714" spans="2:20" ht="16.5" customHeight="1">
      <c r="B714" s="123"/>
      <c r="C714" s="123"/>
      <c r="D714" s="123"/>
      <c r="E714" s="123"/>
      <c r="F714" s="123"/>
      <c r="G714" s="123"/>
      <c r="H714" s="123"/>
      <c r="I714" s="123"/>
      <c r="J714" s="123"/>
      <c r="K714" s="123"/>
      <c r="L714" s="123"/>
      <c r="M714" s="123"/>
      <c r="N714" s="123"/>
      <c r="O714" s="123"/>
      <c r="P714" s="123"/>
      <c r="Q714" s="123"/>
      <c r="R714" s="123"/>
      <c r="S714" s="123"/>
      <c r="T714" s="123"/>
    </row>
    <row r="715" spans="2:20" ht="16.5" customHeight="1">
      <c r="B715" s="123"/>
      <c r="C715" s="123"/>
      <c r="D715" s="123"/>
      <c r="E715" s="123"/>
      <c r="F715" s="123"/>
      <c r="G715" s="123"/>
      <c r="H715" s="123"/>
      <c r="I715" s="123"/>
      <c r="J715" s="123"/>
      <c r="K715" s="123"/>
      <c r="L715" s="123"/>
      <c r="M715" s="123"/>
      <c r="N715" s="123"/>
      <c r="O715" s="123"/>
      <c r="P715" s="123"/>
      <c r="Q715" s="123"/>
      <c r="R715" s="123"/>
      <c r="S715" s="123"/>
      <c r="T715" s="123"/>
    </row>
    <row r="716" spans="2:20" ht="16.5" customHeight="1">
      <c r="B716" s="123"/>
      <c r="C716" s="123"/>
      <c r="D716" s="123"/>
      <c r="E716" s="123"/>
      <c r="F716" s="123"/>
      <c r="G716" s="123"/>
      <c r="H716" s="123"/>
      <c r="I716" s="123"/>
      <c r="J716" s="123"/>
      <c r="K716" s="123"/>
      <c r="L716" s="123"/>
      <c r="M716" s="123"/>
      <c r="N716" s="123"/>
      <c r="O716" s="123"/>
      <c r="P716" s="123"/>
      <c r="Q716" s="123"/>
      <c r="R716" s="123"/>
      <c r="S716" s="123"/>
      <c r="T716" s="123"/>
    </row>
    <row r="717" spans="2:20" ht="16.5" customHeight="1">
      <c r="B717" s="123"/>
      <c r="C717" s="123"/>
      <c r="D717" s="123"/>
      <c r="E717" s="123"/>
      <c r="F717" s="123"/>
      <c r="G717" s="123"/>
      <c r="H717" s="123"/>
      <c r="I717" s="123"/>
      <c r="J717" s="123"/>
      <c r="K717" s="123"/>
      <c r="L717" s="123"/>
      <c r="M717" s="123"/>
      <c r="N717" s="123"/>
      <c r="O717" s="123"/>
      <c r="P717" s="123"/>
      <c r="Q717" s="123"/>
      <c r="R717" s="123"/>
      <c r="S717" s="123"/>
      <c r="T717" s="123"/>
    </row>
    <row r="778" spans="10:10" ht="16.5" customHeight="1">
      <c r="J778" s="86">
        <v>43151</v>
      </c>
    </row>
  </sheetData>
  <mergeCells count="1">
    <mergeCell ref="B3:T3"/>
  </mergeCells>
  <phoneticPr fontId="3" type="noConversion"/>
  <pageMargins left="0.27559055118110237" right="0.27559055118110237" top="0.98425196850393704" bottom="0.74803149606299213" header="0.51181102362204722" footer="0.51181102362204722"/>
  <pageSetup paperSize="9" scale="39" fitToHeight="12" orientation="landscape" r:id="rId1"/>
  <rowBreaks count="1" manualBreakCount="1">
    <brk id="2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025">
              <controlPr defaultSize="0" print="0" autoFill="0" autoPict="0" macro="[0]!kye_number">
                <anchor moveWithCells="1" sizeWithCells="1">
                  <from>
                    <xdr:col>3</xdr:col>
                    <xdr:colOff>828675</xdr:colOff>
                    <xdr:row>0</xdr:row>
                    <xdr:rowOff>28575</xdr:rowOff>
                  </from>
                  <to>
                    <xdr:col>4</xdr:col>
                    <xdr:colOff>219075</xdr:colOff>
                    <xdr:row>0</xdr:row>
                    <xdr:rowOff>533400</xdr:rowOff>
                  </to>
                </anchor>
              </controlPr>
            </control>
          </mc:Choice>
        </mc:AlternateContent>
        <mc:AlternateContent xmlns:mc="http://schemas.openxmlformats.org/markup-compatibility/2006">
          <mc:Choice Requires="x14">
            <control shapeId="5126" r:id="rId5" name="Button 1030">
              <controlPr defaultSize="0" print="0" autoFill="0" autoPict="0" macro="[0]!버튼누르기">
                <anchor moveWithCells="1" sizeWithCells="1">
                  <from>
                    <xdr:col>8</xdr:col>
                    <xdr:colOff>209550</xdr:colOff>
                    <xdr:row>0</xdr:row>
                    <xdr:rowOff>19050</xdr:rowOff>
                  </from>
                  <to>
                    <xdr:col>10</xdr:col>
                    <xdr:colOff>609600</xdr:colOff>
                    <xdr:row>0</xdr:row>
                    <xdr:rowOff>542925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election activeCell="M14" sqref="M14:M15"/>
    </sheetView>
  </sheetViews>
  <sheetFormatPr defaultRowHeight="16.5"/>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3003"/>
  <sheetViews>
    <sheetView showZeros="0" view="pageBreakPreview" zoomScale="85" zoomScaleNormal="100" zoomScaleSheetLayoutView="85" workbookViewId="0">
      <selection activeCell="I1" sqref="I1:I1048576"/>
    </sheetView>
  </sheetViews>
  <sheetFormatPr defaultColWidth="10" defaultRowHeight="14.25" customHeight="1"/>
  <cols>
    <col min="1" max="1" width="15.625" style="192" customWidth="1"/>
    <col min="2" max="3" width="8.625" style="192" customWidth="1"/>
    <col min="4" max="4" width="10.625" style="192" customWidth="1"/>
    <col min="5" max="5" width="8.625" style="192" customWidth="1"/>
    <col min="6" max="6" width="7.625" style="192" customWidth="1"/>
    <col min="7" max="7" width="6.375" style="192" customWidth="1"/>
    <col min="8" max="8" width="2.625" style="192" customWidth="1"/>
    <col min="9" max="9" width="10.625" style="192" customWidth="1"/>
    <col min="10" max="10" width="7.625" style="192" customWidth="1"/>
    <col min="11" max="12" width="17.25" style="192" bestFit="1" customWidth="1"/>
    <col min="13" max="13" width="25.5" style="192" customWidth="1"/>
    <col min="14" max="14" width="9" style="192" customWidth="1"/>
    <col min="15" max="16" width="9" style="192" hidden="1" customWidth="1"/>
    <col min="17" max="22" width="10" style="192" hidden="1" customWidth="1"/>
    <col min="23" max="48" width="10" style="192" customWidth="1"/>
    <col min="49" max="16384" width="10" style="192"/>
  </cols>
  <sheetData>
    <row r="1" spans="1:32" ht="45" customHeight="1" thickBot="1">
      <c r="B1" s="192">
        <v>1</v>
      </c>
    </row>
    <row r="2" spans="1:32" ht="16.5" customHeight="1">
      <c r="A2" s="192" t="s">
        <v>589</v>
      </c>
    </row>
    <row r="3" spans="1:32" ht="47.25" customHeight="1" thickBot="1">
      <c r="A3" s="354" t="s">
        <v>590</v>
      </c>
      <c r="B3" s="353"/>
      <c r="C3" s="353"/>
      <c r="D3" s="353"/>
      <c r="E3" s="353"/>
      <c r="F3" s="353"/>
      <c r="G3" s="353"/>
      <c r="H3" s="353"/>
      <c r="I3" s="353"/>
      <c r="J3" s="353"/>
      <c r="K3" s="173"/>
      <c r="L3" s="174"/>
    </row>
    <row r="4" spans="1:32" s="247" customFormat="1" ht="36" customHeight="1" thickBot="1">
      <c r="A4" s="259" t="s">
        <v>591</v>
      </c>
      <c r="B4" s="392" t="str">
        <f>VLOOKUP($B$1,공사현장대장!$A$5:$T$330,4)</f>
        <v>홍천농고 공간재구조화 증개축공사 건설폐기물처리용역</v>
      </c>
      <c r="C4" s="393"/>
      <c r="D4" s="393"/>
      <c r="E4" s="393"/>
      <c r="F4" s="393"/>
      <c r="G4" s="393"/>
      <c r="H4" s="393"/>
      <c r="I4" s="393"/>
      <c r="J4" s="394"/>
      <c r="L4" s="175"/>
      <c r="M4" s="285"/>
      <c r="N4" s="192"/>
      <c r="X4" s="376" t="str">
        <f>준공정산동의서!R2</f>
        <v>기안문(붙혀넣기 ctrl+alt+v)</v>
      </c>
      <c r="Y4" s="377"/>
      <c r="Z4" s="377"/>
      <c r="AA4" s="377"/>
      <c r="AB4" s="377"/>
      <c r="AC4" s="377"/>
      <c r="AD4" s="378"/>
      <c r="AF4" s="192"/>
    </row>
    <row r="5" spans="1:32" s="247" customFormat="1" ht="18" customHeight="1">
      <c r="A5" s="388" t="s">
        <v>482</v>
      </c>
      <c r="B5" s="389" t="str">
        <f>VLOOKUP($B$1,공사현장대장!$A$5:$T$330,16)&amp;"  대표: "&amp;VLOOKUP($B$1,공사현장대장!$A$5:$T$330,17)</f>
        <v>금강도시환경(주)  대표: 이재훈</v>
      </c>
      <c r="C5" s="356"/>
      <c r="D5" s="356"/>
      <c r="E5" s="356"/>
      <c r="F5" s="356"/>
      <c r="G5" s="356"/>
      <c r="H5" s="356"/>
      <c r="I5" s="356"/>
      <c r="J5" s="357"/>
      <c r="M5" s="192"/>
      <c r="N5" s="192"/>
      <c r="X5" s="191" t="str">
        <f>준공정산동의서!R3</f>
        <v>준공정산(홍천농고 공간재구조화 증개축공사 건설폐기물처리용역)</v>
      </c>
      <c r="Y5" s="192"/>
      <c r="AD5" s="193"/>
      <c r="AF5" s="192"/>
    </row>
    <row r="6" spans="1:32" s="247" customFormat="1" ht="18" customHeight="1" thickBot="1">
      <c r="A6" s="333"/>
      <c r="B6" s="386" t="str">
        <f>VLOOKUP($B$1,공사현장대장!$A$5:$T$330,18)</f>
        <v>경기도양주시은현면은현로352-39()</v>
      </c>
      <c r="C6" s="380"/>
      <c r="D6" s="380"/>
      <c r="E6" s="380"/>
      <c r="F6" s="380"/>
      <c r="G6" s="380"/>
      <c r="H6" s="380"/>
      <c r="I6" s="380"/>
      <c r="J6" s="387"/>
      <c r="M6" s="192"/>
      <c r="N6" s="192"/>
      <c r="X6" s="191">
        <f>준공정산동의서!R4</f>
        <v>0</v>
      </c>
      <c r="Y6" s="192"/>
      <c r="AD6" s="193"/>
      <c r="AF6" s="192"/>
    </row>
    <row r="7" spans="1:32" s="247" customFormat="1" ht="18" customHeight="1" thickBot="1">
      <c r="A7" s="382" t="s">
        <v>13</v>
      </c>
      <c r="B7" s="395" t="str">
        <f>"금"&amp;TEXT(VLOOKUP($B$1,공사현장대장!$A$5:$T$330,9),"#,###")&amp;"원"</f>
        <v>금786,542,000원</v>
      </c>
      <c r="C7" s="356"/>
      <c r="D7" s="384"/>
      <c r="E7" s="383" t="s">
        <v>592</v>
      </c>
      <c r="F7" s="384"/>
      <c r="G7" s="391" t="str">
        <f>"금"&amp;TEXT(L8,"#,###")&amp;"원"</f>
        <v>금786,542,000원</v>
      </c>
      <c r="H7" s="356"/>
      <c r="I7" s="356"/>
      <c r="J7" s="357"/>
      <c r="L7" s="19" t="s">
        <v>593</v>
      </c>
      <c r="M7" s="9"/>
      <c r="N7" s="192"/>
      <c r="X7" s="191" t="str">
        <f>준공정산동의서!R5</f>
        <v xml:space="preserve">2024. 10. 07. 금강도시환경(주) 대표 이재훈와 계약하여 준공된 「홍천농고 공간재구조화 증개축공사 건설폐기물처리용역」에 대하여 아래와 같이 준공정산하고자 합니다. </v>
      </c>
      <c r="Y7" s="192"/>
      <c r="AD7" s="193"/>
      <c r="AF7" s="192"/>
    </row>
    <row r="8" spans="1:32" s="247" customFormat="1" ht="18" customHeight="1" thickBot="1">
      <c r="A8" s="333"/>
      <c r="B8" s="379" t="str">
        <f>"(금"&amp;TEXT(VLOOKUP($B$1,공사현장대장!$A$5:$T$330,9),"[dbnum4]")&amp;"원)"</f>
        <v>(금칠억팔천육백오십사만이천원)</v>
      </c>
      <c r="C8" s="380"/>
      <c r="D8" s="381"/>
      <c r="E8" s="385"/>
      <c r="F8" s="381"/>
      <c r="G8" s="390" t="str">
        <f>"(금"&amp;TEXT(L8,"[dbnum4]")&amp;"원)"</f>
        <v>(금칠억팔천육백오십사만이천원)</v>
      </c>
      <c r="H8" s="380"/>
      <c r="I8" s="380"/>
      <c r="J8" s="387"/>
      <c r="L8" s="286">
        <v>786542000</v>
      </c>
      <c r="M8" s="287"/>
      <c r="N8" s="192"/>
      <c r="X8" s="191" t="str">
        <f>준공정산동의서!R6</f>
        <v xml:space="preserve">  1. 공 사 명: 홍천농고 공간재구조화 증개축공사 건설폐기물처리용역</v>
      </c>
      <c r="Y8" s="192"/>
      <c r="AD8" s="193"/>
      <c r="AF8" s="192"/>
    </row>
    <row r="9" spans="1:32" s="247" customFormat="1" ht="36" customHeight="1" thickBot="1">
      <c r="A9" s="248" t="s">
        <v>594</v>
      </c>
      <c r="B9" s="364" t="str">
        <f>TEXT(VLOOKUP($B$1,공사현장대장!$A$5:$T$330,10),"yyyy년 mm월 dd일")</f>
        <v>2024년 10월 07일</v>
      </c>
      <c r="C9" s="365"/>
      <c r="D9" s="366"/>
      <c r="E9" s="369" t="s">
        <v>595</v>
      </c>
      <c r="F9" s="366"/>
      <c r="G9" s="367" t="str">
        <f>TEXT(VLOOKUP($B$1,공사현장대장!$A$5:$T$330,11),"yyyy년 mm월 dd일")</f>
        <v>2024년 10월 15일</v>
      </c>
      <c r="H9" s="365"/>
      <c r="I9" s="365"/>
      <c r="J9" s="368"/>
      <c r="N9" s="192"/>
      <c r="X9" s="191" t="str">
        <f>준공정산동의서!R7</f>
        <v xml:space="preserve">  2. 공사기간: 2024. 10. 15. ~ 2026. 05. 25.</v>
      </c>
      <c r="Y9" s="192"/>
      <c r="AD9" s="193"/>
      <c r="AF9" s="192"/>
    </row>
    <row r="10" spans="1:32" s="247" customFormat="1" ht="36" customHeight="1" thickBot="1">
      <c r="A10" s="248" t="s">
        <v>596</v>
      </c>
      <c r="B10" s="364" t="str">
        <f>TEXT(VLOOKUP($B$1,공사현장대장!$A$5:$T$330,13),"yyyy년 mm월 dd일")</f>
        <v>2026년 05월 25일</v>
      </c>
      <c r="C10" s="365"/>
      <c r="D10" s="366"/>
      <c r="E10" s="369" t="s">
        <v>597</v>
      </c>
      <c r="F10" s="366"/>
      <c r="G10" s="367" t="str">
        <f>B10</f>
        <v>2026년 05월 25일</v>
      </c>
      <c r="H10" s="365"/>
      <c r="I10" s="365"/>
      <c r="J10" s="368"/>
      <c r="L10" s="19" t="s">
        <v>598</v>
      </c>
      <c r="N10" s="192"/>
      <c r="R10" s="247" t="s">
        <v>599</v>
      </c>
      <c r="X10" s="191" t="str">
        <f>준공정산동의서!R8</f>
        <v xml:space="preserve">  3. 계 약 자: 금강도시환경(주) 대표 이재훈</v>
      </c>
      <c r="Y10" s="192"/>
      <c r="AD10" s="193"/>
      <c r="AF10" s="192"/>
    </row>
    <row r="11" spans="1:32" s="247" customFormat="1" ht="36" customHeight="1">
      <c r="A11" s="252" t="s">
        <v>600</v>
      </c>
      <c r="B11" s="364">
        <v>46181</v>
      </c>
      <c r="C11" s="365"/>
      <c r="D11" s="366"/>
      <c r="E11" s="373" t="s">
        <v>601</v>
      </c>
      <c r="F11" s="366"/>
      <c r="G11" s="371" t="str">
        <f>IF($L$11=1,"붙임 준공정산결의 참조","")</f>
        <v/>
      </c>
      <c r="H11" s="365"/>
      <c r="I11" s="365"/>
      <c r="J11" s="368"/>
      <c r="L11" s="247">
        <v>2</v>
      </c>
      <c r="N11" s="192"/>
      <c r="R11" s="247" t="s">
        <v>602</v>
      </c>
      <c r="X11" s="191" t="str">
        <f>준공정산동의서!R9</f>
        <v xml:space="preserve">  4. 계약금액: 금원(금영원)</v>
      </c>
      <c r="Y11" s="192"/>
      <c r="AD11" s="193"/>
      <c r="AF11" s="192"/>
    </row>
    <row r="12" spans="1:32" s="247" customFormat="1" ht="26.25" customHeight="1">
      <c r="A12" s="355"/>
      <c r="B12" s="356"/>
      <c r="C12" s="356"/>
      <c r="D12" s="356"/>
      <c r="E12" s="356"/>
      <c r="F12" s="356"/>
      <c r="G12" s="356"/>
      <c r="H12" s="356"/>
      <c r="I12" s="356"/>
      <c r="J12" s="357"/>
      <c r="M12" s="192"/>
      <c r="N12" s="192"/>
      <c r="X12" s="191" t="str">
        <f>준공정산동의서!R10</f>
        <v xml:space="preserve">  5. 변 경 액: 금60,185,040원(금육천일십팔만오천사십원)</v>
      </c>
      <c r="AD12" s="193"/>
    </row>
    <row r="13" spans="1:32" s="247" customFormat="1" ht="50.25" customHeight="1">
      <c r="A13" s="362" t="s">
        <v>603</v>
      </c>
      <c r="B13" s="359"/>
      <c r="C13" s="359"/>
      <c r="D13" s="359"/>
      <c r="E13" s="359"/>
      <c r="F13" s="359"/>
      <c r="G13" s="359"/>
      <c r="H13" s="359"/>
      <c r="I13" s="359"/>
      <c r="J13" s="363"/>
      <c r="M13" s="192"/>
      <c r="N13" s="192"/>
      <c r="X13" s="191" t="str">
        <f>준공정산동의서!R11</f>
        <v xml:space="preserve">  6. 감    액: 금726,356,960원(금칠억이천육백삼십오만육천구백육십원)</v>
      </c>
      <c r="AD13" s="193"/>
    </row>
    <row r="14" spans="1:32" s="247" customFormat="1" ht="10.5" customHeight="1">
      <c r="A14" s="375"/>
      <c r="B14" s="359"/>
      <c r="C14" s="359"/>
      <c r="D14" s="359"/>
      <c r="E14" s="359"/>
      <c r="F14" s="359"/>
      <c r="G14" s="359"/>
      <c r="H14" s="359"/>
      <c r="I14" s="359"/>
      <c r="J14" s="363"/>
      <c r="L14" s="20"/>
      <c r="M14" s="288"/>
      <c r="N14" s="192"/>
      <c r="X14" s="191" t="str">
        <f>준공정산동의서!R12</f>
        <v xml:space="preserve">  7. 정산사유: 붙임“준공정산 검토내용”참조</v>
      </c>
      <c r="AD14" s="193"/>
    </row>
    <row r="15" spans="1:32" s="247" customFormat="1" ht="41.25" customHeight="1">
      <c r="A15" s="370">
        <f>VLOOKUP($B$1,공사현장대장!$A$5:$T$330,15)</f>
        <v>0</v>
      </c>
      <c r="B15" s="359"/>
      <c r="C15" s="359"/>
      <c r="D15" s="359"/>
      <c r="E15" s="359"/>
      <c r="F15" s="359"/>
      <c r="G15" s="359"/>
      <c r="H15" s="359"/>
      <c r="I15" s="359"/>
      <c r="J15" s="363"/>
      <c r="M15" s="289"/>
      <c r="N15" s="192"/>
      <c r="X15" s="191" t="str">
        <f>준공정산동의서!R13</f>
        <v>붙임  1. 준공정산 검토내용 및 내역서 1부.</v>
      </c>
      <c r="Y15" s="192"/>
      <c r="AD15" s="193"/>
      <c r="AF15" s="192"/>
    </row>
    <row r="16" spans="1:32" s="247" customFormat="1" ht="9.75" customHeight="1" thickBot="1">
      <c r="A16" s="374"/>
      <c r="B16" s="359"/>
      <c r="C16" s="359"/>
      <c r="D16" s="359"/>
      <c r="E16" s="359"/>
      <c r="F16" s="359"/>
      <c r="G16" s="359"/>
      <c r="H16" s="359"/>
      <c r="I16" s="359"/>
      <c r="J16" s="363"/>
      <c r="M16" s="192"/>
      <c r="N16" s="192"/>
      <c r="X16" s="194" t="str">
        <f>준공정산동의서!R14</f>
        <v xml:space="preserve">      2. 준공정산동의서 1부.  끝.</v>
      </c>
      <c r="Y16" s="195"/>
      <c r="Z16" s="196"/>
      <c r="AA16" s="196"/>
      <c r="AB16" s="196"/>
      <c r="AC16" s="196"/>
      <c r="AD16" s="197"/>
      <c r="AF16" s="192"/>
    </row>
    <row r="17" spans="1:32" s="247" customFormat="1" ht="106.5" customHeight="1">
      <c r="A17" s="374"/>
      <c r="B17" s="359"/>
      <c r="C17" s="359"/>
      <c r="D17" s="359"/>
      <c r="E17" s="359"/>
      <c r="F17" s="359"/>
      <c r="G17" s="359"/>
      <c r="H17" s="359"/>
      <c r="I17" s="359"/>
      <c r="J17" s="363"/>
      <c r="M17" s="192"/>
      <c r="N17" s="192"/>
      <c r="Y17" s="192"/>
      <c r="AF17" s="192"/>
    </row>
    <row r="18" spans="1:32" s="247" customFormat="1" ht="9.9499999999999993" customHeight="1">
      <c r="A18" s="374"/>
      <c r="B18" s="359"/>
      <c r="C18" s="359"/>
      <c r="D18" s="359"/>
      <c r="E18" s="359"/>
      <c r="F18" s="359"/>
      <c r="G18" s="359"/>
      <c r="H18" s="359"/>
      <c r="I18" s="359"/>
      <c r="J18" s="363"/>
      <c r="M18" s="192"/>
      <c r="N18" s="192"/>
      <c r="Y18" s="192"/>
      <c r="AF18" s="192"/>
    </row>
    <row r="19" spans="1:32" s="247" customFormat="1" ht="9.9499999999999993" customHeight="1">
      <c r="A19" s="100"/>
      <c r="B19" s="117"/>
      <c r="C19" s="117"/>
      <c r="D19" s="117"/>
      <c r="E19" s="117"/>
      <c r="F19" s="117"/>
      <c r="G19" s="117"/>
      <c r="H19" s="117"/>
      <c r="I19" s="117"/>
      <c r="J19" s="101"/>
      <c r="M19" s="192"/>
      <c r="N19" s="192"/>
      <c r="Y19" s="192"/>
      <c r="AF19" s="192"/>
    </row>
    <row r="20" spans="1:32" s="247" customFormat="1" ht="24.95" customHeight="1">
      <c r="A20" s="189" t="s">
        <v>604</v>
      </c>
      <c r="B20" s="361" t="str">
        <f>설정탭!B6&amp;"교육지원청"</f>
        <v>강원특별자치도홍천교육지원청</v>
      </c>
      <c r="C20" s="359"/>
      <c r="D20" s="359"/>
      <c r="E20" s="359"/>
      <c r="F20" s="358" t="str">
        <f>설정탭!B7</f>
        <v>지방시설주사</v>
      </c>
      <c r="G20" s="359"/>
      <c r="H20" s="359"/>
      <c r="I20" s="96" t="str">
        <f>설정탭!C7</f>
        <v>김종인</v>
      </c>
      <c r="J20" s="190" t="s">
        <v>605</v>
      </c>
      <c r="M20" s="192"/>
      <c r="N20" s="192"/>
      <c r="Y20" s="192"/>
      <c r="AF20" s="192"/>
    </row>
    <row r="21" spans="1:32" s="247" customFormat="1" ht="24.95" customHeight="1">
      <c r="A21" s="110"/>
      <c r="B21" s="97"/>
      <c r="C21" s="96"/>
      <c r="D21" s="97"/>
      <c r="E21" s="97"/>
      <c r="F21" s="358" t="str">
        <f>설정탭!B8</f>
        <v>지방시설주사보</v>
      </c>
      <c r="G21" s="359"/>
      <c r="H21" s="359"/>
      <c r="I21" s="96" t="str">
        <f>설정탭!C8</f>
        <v>한상우</v>
      </c>
      <c r="J21" s="190" t="s">
        <v>605</v>
      </c>
      <c r="M21" s="192"/>
      <c r="N21" s="192"/>
      <c r="Y21" s="192"/>
      <c r="AF21" s="192"/>
    </row>
    <row r="22" spans="1:32" s="247" customFormat="1" ht="24.95" customHeight="1">
      <c r="A22" s="100"/>
      <c r="B22" s="117"/>
      <c r="C22" s="103"/>
      <c r="D22" s="117"/>
      <c r="E22" s="117"/>
      <c r="F22" s="117"/>
      <c r="G22" s="117"/>
      <c r="H22" s="117"/>
      <c r="I22" s="117"/>
      <c r="J22" s="151"/>
      <c r="M22" s="192"/>
      <c r="N22" s="192"/>
      <c r="Y22" s="192"/>
      <c r="AF22" s="192"/>
    </row>
    <row r="23" spans="1:32" s="247" customFormat="1" ht="24.75" hidden="1" customHeight="1">
      <c r="A23" s="102" t="s">
        <v>606</v>
      </c>
      <c r="B23" s="360" t="str">
        <f>VLOOKUP($B$1,공사현장대장!$A$5:$T$173,2)</f>
        <v>홍천농고</v>
      </c>
      <c r="C23" s="359"/>
      <c r="D23" s="359"/>
      <c r="E23" s="359"/>
      <c r="F23" s="372"/>
      <c r="G23" s="359"/>
      <c r="H23" s="136"/>
      <c r="I23" s="136"/>
      <c r="J23" s="151" t="s">
        <v>605</v>
      </c>
      <c r="M23" s="192"/>
      <c r="N23" s="192"/>
      <c r="Y23" s="192"/>
      <c r="AF23" s="192"/>
    </row>
    <row r="24" spans="1:32" s="247" customFormat="1" ht="24.75" hidden="1" customHeight="1">
      <c r="A24" s="102" t="s">
        <v>606</v>
      </c>
      <c r="B24" s="360"/>
      <c r="C24" s="359"/>
      <c r="D24" s="359"/>
      <c r="E24" s="359"/>
      <c r="F24" s="251"/>
      <c r="G24" s="251"/>
      <c r="H24" s="136"/>
      <c r="I24" s="136"/>
      <c r="J24" s="131" t="s">
        <v>605</v>
      </c>
      <c r="M24" s="192"/>
      <c r="N24" s="192"/>
      <c r="Y24" s="192"/>
      <c r="AF24" s="192"/>
    </row>
    <row r="25" spans="1:32" s="247" customFormat="1" ht="38.25" customHeight="1">
      <c r="A25" s="100"/>
      <c r="B25" s="117">
        <v>0</v>
      </c>
      <c r="C25" s="249"/>
      <c r="D25" s="136"/>
      <c r="E25" s="117"/>
      <c r="F25" s="117"/>
      <c r="G25" s="136"/>
      <c r="H25" s="136"/>
      <c r="I25" s="136"/>
      <c r="J25" s="104"/>
      <c r="M25" s="192"/>
      <c r="N25" s="192"/>
      <c r="Y25" s="192"/>
      <c r="AF25" s="192"/>
    </row>
    <row r="26" spans="1:32" s="247" customFormat="1" ht="25.5" customHeight="1">
      <c r="A26" s="105" t="s">
        <v>607</v>
      </c>
      <c r="B26" s="106"/>
      <c r="C26" s="107"/>
      <c r="D26" s="108"/>
      <c r="E26" s="106"/>
      <c r="F26" s="106"/>
      <c r="G26" s="108"/>
      <c r="H26" s="108"/>
      <c r="I26" s="108"/>
      <c r="J26" s="109"/>
      <c r="M26" s="192"/>
      <c r="N26" s="192"/>
      <c r="Y26" s="192"/>
      <c r="AF26" s="192"/>
    </row>
    <row r="27" spans="1:32" ht="14.25" customHeight="1">
      <c r="A27" s="98"/>
      <c r="B27" s="98"/>
      <c r="C27" s="98"/>
      <c r="D27" s="98"/>
      <c r="E27" s="98"/>
      <c r="F27" s="98"/>
      <c r="G27" s="98"/>
      <c r="H27" s="98"/>
      <c r="I27" s="98"/>
      <c r="J27" s="98"/>
      <c r="Q27" s="247"/>
    </row>
    <row r="254" spans="14:14" ht="14.25" customHeight="1">
      <c r="N254" s="192">
        <v>0</v>
      </c>
    </row>
    <row r="255" spans="14:14" ht="14.25" customHeight="1">
      <c r="N255" s="192">
        <v>0</v>
      </c>
    </row>
    <row r="256" spans="14:14" ht="14.25" customHeight="1">
      <c r="N256" s="192">
        <v>0</v>
      </c>
    </row>
    <row r="257" spans="14:14" ht="14.25" customHeight="1">
      <c r="N257" s="192">
        <v>0</v>
      </c>
    </row>
    <row r="258" spans="14:14" ht="14.25" customHeight="1">
      <c r="N258" s="192">
        <v>0</v>
      </c>
    </row>
    <row r="259" spans="14:14" ht="14.25" customHeight="1">
      <c r="N259" s="192">
        <v>0</v>
      </c>
    </row>
    <row r="260" spans="14:14" ht="14.25" customHeight="1">
      <c r="N260" s="192">
        <v>0</v>
      </c>
    </row>
    <row r="261" spans="14:14" ht="14.25" customHeight="1">
      <c r="N261" s="192">
        <v>0</v>
      </c>
    </row>
    <row r="262" spans="14:14" ht="14.25" customHeight="1">
      <c r="N262" s="192">
        <v>0</v>
      </c>
    </row>
    <row r="263" spans="14:14" ht="14.25" customHeight="1">
      <c r="N263" s="192">
        <v>0</v>
      </c>
    </row>
    <row r="264" spans="14:14" ht="14.25" customHeight="1">
      <c r="N264" s="192">
        <v>0</v>
      </c>
    </row>
    <row r="265" spans="14:14" ht="14.25" customHeight="1">
      <c r="N265" s="192">
        <v>0</v>
      </c>
    </row>
    <row r="266" spans="14:14" ht="14.25" customHeight="1">
      <c r="N266" s="192">
        <v>0</v>
      </c>
    </row>
    <row r="267" spans="14:14" ht="14.25" customHeight="1">
      <c r="N267" s="192">
        <v>0</v>
      </c>
    </row>
    <row r="268" spans="14:14" ht="14.25" customHeight="1">
      <c r="N268" s="192">
        <v>0</v>
      </c>
    </row>
    <row r="269" spans="14:14" ht="14.25" customHeight="1">
      <c r="N269" s="192">
        <v>0</v>
      </c>
    </row>
    <row r="270" spans="14:14" ht="14.25" customHeight="1">
      <c r="N270" s="192">
        <v>0</v>
      </c>
    </row>
    <row r="271" spans="14:14" ht="14.25" customHeight="1">
      <c r="N271" s="192">
        <v>0</v>
      </c>
    </row>
    <row r="272" spans="14:14" ht="14.25" customHeight="1">
      <c r="N272" s="192">
        <v>0</v>
      </c>
    </row>
    <row r="273" spans="14:14" ht="14.25" customHeight="1">
      <c r="N273" s="192">
        <v>0</v>
      </c>
    </row>
    <row r="274" spans="14:14" ht="14.25" customHeight="1">
      <c r="N274" s="192">
        <v>0</v>
      </c>
    </row>
    <row r="275" spans="14:14" ht="14.25" customHeight="1">
      <c r="N275" s="192">
        <v>0</v>
      </c>
    </row>
    <row r="276" spans="14:14" ht="14.25" customHeight="1">
      <c r="N276" s="192">
        <v>0</v>
      </c>
    </row>
    <row r="277" spans="14:14" ht="14.25" customHeight="1">
      <c r="N277" s="192">
        <v>0</v>
      </c>
    </row>
    <row r="278" spans="14:14" ht="14.25" customHeight="1">
      <c r="N278" s="192">
        <v>0</v>
      </c>
    </row>
    <row r="279" spans="14:14" ht="14.25" customHeight="1">
      <c r="N279" s="192">
        <v>0</v>
      </c>
    </row>
    <row r="280" spans="14:14" ht="14.25" customHeight="1">
      <c r="N280" s="192">
        <v>0</v>
      </c>
    </row>
    <row r="281" spans="14:14" ht="14.25" customHeight="1">
      <c r="N281" s="192">
        <v>0</v>
      </c>
    </row>
    <row r="282" spans="14:14" ht="14.25" customHeight="1">
      <c r="N282" s="192">
        <v>0</v>
      </c>
    </row>
    <row r="283" spans="14:14" ht="14.25" customHeight="1">
      <c r="N283" s="192">
        <v>0</v>
      </c>
    </row>
    <row r="284" spans="14:14" ht="14.25" customHeight="1">
      <c r="N284" s="192">
        <v>0</v>
      </c>
    </row>
    <row r="285" spans="14:14" ht="14.25" customHeight="1">
      <c r="N285" s="192">
        <v>0</v>
      </c>
    </row>
    <row r="286" spans="14:14" ht="14.25" customHeight="1">
      <c r="N286" s="192">
        <v>0</v>
      </c>
    </row>
    <row r="287" spans="14:14" ht="14.25" customHeight="1">
      <c r="N287" s="192">
        <v>0</v>
      </c>
    </row>
    <row r="288" spans="14:14" ht="14.25" customHeight="1">
      <c r="N288" s="192">
        <v>0</v>
      </c>
    </row>
    <row r="289" spans="14:14" ht="14.25" customHeight="1">
      <c r="N289" s="192">
        <v>0</v>
      </c>
    </row>
    <row r="290" spans="14:14" ht="14.25" customHeight="1">
      <c r="N290" s="192">
        <v>0</v>
      </c>
    </row>
    <row r="291" spans="14:14" ht="14.25" customHeight="1">
      <c r="N291" s="192">
        <v>0</v>
      </c>
    </row>
    <row r="292" spans="14:14" ht="14.25" customHeight="1">
      <c r="N292" s="192">
        <v>0</v>
      </c>
    </row>
    <row r="293" spans="14:14" ht="14.25" customHeight="1">
      <c r="N293" s="192">
        <v>0</v>
      </c>
    </row>
    <row r="294" spans="14:14" ht="14.25" customHeight="1">
      <c r="N294" s="192">
        <v>0</v>
      </c>
    </row>
    <row r="295" spans="14:14" ht="14.25" customHeight="1">
      <c r="N295" s="192">
        <v>0</v>
      </c>
    </row>
    <row r="296" spans="14:14" ht="14.25" customHeight="1">
      <c r="N296" s="192">
        <v>0</v>
      </c>
    </row>
    <row r="297" spans="14:14" ht="14.25" customHeight="1">
      <c r="N297" s="192">
        <v>0</v>
      </c>
    </row>
    <row r="298" spans="14:14" ht="14.25" customHeight="1">
      <c r="N298" s="192">
        <v>0</v>
      </c>
    </row>
    <row r="299" spans="14:14" ht="14.25" customHeight="1">
      <c r="N299" s="192">
        <v>0</v>
      </c>
    </row>
    <row r="300" spans="14:14" ht="14.25" customHeight="1">
      <c r="N300" s="192">
        <v>0</v>
      </c>
    </row>
    <row r="301" spans="14:14" ht="14.25" customHeight="1">
      <c r="N301" s="192">
        <v>0</v>
      </c>
    </row>
    <row r="302" spans="14:14" ht="14.25" customHeight="1">
      <c r="N302" s="192">
        <v>0</v>
      </c>
    </row>
    <row r="303" spans="14:14" ht="14.25" customHeight="1">
      <c r="N303" s="192">
        <v>0</v>
      </c>
    </row>
    <row r="304" spans="14:14" ht="14.25" customHeight="1">
      <c r="N304" s="192">
        <v>0</v>
      </c>
    </row>
    <row r="305" spans="14:14" ht="14.25" customHeight="1">
      <c r="N305" s="192">
        <v>0</v>
      </c>
    </row>
    <row r="306" spans="14:14" ht="14.25" customHeight="1">
      <c r="N306" s="192">
        <v>0</v>
      </c>
    </row>
    <row r="307" spans="14:14" ht="14.25" customHeight="1">
      <c r="N307" s="192">
        <v>0</v>
      </c>
    </row>
    <row r="308" spans="14:14" ht="14.25" customHeight="1">
      <c r="N308" s="192">
        <v>0</v>
      </c>
    </row>
    <row r="309" spans="14:14" ht="14.25" customHeight="1">
      <c r="N309" s="192">
        <v>0</v>
      </c>
    </row>
    <row r="310" spans="14:14" ht="14.25" customHeight="1">
      <c r="N310" s="192">
        <v>0</v>
      </c>
    </row>
    <row r="311" spans="14:14" ht="14.25" customHeight="1">
      <c r="N311" s="192">
        <v>0</v>
      </c>
    </row>
    <row r="312" spans="14:14" ht="14.25" customHeight="1">
      <c r="N312" s="192">
        <v>0</v>
      </c>
    </row>
    <row r="313" spans="14:14" ht="14.25" customHeight="1">
      <c r="N313" s="192">
        <v>0</v>
      </c>
    </row>
    <row r="314" spans="14:14" ht="14.25" customHeight="1">
      <c r="N314" s="192">
        <v>0</v>
      </c>
    </row>
    <row r="315" spans="14:14" ht="14.25" customHeight="1">
      <c r="N315" s="192">
        <v>0</v>
      </c>
    </row>
    <row r="316" spans="14:14" ht="14.25" customHeight="1">
      <c r="N316" s="192">
        <v>0</v>
      </c>
    </row>
    <row r="317" spans="14:14" ht="14.25" customHeight="1">
      <c r="N317" s="192">
        <v>0</v>
      </c>
    </row>
    <row r="318" spans="14:14" ht="14.25" customHeight="1">
      <c r="N318" s="192">
        <v>0</v>
      </c>
    </row>
    <row r="319" spans="14:14" ht="14.25" customHeight="1">
      <c r="N319" s="192">
        <v>0</v>
      </c>
    </row>
    <row r="320" spans="14:14" ht="14.25" customHeight="1">
      <c r="N320" s="192">
        <v>0</v>
      </c>
    </row>
    <row r="321" spans="14:14" ht="14.25" customHeight="1">
      <c r="N321" s="192">
        <v>0</v>
      </c>
    </row>
    <row r="322" spans="14:14" ht="14.25" customHeight="1">
      <c r="N322" s="192">
        <v>0</v>
      </c>
    </row>
    <row r="323" spans="14:14" ht="14.25" customHeight="1">
      <c r="N323" s="192">
        <v>0</v>
      </c>
    </row>
    <row r="324" spans="14:14" ht="14.25" customHeight="1">
      <c r="N324" s="192">
        <v>0</v>
      </c>
    </row>
    <row r="325" spans="14:14" ht="14.25" customHeight="1">
      <c r="N325" s="192">
        <v>0</v>
      </c>
    </row>
    <row r="326" spans="14:14" ht="14.25" customHeight="1">
      <c r="N326" s="192">
        <v>0</v>
      </c>
    </row>
    <row r="327" spans="14:14" ht="14.25" customHeight="1">
      <c r="N327" s="192">
        <v>0</v>
      </c>
    </row>
    <row r="328" spans="14:14" ht="14.25" customHeight="1">
      <c r="N328" s="192">
        <v>0</v>
      </c>
    </row>
    <row r="329" spans="14:14" ht="14.25" customHeight="1">
      <c r="N329" s="192">
        <v>0</v>
      </c>
    </row>
    <row r="330" spans="14:14" ht="14.25" customHeight="1">
      <c r="N330" s="192">
        <v>0</v>
      </c>
    </row>
    <row r="331" spans="14:14" ht="14.25" customHeight="1">
      <c r="N331" s="192">
        <v>0</v>
      </c>
    </row>
    <row r="332" spans="14:14" ht="14.25" customHeight="1">
      <c r="N332" s="192">
        <v>0</v>
      </c>
    </row>
    <row r="333" spans="14:14" ht="14.25" customHeight="1">
      <c r="N333" s="192">
        <v>0</v>
      </c>
    </row>
    <row r="334" spans="14:14" ht="14.25" customHeight="1">
      <c r="N334" s="192">
        <v>0</v>
      </c>
    </row>
    <row r="335" spans="14:14" ht="14.25" customHeight="1">
      <c r="N335" s="192">
        <v>0</v>
      </c>
    </row>
    <row r="336" spans="14:14" ht="14.25" customHeight="1">
      <c r="N336" s="192">
        <v>0</v>
      </c>
    </row>
    <row r="337" spans="14:14" ht="14.25" customHeight="1">
      <c r="N337" s="192">
        <v>0</v>
      </c>
    </row>
    <row r="338" spans="14:14" ht="14.25" customHeight="1">
      <c r="N338" s="192">
        <v>0</v>
      </c>
    </row>
    <row r="339" spans="14:14" ht="14.25" customHeight="1">
      <c r="N339" s="192">
        <v>0</v>
      </c>
    </row>
    <row r="340" spans="14:14" ht="14.25" customHeight="1">
      <c r="N340" s="192">
        <v>0</v>
      </c>
    </row>
    <row r="341" spans="14:14" ht="14.25" customHeight="1">
      <c r="N341" s="192">
        <v>0</v>
      </c>
    </row>
    <row r="342" spans="14:14" ht="14.25" customHeight="1">
      <c r="N342" s="192">
        <v>0</v>
      </c>
    </row>
    <row r="343" spans="14:14" ht="14.25" customHeight="1">
      <c r="N343" s="192">
        <v>0</v>
      </c>
    </row>
    <row r="344" spans="14:14" ht="14.25" customHeight="1">
      <c r="N344" s="192">
        <v>0</v>
      </c>
    </row>
    <row r="345" spans="14:14" ht="14.25" customHeight="1">
      <c r="N345" s="192">
        <v>0</v>
      </c>
    </row>
    <row r="346" spans="14:14" ht="14.25" customHeight="1">
      <c r="N346" s="192">
        <v>0</v>
      </c>
    </row>
    <row r="347" spans="14:14" ht="14.25" customHeight="1">
      <c r="N347" s="192">
        <v>0</v>
      </c>
    </row>
    <row r="348" spans="14:14" ht="14.25" customHeight="1">
      <c r="N348" s="192">
        <v>0</v>
      </c>
    </row>
    <row r="349" spans="14:14" ht="14.25" customHeight="1">
      <c r="N349" s="192">
        <v>0</v>
      </c>
    </row>
    <row r="350" spans="14:14" ht="14.25" customHeight="1">
      <c r="N350" s="192">
        <v>0</v>
      </c>
    </row>
    <row r="351" spans="14:14" ht="14.25" customHeight="1">
      <c r="N351" s="192">
        <v>0</v>
      </c>
    </row>
    <row r="352" spans="14:14" ht="14.25" customHeight="1">
      <c r="N352" s="192">
        <v>0</v>
      </c>
    </row>
    <row r="353" spans="14:14" ht="14.25" customHeight="1">
      <c r="N353" s="192">
        <v>0</v>
      </c>
    </row>
    <row r="354" spans="14:14" ht="14.25" customHeight="1">
      <c r="N354" s="192">
        <v>0</v>
      </c>
    </row>
    <row r="355" spans="14:14" ht="14.25" customHeight="1">
      <c r="N355" s="192">
        <v>0</v>
      </c>
    </row>
    <row r="356" spans="14:14" ht="14.25" customHeight="1">
      <c r="N356" s="192">
        <v>0</v>
      </c>
    </row>
    <row r="357" spans="14:14" ht="14.25" customHeight="1">
      <c r="N357" s="192">
        <v>0</v>
      </c>
    </row>
    <row r="358" spans="14:14" ht="14.25" customHeight="1">
      <c r="N358" s="192">
        <v>0</v>
      </c>
    </row>
    <row r="359" spans="14:14" ht="14.25" customHeight="1">
      <c r="N359" s="192">
        <v>0</v>
      </c>
    </row>
    <row r="360" spans="14:14" ht="14.25" customHeight="1">
      <c r="N360" s="192">
        <v>0</v>
      </c>
    </row>
    <row r="361" spans="14:14" ht="14.25" customHeight="1">
      <c r="N361" s="192">
        <v>0</v>
      </c>
    </row>
    <row r="362" spans="14:14" ht="14.25" customHeight="1">
      <c r="N362" s="192">
        <v>0</v>
      </c>
    </row>
    <row r="363" spans="14:14" ht="14.25" customHeight="1">
      <c r="N363" s="192">
        <v>0</v>
      </c>
    </row>
    <row r="364" spans="14:14" ht="14.25" customHeight="1">
      <c r="N364" s="192">
        <v>0</v>
      </c>
    </row>
    <row r="365" spans="14:14" ht="14.25" customHeight="1">
      <c r="N365" s="192">
        <v>0</v>
      </c>
    </row>
    <row r="366" spans="14:14" ht="14.25" customHeight="1">
      <c r="N366" s="192">
        <v>0</v>
      </c>
    </row>
    <row r="367" spans="14:14" ht="14.25" customHeight="1">
      <c r="N367" s="192">
        <v>0</v>
      </c>
    </row>
    <row r="368" spans="14:14" ht="14.25" customHeight="1">
      <c r="N368" s="192">
        <v>0</v>
      </c>
    </row>
    <row r="369" spans="14:14" ht="14.25" customHeight="1">
      <c r="N369" s="192">
        <v>0</v>
      </c>
    </row>
    <row r="370" spans="14:14" ht="14.25" customHeight="1">
      <c r="N370" s="192">
        <v>0</v>
      </c>
    </row>
    <row r="371" spans="14:14" ht="14.25" customHeight="1">
      <c r="N371" s="192">
        <v>0</v>
      </c>
    </row>
    <row r="372" spans="14:14" ht="14.25" customHeight="1">
      <c r="N372" s="192">
        <v>0</v>
      </c>
    </row>
    <row r="373" spans="14:14" ht="14.25" customHeight="1">
      <c r="N373" s="192">
        <v>0</v>
      </c>
    </row>
    <row r="374" spans="14:14" ht="14.25" customHeight="1">
      <c r="N374" s="192">
        <v>0</v>
      </c>
    </row>
    <row r="375" spans="14:14" ht="14.25" customHeight="1">
      <c r="N375" s="192">
        <v>0</v>
      </c>
    </row>
    <row r="376" spans="14:14" ht="14.25" customHeight="1">
      <c r="N376" s="192">
        <v>0</v>
      </c>
    </row>
    <row r="377" spans="14:14" ht="14.25" customHeight="1">
      <c r="N377" s="192">
        <v>0</v>
      </c>
    </row>
    <row r="378" spans="14:14" ht="14.25" customHeight="1">
      <c r="N378" s="192">
        <v>0</v>
      </c>
    </row>
    <row r="379" spans="14:14" ht="14.25" customHeight="1">
      <c r="N379" s="192">
        <v>0</v>
      </c>
    </row>
    <row r="380" spans="14:14" ht="14.25" customHeight="1">
      <c r="N380" s="192">
        <v>0</v>
      </c>
    </row>
    <row r="381" spans="14:14" ht="14.25" customHeight="1">
      <c r="N381" s="192">
        <v>0</v>
      </c>
    </row>
    <row r="382" spans="14:14" ht="14.25" customHeight="1">
      <c r="N382" s="192">
        <v>0</v>
      </c>
    </row>
    <row r="383" spans="14:14" ht="14.25" customHeight="1">
      <c r="N383" s="192">
        <v>0</v>
      </c>
    </row>
    <row r="384" spans="14:14" ht="14.25" customHeight="1">
      <c r="N384" s="192">
        <v>0</v>
      </c>
    </row>
    <row r="385" spans="14:14" ht="14.25" customHeight="1">
      <c r="N385" s="192">
        <v>0</v>
      </c>
    </row>
    <row r="386" spans="14:14" ht="14.25" customHeight="1">
      <c r="N386" s="192">
        <v>0</v>
      </c>
    </row>
    <row r="387" spans="14:14" ht="14.25" customHeight="1">
      <c r="N387" s="192">
        <v>0</v>
      </c>
    </row>
    <row r="388" spans="14:14" ht="14.25" customHeight="1">
      <c r="N388" s="192">
        <v>0</v>
      </c>
    </row>
    <row r="389" spans="14:14" ht="14.25" customHeight="1">
      <c r="N389" s="192">
        <v>0</v>
      </c>
    </row>
    <row r="390" spans="14:14" ht="14.25" customHeight="1">
      <c r="N390" s="192">
        <v>0</v>
      </c>
    </row>
    <row r="391" spans="14:14" ht="14.25" customHeight="1">
      <c r="N391" s="192">
        <v>0</v>
      </c>
    </row>
    <row r="392" spans="14:14" ht="14.25" customHeight="1">
      <c r="N392" s="192">
        <v>0</v>
      </c>
    </row>
    <row r="393" spans="14:14" ht="14.25" customHeight="1">
      <c r="N393" s="192">
        <v>0</v>
      </c>
    </row>
    <row r="394" spans="14:14" ht="14.25" customHeight="1">
      <c r="N394" s="192">
        <v>0</v>
      </c>
    </row>
    <row r="395" spans="14:14" ht="14.25" customHeight="1">
      <c r="N395" s="192">
        <v>0</v>
      </c>
    </row>
    <row r="396" spans="14:14" ht="14.25" customHeight="1">
      <c r="N396" s="192">
        <v>0</v>
      </c>
    </row>
    <row r="397" spans="14:14" ht="14.25" customHeight="1">
      <c r="N397" s="192">
        <v>0</v>
      </c>
    </row>
    <row r="398" spans="14:14" ht="14.25" customHeight="1">
      <c r="N398" s="192">
        <v>0</v>
      </c>
    </row>
    <row r="399" spans="14:14" ht="14.25" customHeight="1">
      <c r="N399" s="192">
        <v>0</v>
      </c>
    </row>
    <row r="400" spans="14:14" ht="14.25" customHeight="1">
      <c r="N400" s="192">
        <v>0</v>
      </c>
    </row>
    <row r="401" spans="14:14" ht="14.25" customHeight="1">
      <c r="N401" s="192">
        <v>0</v>
      </c>
    </row>
    <row r="402" spans="14:14" ht="14.25" customHeight="1">
      <c r="N402" s="192">
        <v>0</v>
      </c>
    </row>
    <row r="403" spans="14:14" ht="14.25" customHeight="1">
      <c r="N403" s="192">
        <v>0</v>
      </c>
    </row>
    <row r="404" spans="14:14" ht="14.25" customHeight="1">
      <c r="N404" s="192">
        <v>0</v>
      </c>
    </row>
    <row r="405" spans="14:14" ht="14.25" customHeight="1">
      <c r="N405" s="192">
        <v>0</v>
      </c>
    </row>
    <row r="406" spans="14:14" ht="14.25" customHeight="1">
      <c r="N406" s="192">
        <v>0</v>
      </c>
    </row>
    <row r="407" spans="14:14" ht="14.25" customHeight="1">
      <c r="N407" s="192">
        <v>0</v>
      </c>
    </row>
    <row r="408" spans="14:14" ht="14.25" customHeight="1">
      <c r="N408" s="192">
        <v>0</v>
      </c>
    </row>
    <row r="409" spans="14:14" ht="14.25" customHeight="1">
      <c r="N409" s="192">
        <v>0</v>
      </c>
    </row>
    <row r="410" spans="14:14" ht="14.25" customHeight="1">
      <c r="N410" s="192">
        <v>0</v>
      </c>
    </row>
    <row r="411" spans="14:14" ht="14.25" customHeight="1">
      <c r="N411" s="192">
        <v>0</v>
      </c>
    </row>
    <row r="412" spans="14:14" ht="14.25" customHeight="1">
      <c r="N412" s="192">
        <v>0</v>
      </c>
    </row>
    <row r="413" spans="14:14" ht="14.25" customHeight="1">
      <c r="N413" s="192">
        <v>0</v>
      </c>
    </row>
    <row r="414" spans="14:14" ht="14.25" customHeight="1">
      <c r="N414" s="192">
        <v>0</v>
      </c>
    </row>
    <row r="415" spans="14:14" ht="14.25" customHeight="1">
      <c r="N415" s="192">
        <v>0</v>
      </c>
    </row>
    <row r="416" spans="14:14" ht="14.25" customHeight="1">
      <c r="N416" s="192">
        <v>0</v>
      </c>
    </row>
    <row r="417" spans="14:14" ht="14.25" customHeight="1">
      <c r="N417" s="192">
        <v>0</v>
      </c>
    </row>
    <row r="418" spans="14:14" ht="14.25" customHeight="1">
      <c r="N418" s="192">
        <v>0</v>
      </c>
    </row>
    <row r="419" spans="14:14" ht="14.25" customHeight="1">
      <c r="N419" s="192">
        <v>0</v>
      </c>
    </row>
    <row r="420" spans="14:14" ht="14.25" customHeight="1">
      <c r="N420" s="192">
        <v>0</v>
      </c>
    </row>
    <row r="421" spans="14:14" ht="14.25" customHeight="1">
      <c r="N421" s="192">
        <v>0</v>
      </c>
    </row>
    <row r="422" spans="14:14" ht="14.25" customHeight="1">
      <c r="N422" s="192">
        <v>0</v>
      </c>
    </row>
    <row r="423" spans="14:14" ht="14.25" customHeight="1">
      <c r="N423" s="192">
        <v>0</v>
      </c>
    </row>
    <row r="424" spans="14:14" ht="14.25" customHeight="1">
      <c r="N424" s="192">
        <v>0</v>
      </c>
    </row>
    <row r="425" spans="14:14" ht="14.25" customHeight="1">
      <c r="N425" s="192">
        <v>0</v>
      </c>
    </row>
    <row r="426" spans="14:14" ht="14.25" customHeight="1">
      <c r="N426" s="192">
        <v>0</v>
      </c>
    </row>
    <row r="427" spans="14:14" ht="14.25" customHeight="1">
      <c r="N427" s="192">
        <v>0</v>
      </c>
    </row>
    <row r="428" spans="14:14" ht="14.25" customHeight="1">
      <c r="N428" s="192">
        <v>0</v>
      </c>
    </row>
    <row r="429" spans="14:14" ht="14.25" customHeight="1">
      <c r="N429" s="192">
        <v>0</v>
      </c>
    </row>
    <row r="430" spans="14:14" ht="14.25" customHeight="1">
      <c r="N430" s="192">
        <v>0</v>
      </c>
    </row>
    <row r="431" spans="14:14" ht="14.25" customHeight="1">
      <c r="N431" s="192">
        <v>0</v>
      </c>
    </row>
    <row r="432" spans="14:14" ht="14.25" customHeight="1">
      <c r="N432" s="192">
        <v>0</v>
      </c>
    </row>
    <row r="433" spans="14:14" ht="14.25" customHeight="1">
      <c r="N433" s="192">
        <v>0</v>
      </c>
    </row>
    <row r="434" spans="14:14" ht="14.25" customHeight="1">
      <c r="N434" s="192">
        <v>0</v>
      </c>
    </row>
    <row r="435" spans="14:14" ht="14.25" customHeight="1">
      <c r="N435" s="192">
        <v>0</v>
      </c>
    </row>
    <row r="436" spans="14:14" ht="14.25" customHeight="1">
      <c r="N436" s="192">
        <v>0</v>
      </c>
    </row>
    <row r="437" spans="14:14" ht="14.25" customHeight="1">
      <c r="N437" s="192">
        <v>0</v>
      </c>
    </row>
    <row r="438" spans="14:14" ht="14.25" customHeight="1">
      <c r="N438" s="192">
        <v>0</v>
      </c>
    </row>
    <row r="439" spans="14:14" ht="14.25" customHeight="1">
      <c r="N439" s="192">
        <v>0</v>
      </c>
    </row>
    <row r="440" spans="14:14" ht="14.25" customHeight="1">
      <c r="N440" s="192">
        <v>0</v>
      </c>
    </row>
    <row r="441" spans="14:14" ht="14.25" customHeight="1">
      <c r="N441" s="192">
        <v>0</v>
      </c>
    </row>
    <row r="442" spans="14:14" ht="14.25" customHeight="1">
      <c r="N442" s="192">
        <v>0</v>
      </c>
    </row>
    <row r="443" spans="14:14" ht="14.25" customHeight="1">
      <c r="N443" s="192">
        <v>0</v>
      </c>
    </row>
    <row r="444" spans="14:14" ht="14.25" customHeight="1">
      <c r="N444" s="192">
        <v>0</v>
      </c>
    </row>
    <row r="445" spans="14:14" ht="14.25" customHeight="1">
      <c r="N445" s="192">
        <v>0</v>
      </c>
    </row>
    <row r="446" spans="14:14" ht="14.25" customHeight="1">
      <c r="N446" s="192">
        <v>0</v>
      </c>
    </row>
    <row r="447" spans="14:14" ht="14.25" customHeight="1">
      <c r="N447" s="192">
        <v>0</v>
      </c>
    </row>
    <row r="448" spans="14:14" ht="14.25" customHeight="1">
      <c r="N448" s="192">
        <v>0</v>
      </c>
    </row>
    <row r="449" spans="14:14" ht="14.25" customHeight="1">
      <c r="N449" s="192">
        <v>0</v>
      </c>
    </row>
    <row r="450" spans="14:14" ht="14.25" customHeight="1">
      <c r="N450" s="192">
        <v>0</v>
      </c>
    </row>
    <row r="451" spans="14:14" ht="14.25" customHeight="1">
      <c r="N451" s="192">
        <v>0</v>
      </c>
    </row>
    <row r="452" spans="14:14" ht="14.25" customHeight="1">
      <c r="N452" s="192">
        <v>0</v>
      </c>
    </row>
    <row r="453" spans="14:14" ht="14.25" customHeight="1">
      <c r="N453" s="192">
        <v>0</v>
      </c>
    </row>
    <row r="454" spans="14:14" ht="14.25" customHeight="1">
      <c r="N454" s="192">
        <v>0</v>
      </c>
    </row>
    <row r="455" spans="14:14" ht="14.25" customHeight="1">
      <c r="N455" s="192">
        <v>0</v>
      </c>
    </row>
    <row r="456" spans="14:14" ht="14.25" customHeight="1">
      <c r="N456" s="192">
        <v>0</v>
      </c>
    </row>
    <row r="457" spans="14:14" ht="14.25" customHeight="1">
      <c r="N457" s="192">
        <v>0</v>
      </c>
    </row>
    <row r="458" spans="14:14" ht="14.25" customHeight="1">
      <c r="N458" s="192">
        <v>0</v>
      </c>
    </row>
    <row r="459" spans="14:14" ht="14.25" customHeight="1">
      <c r="N459" s="192">
        <v>0</v>
      </c>
    </row>
    <row r="460" spans="14:14" ht="14.25" customHeight="1">
      <c r="N460" s="192">
        <v>0</v>
      </c>
    </row>
    <row r="461" spans="14:14" ht="14.25" customHeight="1">
      <c r="N461" s="192">
        <v>0</v>
      </c>
    </row>
    <row r="462" spans="14:14" ht="14.25" customHeight="1">
      <c r="N462" s="192">
        <v>0</v>
      </c>
    </row>
    <row r="463" spans="14:14" ht="14.25" customHeight="1">
      <c r="N463" s="192">
        <v>0</v>
      </c>
    </row>
    <row r="464" spans="14:14" ht="14.25" customHeight="1">
      <c r="N464" s="192">
        <v>0</v>
      </c>
    </row>
    <row r="465" spans="14:14" ht="14.25" customHeight="1">
      <c r="N465" s="192">
        <v>0</v>
      </c>
    </row>
    <row r="466" spans="14:14" ht="14.25" customHeight="1">
      <c r="N466" s="192">
        <v>0</v>
      </c>
    </row>
    <row r="467" spans="14:14" ht="14.25" customHeight="1">
      <c r="N467" s="192">
        <v>0</v>
      </c>
    </row>
    <row r="468" spans="14:14" ht="14.25" customHeight="1">
      <c r="N468" s="192">
        <v>0</v>
      </c>
    </row>
    <row r="469" spans="14:14" ht="14.25" customHeight="1">
      <c r="N469" s="192">
        <v>0</v>
      </c>
    </row>
    <row r="470" spans="14:14" ht="14.25" customHeight="1">
      <c r="N470" s="192">
        <v>0</v>
      </c>
    </row>
    <row r="471" spans="14:14" ht="14.25" customHeight="1">
      <c r="N471" s="192">
        <v>0</v>
      </c>
    </row>
    <row r="472" spans="14:14" ht="14.25" customHeight="1">
      <c r="N472" s="192">
        <v>0</v>
      </c>
    </row>
    <row r="473" spans="14:14" ht="14.25" customHeight="1">
      <c r="N473" s="192">
        <v>0</v>
      </c>
    </row>
    <row r="474" spans="14:14" ht="14.25" customHeight="1">
      <c r="N474" s="192">
        <v>0</v>
      </c>
    </row>
    <row r="475" spans="14:14" ht="14.25" customHeight="1">
      <c r="N475" s="192">
        <v>0</v>
      </c>
    </row>
    <row r="476" spans="14:14" ht="14.25" customHeight="1">
      <c r="N476" s="192">
        <v>0</v>
      </c>
    </row>
    <row r="477" spans="14:14" ht="14.25" customHeight="1">
      <c r="N477" s="192">
        <v>0</v>
      </c>
    </row>
    <row r="478" spans="14:14" ht="14.25" customHeight="1">
      <c r="N478" s="192">
        <v>0</v>
      </c>
    </row>
    <row r="479" spans="14:14" ht="14.25" customHeight="1">
      <c r="N479" s="192">
        <v>0</v>
      </c>
    </row>
    <row r="480" spans="14:14" ht="14.25" customHeight="1">
      <c r="N480" s="192">
        <v>0</v>
      </c>
    </row>
    <row r="481" spans="14:14" ht="14.25" customHeight="1">
      <c r="N481" s="192">
        <v>0</v>
      </c>
    </row>
    <row r="482" spans="14:14" ht="14.25" customHeight="1">
      <c r="N482" s="192">
        <v>0</v>
      </c>
    </row>
    <row r="483" spans="14:14" ht="14.25" customHeight="1">
      <c r="N483" s="192">
        <v>0</v>
      </c>
    </row>
    <row r="484" spans="14:14" ht="14.25" customHeight="1">
      <c r="N484" s="192">
        <v>0</v>
      </c>
    </row>
    <row r="485" spans="14:14" ht="14.25" customHeight="1">
      <c r="N485" s="192">
        <v>0</v>
      </c>
    </row>
    <row r="486" spans="14:14" ht="14.25" customHeight="1">
      <c r="N486" s="192">
        <v>0</v>
      </c>
    </row>
    <row r="487" spans="14:14" ht="14.25" customHeight="1">
      <c r="N487" s="192">
        <v>0</v>
      </c>
    </row>
    <row r="488" spans="14:14" ht="14.25" customHeight="1">
      <c r="N488" s="192">
        <v>0</v>
      </c>
    </row>
    <row r="489" spans="14:14" ht="14.25" customHeight="1">
      <c r="N489" s="192">
        <v>0</v>
      </c>
    </row>
    <row r="490" spans="14:14" ht="14.25" customHeight="1">
      <c r="N490" s="192">
        <v>0</v>
      </c>
    </row>
    <row r="491" spans="14:14" ht="14.25" customHeight="1">
      <c r="N491" s="192">
        <v>0</v>
      </c>
    </row>
    <row r="492" spans="14:14" ht="14.25" customHeight="1">
      <c r="N492" s="192">
        <v>0</v>
      </c>
    </row>
    <row r="493" spans="14:14" ht="14.25" customHeight="1">
      <c r="N493" s="192">
        <v>0</v>
      </c>
    </row>
    <row r="494" spans="14:14" ht="14.25" customHeight="1">
      <c r="N494" s="192">
        <v>0</v>
      </c>
    </row>
    <row r="495" spans="14:14" ht="14.25" customHeight="1">
      <c r="N495" s="192">
        <v>0</v>
      </c>
    </row>
    <row r="496" spans="14:14" ht="14.25" customHeight="1">
      <c r="N496" s="192">
        <v>0</v>
      </c>
    </row>
    <row r="497" spans="14:14" ht="14.25" customHeight="1">
      <c r="N497" s="192">
        <v>0</v>
      </c>
    </row>
    <row r="498" spans="14:14" ht="14.25" customHeight="1">
      <c r="N498" s="192">
        <v>0</v>
      </c>
    </row>
    <row r="499" spans="14:14" ht="14.25" customHeight="1">
      <c r="N499" s="192">
        <v>0</v>
      </c>
    </row>
    <row r="500" spans="14:14" ht="14.25" customHeight="1">
      <c r="N500" s="192">
        <v>0</v>
      </c>
    </row>
    <row r="501" spans="14:14" ht="14.25" customHeight="1">
      <c r="N501" s="192">
        <v>0</v>
      </c>
    </row>
    <row r="502" spans="14:14" ht="14.25" customHeight="1">
      <c r="N502" s="192">
        <v>0</v>
      </c>
    </row>
    <row r="503" spans="14:14" ht="14.25" customHeight="1">
      <c r="N503" s="192">
        <v>0</v>
      </c>
    </row>
    <row r="504" spans="14:14" ht="14.25" customHeight="1">
      <c r="N504" s="192">
        <v>0</v>
      </c>
    </row>
    <row r="505" spans="14:14" ht="14.25" customHeight="1">
      <c r="N505" s="192">
        <v>0</v>
      </c>
    </row>
    <row r="506" spans="14:14" ht="14.25" customHeight="1">
      <c r="N506" s="192">
        <v>0</v>
      </c>
    </row>
    <row r="507" spans="14:14" ht="14.25" customHeight="1">
      <c r="N507" s="192">
        <v>0</v>
      </c>
    </row>
    <row r="508" spans="14:14" ht="14.25" customHeight="1">
      <c r="N508" s="192">
        <v>0</v>
      </c>
    </row>
    <row r="509" spans="14:14" ht="14.25" customHeight="1">
      <c r="N509" s="192">
        <v>0</v>
      </c>
    </row>
    <row r="510" spans="14:14" ht="14.25" customHeight="1">
      <c r="N510" s="192">
        <v>0</v>
      </c>
    </row>
    <row r="511" spans="14:14" ht="14.25" customHeight="1">
      <c r="N511" s="192">
        <v>0</v>
      </c>
    </row>
    <row r="512" spans="14:14" ht="14.25" customHeight="1">
      <c r="N512" s="192">
        <v>0</v>
      </c>
    </row>
    <row r="513" spans="14:14" ht="14.25" customHeight="1">
      <c r="N513" s="192">
        <v>0</v>
      </c>
    </row>
    <row r="514" spans="14:14" ht="14.25" customHeight="1">
      <c r="N514" s="192">
        <v>0</v>
      </c>
    </row>
    <row r="515" spans="14:14" ht="14.25" customHeight="1">
      <c r="N515" s="192">
        <v>0</v>
      </c>
    </row>
    <row r="516" spans="14:14" ht="14.25" customHeight="1">
      <c r="N516" s="192">
        <v>0</v>
      </c>
    </row>
    <row r="517" spans="14:14" ht="14.25" customHeight="1">
      <c r="N517" s="192">
        <v>0</v>
      </c>
    </row>
    <row r="518" spans="14:14" ht="14.25" customHeight="1">
      <c r="N518" s="192">
        <v>0</v>
      </c>
    </row>
    <row r="519" spans="14:14" ht="14.25" customHeight="1">
      <c r="N519" s="192">
        <v>0</v>
      </c>
    </row>
    <row r="520" spans="14:14" ht="14.25" customHeight="1">
      <c r="N520" s="192">
        <v>0</v>
      </c>
    </row>
    <row r="521" spans="14:14" ht="14.25" customHeight="1">
      <c r="N521" s="192">
        <v>0</v>
      </c>
    </row>
    <row r="522" spans="14:14" ht="14.25" customHeight="1">
      <c r="N522" s="192">
        <v>0</v>
      </c>
    </row>
    <row r="523" spans="14:14" ht="14.25" customHeight="1">
      <c r="N523" s="192">
        <v>0</v>
      </c>
    </row>
    <row r="524" spans="14:14" ht="14.25" customHeight="1">
      <c r="N524" s="192">
        <v>0</v>
      </c>
    </row>
    <row r="525" spans="14:14" ht="14.25" customHeight="1">
      <c r="N525" s="192">
        <v>0</v>
      </c>
    </row>
    <row r="526" spans="14:14" ht="14.25" customHeight="1">
      <c r="N526" s="192">
        <v>0</v>
      </c>
    </row>
    <row r="527" spans="14:14" ht="14.25" customHeight="1">
      <c r="N527" s="192">
        <v>0</v>
      </c>
    </row>
    <row r="528" spans="14:14" ht="14.25" customHeight="1">
      <c r="N528" s="192">
        <v>0</v>
      </c>
    </row>
    <row r="529" spans="14:14" ht="14.25" customHeight="1">
      <c r="N529" s="192">
        <v>0</v>
      </c>
    </row>
    <row r="530" spans="14:14" ht="14.25" customHeight="1">
      <c r="N530" s="192">
        <v>0</v>
      </c>
    </row>
    <row r="531" spans="14:14" ht="14.25" customHeight="1">
      <c r="N531" s="192">
        <v>0</v>
      </c>
    </row>
    <row r="532" spans="14:14" ht="14.25" customHeight="1">
      <c r="N532" s="192">
        <v>0</v>
      </c>
    </row>
    <row r="533" spans="14:14" ht="14.25" customHeight="1">
      <c r="N533" s="192">
        <v>0</v>
      </c>
    </row>
    <row r="534" spans="14:14" ht="14.25" customHeight="1">
      <c r="N534" s="192">
        <v>0</v>
      </c>
    </row>
    <row r="535" spans="14:14" ht="14.25" customHeight="1">
      <c r="N535" s="192">
        <v>0</v>
      </c>
    </row>
    <row r="536" spans="14:14" ht="14.25" customHeight="1">
      <c r="N536" s="192">
        <v>0</v>
      </c>
    </row>
    <row r="537" spans="14:14" ht="14.25" customHeight="1">
      <c r="N537" s="192">
        <v>0</v>
      </c>
    </row>
    <row r="538" spans="14:14" ht="14.25" customHeight="1">
      <c r="N538" s="192">
        <v>0</v>
      </c>
    </row>
    <row r="539" spans="14:14" ht="14.25" customHeight="1">
      <c r="N539" s="192">
        <v>0</v>
      </c>
    </row>
    <row r="540" spans="14:14" ht="14.25" customHeight="1">
      <c r="N540" s="192">
        <v>0</v>
      </c>
    </row>
    <row r="541" spans="14:14" ht="14.25" customHeight="1">
      <c r="N541" s="192">
        <v>0</v>
      </c>
    </row>
    <row r="542" spans="14:14" ht="14.25" customHeight="1">
      <c r="N542" s="192">
        <v>0</v>
      </c>
    </row>
    <row r="543" spans="14:14" ht="14.25" customHeight="1">
      <c r="N543" s="192">
        <v>0</v>
      </c>
    </row>
    <row r="544" spans="14:14" ht="14.25" customHeight="1">
      <c r="N544" s="192">
        <v>0</v>
      </c>
    </row>
    <row r="545" spans="14:14" ht="14.25" customHeight="1">
      <c r="N545" s="192">
        <v>0</v>
      </c>
    </row>
    <row r="546" spans="14:14" ht="14.25" customHeight="1">
      <c r="N546" s="192">
        <v>0</v>
      </c>
    </row>
    <row r="547" spans="14:14" ht="14.25" customHeight="1">
      <c r="N547" s="192">
        <v>0</v>
      </c>
    </row>
    <row r="548" spans="14:14" ht="14.25" customHeight="1">
      <c r="N548" s="192">
        <v>0</v>
      </c>
    </row>
    <row r="549" spans="14:14" ht="14.25" customHeight="1">
      <c r="N549" s="192">
        <v>0</v>
      </c>
    </row>
    <row r="550" spans="14:14" ht="14.25" customHeight="1">
      <c r="N550" s="192">
        <v>0</v>
      </c>
    </row>
    <row r="551" spans="14:14" ht="14.25" customHeight="1">
      <c r="N551" s="192">
        <v>0</v>
      </c>
    </row>
    <row r="552" spans="14:14" ht="14.25" customHeight="1">
      <c r="N552" s="192">
        <v>0</v>
      </c>
    </row>
    <row r="553" spans="14:14" ht="14.25" customHeight="1">
      <c r="N553" s="192">
        <v>0</v>
      </c>
    </row>
    <row r="554" spans="14:14" ht="14.25" customHeight="1">
      <c r="N554" s="192">
        <v>0</v>
      </c>
    </row>
    <row r="555" spans="14:14" ht="14.25" customHeight="1">
      <c r="N555" s="192">
        <v>0</v>
      </c>
    </row>
    <row r="556" spans="14:14" ht="14.25" customHeight="1">
      <c r="N556" s="192">
        <v>0</v>
      </c>
    </row>
    <row r="557" spans="14:14" ht="14.25" customHeight="1">
      <c r="N557" s="192">
        <v>0</v>
      </c>
    </row>
    <row r="558" spans="14:14" ht="14.25" customHeight="1">
      <c r="N558" s="192">
        <v>0</v>
      </c>
    </row>
    <row r="559" spans="14:14" ht="14.25" customHeight="1">
      <c r="N559" s="192">
        <v>0</v>
      </c>
    </row>
    <row r="560" spans="14:14" ht="14.25" customHeight="1">
      <c r="N560" s="192">
        <v>0</v>
      </c>
    </row>
    <row r="561" spans="14:14" ht="14.25" customHeight="1">
      <c r="N561" s="192">
        <v>0</v>
      </c>
    </row>
    <row r="562" spans="14:14" ht="14.25" customHeight="1">
      <c r="N562" s="192">
        <v>0</v>
      </c>
    </row>
    <row r="563" spans="14:14" ht="14.25" customHeight="1">
      <c r="N563" s="192">
        <v>0</v>
      </c>
    </row>
    <row r="564" spans="14:14" ht="14.25" customHeight="1">
      <c r="N564" s="192">
        <v>0</v>
      </c>
    </row>
    <row r="565" spans="14:14" ht="14.25" customHeight="1">
      <c r="N565" s="192">
        <v>0</v>
      </c>
    </row>
    <row r="566" spans="14:14" ht="14.25" customHeight="1">
      <c r="N566" s="192">
        <v>0</v>
      </c>
    </row>
    <row r="567" spans="14:14" ht="14.25" customHeight="1">
      <c r="N567" s="192">
        <v>0</v>
      </c>
    </row>
    <row r="568" spans="14:14" ht="14.25" customHeight="1">
      <c r="N568" s="192">
        <v>0</v>
      </c>
    </row>
    <row r="569" spans="14:14" ht="14.25" customHeight="1">
      <c r="N569" s="192">
        <v>0</v>
      </c>
    </row>
    <row r="570" spans="14:14" ht="14.25" customHeight="1">
      <c r="N570" s="192">
        <v>0</v>
      </c>
    </row>
    <row r="571" spans="14:14" ht="14.25" customHeight="1">
      <c r="N571" s="192">
        <v>0</v>
      </c>
    </row>
    <row r="572" spans="14:14" ht="14.25" customHeight="1">
      <c r="N572" s="192">
        <v>0</v>
      </c>
    </row>
    <row r="573" spans="14:14" ht="14.25" customHeight="1">
      <c r="N573" s="192">
        <v>0</v>
      </c>
    </row>
    <row r="574" spans="14:14" ht="14.25" customHeight="1">
      <c r="N574" s="192">
        <v>0</v>
      </c>
    </row>
    <row r="575" spans="14:14" ht="14.25" customHeight="1">
      <c r="N575" s="192">
        <v>0</v>
      </c>
    </row>
    <row r="576" spans="14:14" ht="14.25" customHeight="1">
      <c r="N576" s="192">
        <v>0</v>
      </c>
    </row>
    <row r="577" spans="14:14" ht="14.25" customHeight="1">
      <c r="N577" s="192">
        <v>0</v>
      </c>
    </row>
    <row r="578" spans="14:14" ht="14.25" customHeight="1">
      <c r="N578" s="192">
        <v>0</v>
      </c>
    </row>
    <row r="579" spans="14:14" ht="14.25" customHeight="1">
      <c r="N579" s="192">
        <v>0</v>
      </c>
    </row>
    <row r="580" spans="14:14" ht="14.25" customHeight="1">
      <c r="N580" s="192">
        <v>0</v>
      </c>
    </row>
    <row r="581" spans="14:14" ht="14.25" customHeight="1">
      <c r="N581" s="192">
        <v>0</v>
      </c>
    </row>
    <row r="582" spans="14:14" ht="14.25" customHeight="1">
      <c r="N582" s="192">
        <v>0</v>
      </c>
    </row>
    <row r="583" spans="14:14" ht="14.25" customHeight="1">
      <c r="N583" s="192">
        <v>0</v>
      </c>
    </row>
    <row r="584" spans="14:14" ht="14.25" customHeight="1">
      <c r="N584" s="192">
        <v>0</v>
      </c>
    </row>
    <row r="585" spans="14:14" ht="14.25" customHeight="1">
      <c r="N585" s="192">
        <v>0</v>
      </c>
    </row>
    <row r="586" spans="14:14" ht="14.25" customHeight="1">
      <c r="N586" s="192">
        <v>0</v>
      </c>
    </row>
    <row r="587" spans="14:14" ht="14.25" customHeight="1">
      <c r="N587" s="192">
        <v>0</v>
      </c>
    </row>
    <row r="588" spans="14:14" ht="14.25" customHeight="1">
      <c r="N588" s="192">
        <v>0</v>
      </c>
    </row>
    <row r="589" spans="14:14" ht="14.25" customHeight="1">
      <c r="N589" s="192">
        <v>0</v>
      </c>
    </row>
    <row r="590" spans="14:14" ht="14.25" customHeight="1">
      <c r="N590" s="192">
        <v>0</v>
      </c>
    </row>
    <row r="591" spans="14:14" ht="14.25" customHeight="1">
      <c r="N591" s="192">
        <v>0</v>
      </c>
    </row>
    <row r="592" spans="14:14" ht="14.25" customHeight="1">
      <c r="N592" s="192">
        <v>0</v>
      </c>
    </row>
    <row r="593" spans="14:14" ht="14.25" customHeight="1">
      <c r="N593" s="192">
        <v>0</v>
      </c>
    </row>
    <row r="594" spans="14:14" ht="14.25" customHeight="1">
      <c r="N594" s="192">
        <v>0</v>
      </c>
    </row>
    <row r="595" spans="14:14" ht="14.25" customHeight="1">
      <c r="N595" s="192">
        <v>0</v>
      </c>
    </row>
    <row r="596" spans="14:14" ht="14.25" customHeight="1">
      <c r="N596" s="192">
        <v>0</v>
      </c>
    </row>
    <row r="597" spans="14:14" ht="14.25" customHeight="1">
      <c r="N597" s="192">
        <v>0</v>
      </c>
    </row>
    <row r="598" spans="14:14" ht="14.25" customHeight="1">
      <c r="N598" s="192">
        <v>0</v>
      </c>
    </row>
    <row r="599" spans="14:14" ht="14.25" customHeight="1">
      <c r="N599" s="192">
        <v>0</v>
      </c>
    </row>
    <row r="600" spans="14:14" ht="14.25" customHeight="1">
      <c r="N600" s="192">
        <v>0</v>
      </c>
    </row>
    <row r="601" spans="14:14" ht="14.25" customHeight="1">
      <c r="N601" s="192">
        <v>0</v>
      </c>
    </row>
    <row r="602" spans="14:14" ht="14.25" customHeight="1">
      <c r="N602" s="192">
        <v>0</v>
      </c>
    </row>
    <row r="603" spans="14:14" ht="14.25" customHeight="1">
      <c r="N603" s="192">
        <v>0</v>
      </c>
    </row>
    <row r="604" spans="14:14" ht="14.25" customHeight="1">
      <c r="N604" s="192">
        <v>0</v>
      </c>
    </row>
    <row r="605" spans="14:14" ht="14.25" customHeight="1">
      <c r="N605" s="192">
        <v>0</v>
      </c>
    </row>
    <row r="606" spans="14:14" ht="14.25" customHeight="1">
      <c r="N606" s="192">
        <v>0</v>
      </c>
    </row>
    <row r="607" spans="14:14" ht="14.25" customHeight="1">
      <c r="N607" s="192">
        <v>0</v>
      </c>
    </row>
    <row r="608" spans="14:14" ht="14.25" customHeight="1">
      <c r="N608" s="192">
        <v>0</v>
      </c>
    </row>
    <row r="609" spans="14:14" ht="14.25" customHeight="1">
      <c r="N609" s="192">
        <v>0</v>
      </c>
    </row>
    <row r="610" spans="14:14" ht="14.25" customHeight="1">
      <c r="N610" s="192">
        <v>0</v>
      </c>
    </row>
    <row r="611" spans="14:14" ht="14.25" customHeight="1">
      <c r="N611" s="192">
        <v>0</v>
      </c>
    </row>
    <row r="612" spans="14:14" ht="14.25" customHeight="1">
      <c r="N612" s="192">
        <v>0</v>
      </c>
    </row>
    <row r="613" spans="14:14" ht="14.25" customHeight="1">
      <c r="N613" s="192">
        <v>0</v>
      </c>
    </row>
    <row r="614" spans="14:14" ht="14.25" customHeight="1">
      <c r="N614" s="192">
        <v>0</v>
      </c>
    </row>
    <row r="615" spans="14:14" ht="14.25" customHeight="1">
      <c r="N615" s="192">
        <v>0</v>
      </c>
    </row>
    <row r="616" spans="14:14" ht="14.25" customHeight="1">
      <c r="N616" s="192">
        <v>0</v>
      </c>
    </row>
    <row r="617" spans="14:14" ht="14.25" customHeight="1">
      <c r="N617" s="192">
        <v>0</v>
      </c>
    </row>
    <row r="618" spans="14:14" ht="14.25" customHeight="1">
      <c r="N618" s="192">
        <v>0</v>
      </c>
    </row>
    <row r="619" spans="14:14" ht="14.25" customHeight="1">
      <c r="N619" s="192">
        <v>0</v>
      </c>
    </row>
    <row r="620" spans="14:14" ht="14.25" customHeight="1">
      <c r="N620" s="192">
        <v>0</v>
      </c>
    </row>
    <row r="621" spans="14:14" ht="14.25" customHeight="1">
      <c r="N621" s="192">
        <v>0</v>
      </c>
    </row>
    <row r="622" spans="14:14" ht="14.25" customHeight="1">
      <c r="N622" s="192">
        <v>0</v>
      </c>
    </row>
    <row r="623" spans="14:14" ht="14.25" customHeight="1">
      <c r="N623" s="192">
        <v>0</v>
      </c>
    </row>
    <row r="624" spans="14:14" ht="14.25" customHeight="1">
      <c r="N624" s="192">
        <v>0</v>
      </c>
    </row>
    <row r="625" spans="14:14" ht="14.25" customHeight="1">
      <c r="N625" s="192">
        <v>0</v>
      </c>
    </row>
    <row r="626" spans="14:14" ht="14.25" customHeight="1">
      <c r="N626" s="192">
        <v>0</v>
      </c>
    </row>
    <row r="627" spans="14:14" ht="14.25" customHeight="1">
      <c r="N627" s="192">
        <v>0</v>
      </c>
    </row>
    <row r="628" spans="14:14" ht="14.25" customHeight="1">
      <c r="N628" s="192">
        <v>0</v>
      </c>
    </row>
    <row r="629" spans="14:14" ht="14.25" customHeight="1">
      <c r="N629" s="192">
        <v>0</v>
      </c>
    </row>
    <row r="630" spans="14:14" ht="14.25" customHeight="1">
      <c r="N630" s="192">
        <v>0</v>
      </c>
    </row>
    <row r="631" spans="14:14" ht="14.25" customHeight="1">
      <c r="N631" s="192">
        <v>0</v>
      </c>
    </row>
    <row r="632" spans="14:14" ht="14.25" customHeight="1">
      <c r="N632" s="192">
        <v>0</v>
      </c>
    </row>
    <row r="633" spans="14:14" ht="14.25" customHeight="1">
      <c r="N633" s="192">
        <v>0</v>
      </c>
    </row>
    <row r="634" spans="14:14" ht="14.25" customHeight="1">
      <c r="N634" s="192">
        <v>0</v>
      </c>
    </row>
    <row r="635" spans="14:14" ht="14.25" customHeight="1">
      <c r="N635" s="192">
        <v>0</v>
      </c>
    </row>
    <row r="636" spans="14:14" ht="14.25" customHeight="1">
      <c r="N636" s="192">
        <v>0</v>
      </c>
    </row>
    <row r="637" spans="14:14" ht="14.25" customHeight="1">
      <c r="N637" s="192">
        <v>0</v>
      </c>
    </row>
    <row r="638" spans="14:14" ht="14.25" customHeight="1">
      <c r="N638" s="192">
        <v>0</v>
      </c>
    </row>
    <row r="639" spans="14:14" ht="14.25" customHeight="1">
      <c r="N639" s="192">
        <v>0</v>
      </c>
    </row>
    <row r="640" spans="14:14" ht="14.25" customHeight="1">
      <c r="N640" s="192">
        <v>0</v>
      </c>
    </row>
    <row r="641" spans="14:14" ht="14.25" customHeight="1">
      <c r="N641" s="192">
        <v>0</v>
      </c>
    </row>
    <row r="642" spans="14:14" ht="14.25" customHeight="1">
      <c r="N642" s="192">
        <v>0</v>
      </c>
    </row>
    <row r="643" spans="14:14" ht="14.25" customHeight="1">
      <c r="N643" s="192">
        <v>0</v>
      </c>
    </row>
    <row r="644" spans="14:14" ht="14.25" customHeight="1">
      <c r="N644" s="192">
        <v>0</v>
      </c>
    </row>
    <row r="645" spans="14:14" ht="14.25" customHeight="1">
      <c r="N645" s="192">
        <v>0</v>
      </c>
    </row>
    <row r="646" spans="14:14" ht="14.25" customHeight="1">
      <c r="N646" s="192">
        <v>0</v>
      </c>
    </row>
    <row r="647" spans="14:14" ht="14.25" customHeight="1">
      <c r="N647" s="192">
        <v>0</v>
      </c>
    </row>
    <row r="648" spans="14:14" ht="14.25" customHeight="1">
      <c r="N648" s="192">
        <v>0</v>
      </c>
    </row>
    <row r="649" spans="14:14" ht="14.25" customHeight="1">
      <c r="N649" s="192">
        <v>0</v>
      </c>
    </row>
    <row r="650" spans="14:14" ht="14.25" customHeight="1">
      <c r="N650" s="192">
        <v>0</v>
      </c>
    </row>
    <row r="651" spans="14:14" ht="14.25" customHeight="1">
      <c r="N651" s="192">
        <v>0</v>
      </c>
    </row>
    <row r="652" spans="14:14" ht="14.25" customHeight="1">
      <c r="N652" s="192">
        <v>0</v>
      </c>
    </row>
    <row r="653" spans="14:14" ht="14.25" customHeight="1">
      <c r="N653" s="192">
        <v>0</v>
      </c>
    </row>
    <row r="654" spans="14:14" ht="14.25" customHeight="1">
      <c r="N654" s="192">
        <v>0</v>
      </c>
    </row>
    <row r="655" spans="14:14" ht="14.25" customHeight="1">
      <c r="N655" s="192">
        <v>0</v>
      </c>
    </row>
    <row r="656" spans="14:14" ht="14.25" customHeight="1">
      <c r="N656" s="192">
        <v>0</v>
      </c>
    </row>
    <row r="657" spans="14:14" ht="14.25" customHeight="1">
      <c r="N657" s="192">
        <v>0</v>
      </c>
    </row>
    <row r="658" spans="14:14" ht="14.25" customHeight="1">
      <c r="N658" s="192">
        <v>0</v>
      </c>
    </row>
    <row r="659" spans="14:14" ht="14.25" customHeight="1">
      <c r="N659" s="192">
        <v>0</v>
      </c>
    </row>
    <row r="660" spans="14:14" ht="14.25" customHeight="1">
      <c r="N660" s="192">
        <v>0</v>
      </c>
    </row>
    <row r="661" spans="14:14" ht="14.25" customHeight="1">
      <c r="N661" s="192">
        <v>0</v>
      </c>
    </row>
    <row r="662" spans="14:14" ht="14.25" customHeight="1">
      <c r="N662" s="192">
        <v>0</v>
      </c>
    </row>
    <row r="663" spans="14:14" ht="14.25" customHeight="1">
      <c r="N663" s="192">
        <v>0</v>
      </c>
    </row>
    <row r="664" spans="14:14" ht="14.25" customHeight="1">
      <c r="N664" s="192">
        <v>0</v>
      </c>
    </row>
    <row r="665" spans="14:14" ht="14.25" customHeight="1">
      <c r="N665" s="192">
        <v>0</v>
      </c>
    </row>
    <row r="666" spans="14:14" ht="14.25" customHeight="1">
      <c r="N666" s="192">
        <v>0</v>
      </c>
    </row>
    <row r="667" spans="14:14" ht="14.25" customHeight="1">
      <c r="N667" s="192">
        <v>0</v>
      </c>
    </row>
    <row r="668" spans="14:14" ht="14.25" customHeight="1">
      <c r="N668" s="192">
        <v>0</v>
      </c>
    </row>
    <row r="669" spans="14:14" ht="14.25" customHeight="1">
      <c r="N669" s="192">
        <v>0</v>
      </c>
    </row>
    <row r="670" spans="14:14" ht="14.25" customHeight="1">
      <c r="N670" s="192">
        <v>0</v>
      </c>
    </row>
    <row r="671" spans="14:14" ht="14.25" customHeight="1">
      <c r="N671" s="192">
        <v>0</v>
      </c>
    </row>
    <row r="672" spans="14:14" ht="14.25" customHeight="1">
      <c r="N672" s="192">
        <v>0</v>
      </c>
    </row>
    <row r="673" spans="14:14" ht="14.25" customHeight="1">
      <c r="N673" s="192">
        <v>0</v>
      </c>
    </row>
    <row r="674" spans="14:14" ht="14.25" customHeight="1">
      <c r="N674" s="192">
        <v>0</v>
      </c>
    </row>
    <row r="675" spans="14:14" ht="14.25" customHeight="1">
      <c r="N675" s="192">
        <v>0</v>
      </c>
    </row>
    <row r="676" spans="14:14" ht="14.25" customHeight="1">
      <c r="N676" s="192">
        <v>0</v>
      </c>
    </row>
    <row r="677" spans="14:14" ht="14.25" customHeight="1">
      <c r="N677" s="192">
        <v>0</v>
      </c>
    </row>
    <row r="678" spans="14:14" ht="14.25" customHeight="1">
      <c r="N678" s="192">
        <v>0</v>
      </c>
    </row>
    <row r="679" spans="14:14" ht="14.25" customHeight="1">
      <c r="N679" s="192">
        <v>0</v>
      </c>
    </row>
    <row r="680" spans="14:14" ht="14.25" customHeight="1">
      <c r="N680" s="192">
        <v>0</v>
      </c>
    </row>
    <row r="681" spans="14:14" ht="14.25" customHeight="1">
      <c r="N681" s="192">
        <v>0</v>
      </c>
    </row>
    <row r="682" spans="14:14" ht="14.25" customHeight="1">
      <c r="N682" s="192">
        <v>0</v>
      </c>
    </row>
    <row r="683" spans="14:14" ht="14.25" customHeight="1">
      <c r="N683" s="192">
        <v>0</v>
      </c>
    </row>
    <row r="684" spans="14:14" ht="14.25" customHeight="1">
      <c r="N684" s="192">
        <v>0</v>
      </c>
    </row>
    <row r="685" spans="14:14" ht="14.25" customHeight="1">
      <c r="N685" s="192">
        <v>0</v>
      </c>
    </row>
    <row r="686" spans="14:14" ht="14.25" customHeight="1">
      <c r="N686" s="192">
        <v>0</v>
      </c>
    </row>
    <row r="687" spans="14:14" ht="14.25" customHeight="1">
      <c r="N687" s="192">
        <v>0</v>
      </c>
    </row>
    <row r="688" spans="14:14" ht="14.25" customHeight="1">
      <c r="N688" s="192">
        <v>0</v>
      </c>
    </row>
    <row r="689" spans="14:14" ht="14.25" customHeight="1">
      <c r="N689" s="192">
        <v>0</v>
      </c>
    </row>
    <row r="690" spans="14:14" ht="14.25" customHeight="1">
      <c r="N690" s="192">
        <v>0</v>
      </c>
    </row>
    <row r="691" spans="14:14" ht="14.25" customHeight="1">
      <c r="N691" s="192">
        <v>0</v>
      </c>
    </row>
    <row r="692" spans="14:14" ht="14.25" customHeight="1">
      <c r="N692" s="192">
        <v>0</v>
      </c>
    </row>
    <row r="693" spans="14:14" ht="14.25" customHeight="1">
      <c r="N693" s="192">
        <v>0</v>
      </c>
    </row>
    <row r="694" spans="14:14" ht="14.25" customHeight="1">
      <c r="N694" s="192">
        <v>0</v>
      </c>
    </row>
    <row r="695" spans="14:14" ht="14.25" customHeight="1">
      <c r="N695" s="192">
        <v>0</v>
      </c>
    </row>
    <row r="696" spans="14:14" ht="14.25" customHeight="1">
      <c r="N696" s="192">
        <v>0</v>
      </c>
    </row>
    <row r="697" spans="14:14" ht="14.25" customHeight="1">
      <c r="N697" s="192">
        <v>0</v>
      </c>
    </row>
    <row r="698" spans="14:14" ht="14.25" customHeight="1">
      <c r="N698" s="192">
        <v>0</v>
      </c>
    </row>
    <row r="699" spans="14:14" ht="14.25" customHeight="1">
      <c r="N699" s="192">
        <v>0</v>
      </c>
    </row>
    <row r="700" spans="14:14" ht="14.25" customHeight="1">
      <c r="N700" s="192">
        <v>0</v>
      </c>
    </row>
    <row r="701" spans="14:14" ht="14.25" customHeight="1">
      <c r="N701" s="192">
        <v>0</v>
      </c>
    </row>
    <row r="702" spans="14:14" ht="14.25" customHeight="1">
      <c r="N702" s="192">
        <v>0</v>
      </c>
    </row>
    <row r="703" spans="14:14" ht="14.25" customHeight="1">
      <c r="N703" s="192">
        <v>0</v>
      </c>
    </row>
    <row r="704" spans="14:14" ht="14.25" customHeight="1">
      <c r="N704" s="192">
        <v>0</v>
      </c>
    </row>
    <row r="705" spans="14:14" ht="14.25" customHeight="1">
      <c r="N705" s="192">
        <v>0</v>
      </c>
    </row>
    <row r="706" spans="14:14" ht="14.25" customHeight="1">
      <c r="N706" s="192">
        <v>0</v>
      </c>
    </row>
    <row r="707" spans="14:14" ht="14.25" customHeight="1">
      <c r="N707" s="192">
        <v>0</v>
      </c>
    </row>
    <row r="708" spans="14:14" ht="14.25" customHeight="1">
      <c r="N708" s="192">
        <v>0</v>
      </c>
    </row>
    <row r="709" spans="14:14" ht="14.25" customHeight="1">
      <c r="N709" s="192">
        <v>0</v>
      </c>
    </row>
    <row r="710" spans="14:14" ht="14.25" customHeight="1">
      <c r="N710" s="192">
        <v>0</v>
      </c>
    </row>
    <row r="711" spans="14:14" ht="14.25" customHeight="1">
      <c r="N711" s="192">
        <v>0</v>
      </c>
    </row>
    <row r="712" spans="14:14" ht="14.25" customHeight="1">
      <c r="N712" s="192">
        <v>0</v>
      </c>
    </row>
    <row r="713" spans="14:14" ht="14.25" customHeight="1">
      <c r="N713" s="192">
        <v>0</v>
      </c>
    </row>
    <row r="714" spans="14:14" ht="14.25" customHeight="1">
      <c r="N714" s="192">
        <v>0</v>
      </c>
    </row>
    <row r="715" spans="14:14" ht="14.25" customHeight="1">
      <c r="N715" s="192">
        <v>0</v>
      </c>
    </row>
    <row r="716" spans="14:14" ht="14.25" customHeight="1">
      <c r="N716" s="192">
        <v>0</v>
      </c>
    </row>
    <row r="717" spans="14:14" ht="14.25" customHeight="1">
      <c r="N717" s="192">
        <v>0</v>
      </c>
    </row>
    <row r="718" spans="14:14" ht="14.25" customHeight="1">
      <c r="N718" s="192">
        <v>0</v>
      </c>
    </row>
    <row r="719" spans="14:14" ht="14.25" customHeight="1">
      <c r="N719" s="192">
        <v>0</v>
      </c>
    </row>
    <row r="720" spans="14:14" ht="14.25" customHeight="1">
      <c r="N720" s="192">
        <v>0</v>
      </c>
    </row>
    <row r="721" spans="14:14" ht="14.25" customHeight="1">
      <c r="N721" s="192">
        <v>0</v>
      </c>
    </row>
    <row r="722" spans="14:14" ht="14.25" customHeight="1">
      <c r="N722" s="192">
        <v>0</v>
      </c>
    </row>
    <row r="723" spans="14:14" ht="14.25" customHeight="1">
      <c r="N723" s="192">
        <v>0</v>
      </c>
    </row>
    <row r="724" spans="14:14" ht="14.25" customHeight="1">
      <c r="N724" s="192">
        <v>0</v>
      </c>
    </row>
    <row r="725" spans="14:14" ht="14.25" customHeight="1">
      <c r="N725" s="192">
        <v>0</v>
      </c>
    </row>
    <row r="726" spans="14:14" ht="14.25" customHeight="1">
      <c r="N726" s="192">
        <v>0</v>
      </c>
    </row>
    <row r="727" spans="14:14" ht="14.25" customHeight="1">
      <c r="N727" s="192">
        <v>0</v>
      </c>
    </row>
    <row r="728" spans="14:14" ht="14.25" customHeight="1">
      <c r="N728" s="192">
        <v>0</v>
      </c>
    </row>
    <row r="729" spans="14:14" ht="14.25" customHeight="1">
      <c r="N729" s="192">
        <v>0</v>
      </c>
    </row>
    <row r="730" spans="14:14" ht="14.25" customHeight="1">
      <c r="N730" s="192">
        <v>0</v>
      </c>
    </row>
    <row r="731" spans="14:14" ht="14.25" customHeight="1">
      <c r="N731" s="192">
        <v>0</v>
      </c>
    </row>
    <row r="732" spans="14:14" ht="14.25" customHeight="1">
      <c r="N732" s="192">
        <v>0</v>
      </c>
    </row>
    <row r="733" spans="14:14" ht="14.25" customHeight="1">
      <c r="N733" s="192">
        <v>0</v>
      </c>
    </row>
    <row r="734" spans="14:14" ht="14.25" customHeight="1">
      <c r="N734" s="192">
        <v>0</v>
      </c>
    </row>
    <row r="735" spans="14:14" ht="14.25" customHeight="1">
      <c r="N735" s="192">
        <v>0</v>
      </c>
    </row>
    <row r="736" spans="14:14" ht="14.25" customHeight="1">
      <c r="N736" s="192">
        <v>0</v>
      </c>
    </row>
    <row r="737" spans="14:14" ht="14.25" customHeight="1">
      <c r="N737" s="192">
        <v>0</v>
      </c>
    </row>
    <row r="738" spans="14:14" ht="14.25" customHeight="1">
      <c r="N738" s="192">
        <v>0</v>
      </c>
    </row>
    <row r="739" spans="14:14" ht="14.25" customHeight="1">
      <c r="N739" s="192">
        <v>0</v>
      </c>
    </row>
    <row r="740" spans="14:14" ht="14.25" customHeight="1">
      <c r="N740" s="192">
        <v>0</v>
      </c>
    </row>
    <row r="741" spans="14:14" ht="14.25" customHeight="1">
      <c r="N741" s="192">
        <v>0</v>
      </c>
    </row>
    <row r="742" spans="14:14" ht="14.25" customHeight="1">
      <c r="N742" s="192">
        <v>0</v>
      </c>
    </row>
    <row r="743" spans="14:14" ht="14.25" customHeight="1">
      <c r="N743" s="192">
        <v>0</v>
      </c>
    </row>
    <row r="744" spans="14:14" ht="14.25" customHeight="1">
      <c r="N744" s="192">
        <v>0</v>
      </c>
    </row>
    <row r="745" spans="14:14" ht="14.25" customHeight="1">
      <c r="N745" s="192">
        <v>0</v>
      </c>
    </row>
    <row r="746" spans="14:14" ht="14.25" customHeight="1">
      <c r="N746" s="192">
        <v>0</v>
      </c>
    </row>
    <row r="747" spans="14:14" ht="14.25" customHeight="1">
      <c r="N747" s="192">
        <v>0</v>
      </c>
    </row>
    <row r="748" spans="14:14" ht="14.25" customHeight="1">
      <c r="N748" s="192">
        <v>0</v>
      </c>
    </row>
    <row r="749" spans="14:14" ht="14.25" customHeight="1">
      <c r="N749" s="192">
        <v>0</v>
      </c>
    </row>
    <row r="750" spans="14:14" ht="14.25" customHeight="1">
      <c r="N750" s="192">
        <v>0</v>
      </c>
    </row>
    <row r="751" spans="14:14" ht="14.25" customHeight="1">
      <c r="N751" s="192">
        <v>0</v>
      </c>
    </row>
    <row r="752" spans="14:14" ht="14.25" customHeight="1">
      <c r="N752" s="192">
        <v>0</v>
      </c>
    </row>
    <row r="753" spans="14:14" ht="14.25" customHeight="1">
      <c r="N753" s="192">
        <v>0</v>
      </c>
    </row>
    <row r="754" spans="14:14" ht="14.25" customHeight="1">
      <c r="N754" s="192">
        <v>0</v>
      </c>
    </row>
    <row r="755" spans="14:14" ht="14.25" customHeight="1">
      <c r="N755" s="192">
        <v>0</v>
      </c>
    </row>
    <row r="756" spans="14:14" ht="14.25" customHeight="1">
      <c r="N756" s="192">
        <v>0</v>
      </c>
    </row>
    <row r="757" spans="14:14" ht="14.25" customHeight="1">
      <c r="N757" s="192">
        <v>0</v>
      </c>
    </row>
    <row r="758" spans="14:14" ht="14.25" customHeight="1">
      <c r="N758" s="192">
        <v>0</v>
      </c>
    </row>
    <row r="759" spans="14:14" ht="14.25" customHeight="1">
      <c r="N759" s="192">
        <v>0</v>
      </c>
    </row>
    <row r="760" spans="14:14" ht="14.25" customHeight="1">
      <c r="N760" s="192">
        <v>0</v>
      </c>
    </row>
    <row r="761" spans="14:14" ht="14.25" customHeight="1">
      <c r="N761" s="192">
        <v>0</v>
      </c>
    </row>
    <row r="762" spans="14:14" ht="14.25" customHeight="1">
      <c r="N762" s="192">
        <v>0</v>
      </c>
    </row>
    <row r="763" spans="14:14" ht="14.25" customHeight="1">
      <c r="N763" s="192">
        <v>0</v>
      </c>
    </row>
    <row r="764" spans="14:14" ht="14.25" customHeight="1">
      <c r="N764" s="192">
        <v>0</v>
      </c>
    </row>
    <row r="765" spans="14:14" ht="14.25" customHeight="1">
      <c r="N765" s="192">
        <v>0</v>
      </c>
    </row>
    <row r="766" spans="14:14" ht="14.25" customHeight="1">
      <c r="N766" s="192">
        <v>0</v>
      </c>
    </row>
    <row r="767" spans="14:14" ht="14.25" customHeight="1">
      <c r="N767" s="192">
        <v>0</v>
      </c>
    </row>
    <row r="768" spans="14:14" ht="14.25" customHeight="1">
      <c r="N768" s="192">
        <v>0</v>
      </c>
    </row>
    <row r="769" spans="14:14" ht="14.25" customHeight="1">
      <c r="N769" s="192">
        <v>0</v>
      </c>
    </row>
    <row r="770" spans="14:14" ht="14.25" customHeight="1">
      <c r="N770" s="192">
        <v>0</v>
      </c>
    </row>
    <row r="771" spans="14:14" ht="14.25" customHeight="1">
      <c r="N771" s="192">
        <v>0</v>
      </c>
    </row>
    <row r="772" spans="14:14" ht="14.25" customHeight="1">
      <c r="N772" s="192">
        <v>0</v>
      </c>
    </row>
    <row r="773" spans="14:14" ht="14.25" customHeight="1">
      <c r="N773" s="192">
        <v>0</v>
      </c>
    </row>
    <row r="774" spans="14:14" ht="14.25" customHeight="1">
      <c r="N774" s="192">
        <v>0</v>
      </c>
    </row>
    <row r="775" spans="14:14" ht="14.25" customHeight="1">
      <c r="N775" s="192">
        <v>0</v>
      </c>
    </row>
    <row r="776" spans="14:14" ht="14.25" customHeight="1">
      <c r="N776" s="192">
        <v>0</v>
      </c>
    </row>
    <row r="777" spans="14:14" ht="14.25" customHeight="1">
      <c r="N777" s="192">
        <v>0</v>
      </c>
    </row>
    <row r="778" spans="14:14" ht="14.25" customHeight="1">
      <c r="N778" s="192">
        <v>0</v>
      </c>
    </row>
    <row r="779" spans="14:14" ht="14.25" customHeight="1">
      <c r="N779" s="192">
        <v>0</v>
      </c>
    </row>
    <row r="780" spans="14:14" ht="14.25" customHeight="1">
      <c r="N780" s="192">
        <v>0</v>
      </c>
    </row>
    <row r="781" spans="14:14" ht="14.25" customHeight="1">
      <c r="N781" s="192">
        <v>0</v>
      </c>
    </row>
    <row r="782" spans="14:14" ht="14.25" customHeight="1">
      <c r="N782" s="192">
        <v>0</v>
      </c>
    </row>
    <row r="783" spans="14:14" ht="14.25" customHeight="1">
      <c r="N783" s="192">
        <v>0</v>
      </c>
    </row>
    <row r="784" spans="14:14" ht="14.25" customHeight="1">
      <c r="N784" s="192">
        <v>0</v>
      </c>
    </row>
    <row r="785" spans="14:14" ht="14.25" customHeight="1">
      <c r="N785" s="192">
        <v>0</v>
      </c>
    </row>
    <row r="786" spans="14:14" ht="14.25" customHeight="1">
      <c r="N786" s="192">
        <v>0</v>
      </c>
    </row>
    <row r="787" spans="14:14" ht="14.25" customHeight="1">
      <c r="N787" s="192">
        <v>0</v>
      </c>
    </row>
    <row r="788" spans="14:14" ht="14.25" customHeight="1">
      <c r="N788" s="192">
        <v>0</v>
      </c>
    </row>
    <row r="789" spans="14:14" ht="14.25" customHeight="1">
      <c r="N789" s="192">
        <v>0</v>
      </c>
    </row>
    <row r="790" spans="14:14" ht="14.25" customHeight="1">
      <c r="N790" s="192">
        <v>0</v>
      </c>
    </row>
    <row r="791" spans="14:14" ht="14.25" customHeight="1">
      <c r="N791" s="192">
        <v>0</v>
      </c>
    </row>
    <row r="792" spans="14:14" ht="14.25" customHeight="1">
      <c r="N792" s="192">
        <v>0</v>
      </c>
    </row>
    <row r="793" spans="14:14" ht="14.25" customHeight="1">
      <c r="N793" s="192">
        <v>0</v>
      </c>
    </row>
    <row r="794" spans="14:14" ht="14.25" customHeight="1">
      <c r="N794" s="192">
        <v>0</v>
      </c>
    </row>
    <row r="795" spans="14:14" ht="14.25" customHeight="1">
      <c r="N795" s="192">
        <v>0</v>
      </c>
    </row>
    <row r="796" spans="14:14" ht="14.25" customHeight="1">
      <c r="N796" s="192">
        <v>0</v>
      </c>
    </row>
    <row r="797" spans="14:14" ht="14.25" customHeight="1">
      <c r="N797" s="192">
        <v>0</v>
      </c>
    </row>
    <row r="798" spans="14:14" ht="14.25" customHeight="1">
      <c r="N798" s="192">
        <v>0</v>
      </c>
    </row>
    <row r="799" spans="14:14" ht="14.25" customHeight="1">
      <c r="N799" s="192">
        <v>0</v>
      </c>
    </row>
    <row r="800" spans="14:14" ht="14.25" customHeight="1">
      <c r="N800" s="192">
        <v>0</v>
      </c>
    </row>
    <row r="801" spans="14:14" ht="14.25" customHeight="1">
      <c r="N801" s="192">
        <v>0</v>
      </c>
    </row>
    <row r="802" spans="14:14" ht="14.25" customHeight="1">
      <c r="N802" s="192">
        <v>0</v>
      </c>
    </row>
    <row r="803" spans="14:14" ht="14.25" customHeight="1">
      <c r="N803" s="192">
        <v>0</v>
      </c>
    </row>
    <row r="804" spans="14:14" ht="14.25" customHeight="1">
      <c r="N804" s="192">
        <v>0</v>
      </c>
    </row>
    <row r="805" spans="14:14" ht="14.25" customHeight="1">
      <c r="N805" s="192">
        <v>0</v>
      </c>
    </row>
    <row r="806" spans="14:14" ht="14.25" customHeight="1">
      <c r="N806" s="192">
        <v>0</v>
      </c>
    </row>
    <row r="807" spans="14:14" ht="14.25" customHeight="1">
      <c r="N807" s="192">
        <v>0</v>
      </c>
    </row>
    <row r="808" spans="14:14" ht="14.25" customHeight="1">
      <c r="N808" s="192">
        <v>0</v>
      </c>
    </row>
    <row r="809" spans="14:14" ht="14.25" customHeight="1">
      <c r="N809" s="192">
        <v>0</v>
      </c>
    </row>
    <row r="810" spans="14:14" ht="14.25" customHeight="1">
      <c r="N810" s="192">
        <v>0</v>
      </c>
    </row>
    <row r="811" spans="14:14" ht="14.25" customHeight="1">
      <c r="N811" s="192">
        <v>0</v>
      </c>
    </row>
    <row r="812" spans="14:14" ht="14.25" customHeight="1">
      <c r="N812" s="192">
        <v>0</v>
      </c>
    </row>
    <row r="813" spans="14:14" ht="14.25" customHeight="1">
      <c r="N813" s="192">
        <v>0</v>
      </c>
    </row>
    <row r="814" spans="14:14" ht="14.25" customHeight="1">
      <c r="N814" s="192">
        <v>0</v>
      </c>
    </row>
    <row r="815" spans="14:14" ht="14.25" customHeight="1">
      <c r="N815" s="192">
        <v>0</v>
      </c>
    </row>
    <row r="816" spans="14:14" ht="14.25" customHeight="1">
      <c r="N816" s="192">
        <v>0</v>
      </c>
    </row>
    <row r="817" spans="14:14" ht="14.25" customHeight="1">
      <c r="N817" s="192">
        <v>0</v>
      </c>
    </row>
    <row r="818" spans="14:14" ht="14.25" customHeight="1">
      <c r="N818" s="192">
        <v>0</v>
      </c>
    </row>
    <row r="819" spans="14:14" ht="14.25" customHeight="1">
      <c r="N819" s="192">
        <v>0</v>
      </c>
    </row>
    <row r="820" spans="14:14" ht="14.25" customHeight="1">
      <c r="N820" s="192">
        <v>0</v>
      </c>
    </row>
    <row r="821" spans="14:14" ht="14.25" customHeight="1">
      <c r="N821" s="192">
        <v>0</v>
      </c>
    </row>
    <row r="822" spans="14:14" ht="14.25" customHeight="1">
      <c r="N822" s="192">
        <v>0</v>
      </c>
    </row>
    <row r="823" spans="14:14" ht="14.25" customHeight="1">
      <c r="N823" s="192">
        <v>0</v>
      </c>
    </row>
    <row r="824" spans="14:14" ht="14.25" customHeight="1">
      <c r="N824" s="192">
        <v>0</v>
      </c>
    </row>
    <row r="825" spans="14:14" ht="14.25" customHeight="1">
      <c r="N825" s="192">
        <v>0</v>
      </c>
    </row>
    <row r="826" spans="14:14" ht="14.25" customHeight="1">
      <c r="N826" s="192">
        <v>0</v>
      </c>
    </row>
    <row r="827" spans="14:14" ht="14.25" customHeight="1">
      <c r="N827" s="192">
        <v>0</v>
      </c>
    </row>
    <row r="828" spans="14:14" ht="14.25" customHeight="1">
      <c r="N828" s="192">
        <v>0</v>
      </c>
    </row>
    <row r="829" spans="14:14" ht="14.25" customHeight="1">
      <c r="N829" s="192">
        <v>0</v>
      </c>
    </row>
    <row r="830" spans="14:14" ht="14.25" customHeight="1">
      <c r="N830" s="192">
        <v>0</v>
      </c>
    </row>
    <row r="831" spans="14:14" ht="14.25" customHeight="1">
      <c r="N831" s="192">
        <v>0</v>
      </c>
    </row>
    <row r="832" spans="14:14" ht="14.25" customHeight="1">
      <c r="N832" s="192">
        <v>0</v>
      </c>
    </row>
    <row r="833" spans="14:14" ht="14.25" customHeight="1">
      <c r="N833" s="192">
        <v>0</v>
      </c>
    </row>
    <row r="834" spans="14:14" ht="14.25" customHeight="1">
      <c r="N834" s="192">
        <v>0</v>
      </c>
    </row>
    <row r="835" spans="14:14" ht="14.25" customHeight="1">
      <c r="N835" s="192">
        <v>0</v>
      </c>
    </row>
    <row r="836" spans="14:14" ht="14.25" customHeight="1">
      <c r="N836" s="192">
        <v>0</v>
      </c>
    </row>
    <row r="837" spans="14:14" ht="14.25" customHeight="1">
      <c r="N837" s="192">
        <v>0</v>
      </c>
    </row>
    <row r="838" spans="14:14" ht="14.25" customHeight="1">
      <c r="N838" s="192">
        <v>0</v>
      </c>
    </row>
    <row r="839" spans="14:14" ht="14.25" customHeight="1">
      <c r="N839" s="192">
        <v>0</v>
      </c>
    </row>
    <row r="840" spans="14:14" ht="14.25" customHeight="1">
      <c r="N840" s="192">
        <v>0</v>
      </c>
    </row>
    <row r="841" spans="14:14" ht="14.25" customHeight="1">
      <c r="N841" s="192">
        <v>0</v>
      </c>
    </row>
    <row r="842" spans="14:14" ht="14.25" customHeight="1">
      <c r="N842" s="192">
        <v>0</v>
      </c>
    </row>
    <row r="843" spans="14:14" ht="14.25" customHeight="1">
      <c r="N843" s="192">
        <v>0</v>
      </c>
    </row>
    <row r="844" spans="14:14" ht="14.25" customHeight="1">
      <c r="N844" s="192">
        <v>0</v>
      </c>
    </row>
    <row r="845" spans="14:14" ht="14.25" customHeight="1">
      <c r="N845" s="192">
        <v>0</v>
      </c>
    </row>
    <row r="846" spans="14:14" ht="14.25" customHeight="1">
      <c r="N846" s="192">
        <v>0</v>
      </c>
    </row>
    <row r="847" spans="14:14" ht="14.25" customHeight="1">
      <c r="N847" s="192">
        <v>0</v>
      </c>
    </row>
    <row r="848" spans="14:14" ht="14.25" customHeight="1">
      <c r="N848" s="192">
        <v>0</v>
      </c>
    </row>
    <row r="849" spans="14:14" ht="14.25" customHeight="1">
      <c r="N849" s="192">
        <v>0</v>
      </c>
    </row>
    <row r="850" spans="14:14" ht="14.25" customHeight="1">
      <c r="N850" s="192">
        <v>0</v>
      </c>
    </row>
    <row r="851" spans="14:14" ht="14.25" customHeight="1">
      <c r="N851" s="192">
        <v>0</v>
      </c>
    </row>
    <row r="852" spans="14:14" ht="14.25" customHeight="1">
      <c r="N852" s="192">
        <v>0</v>
      </c>
    </row>
    <row r="853" spans="14:14" ht="14.25" customHeight="1">
      <c r="N853" s="192">
        <v>0</v>
      </c>
    </row>
    <row r="854" spans="14:14" ht="14.25" customHeight="1">
      <c r="N854" s="192">
        <v>0</v>
      </c>
    </row>
    <row r="855" spans="14:14" ht="14.25" customHeight="1">
      <c r="N855" s="192">
        <v>0</v>
      </c>
    </row>
    <row r="856" spans="14:14" ht="14.25" customHeight="1">
      <c r="N856" s="192">
        <v>0</v>
      </c>
    </row>
    <row r="857" spans="14:14" ht="14.25" customHeight="1">
      <c r="N857" s="192">
        <v>0</v>
      </c>
    </row>
    <row r="858" spans="14:14" ht="14.25" customHeight="1">
      <c r="N858" s="192">
        <v>0</v>
      </c>
    </row>
    <row r="859" spans="14:14" ht="14.25" customHeight="1">
      <c r="N859" s="192">
        <v>0</v>
      </c>
    </row>
    <row r="860" spans="14:14" ht="14.25" customHeight="1">
      <c r="N860" s="192">
        <v>0</v>
      </c>
    </row>
    <row r="861" spans="14:14" ht="14.25" customHeight="1">
      <c r="N861" s="192">
        <v>0</v>
      </c>
    </row>
    <row r="862" spans="14:14" ht="14.25" customHeight="1">
      <c r="N862" s="192">
        <v>0</v>
      </c>
    </row>
    <row r="863" spans="14:14" ht="14.25" customHeight="1">
      <c r="N863" s="192">
        <v>0</v>
      </c>
    </row>
    <row r="864" spans="14:14" ht="14.25" customHeight="1">
      <c r="N864" s="192">
        <v>0</v>
      </c>
    </row>
    <row r="865" spans="14:14" ht="14.25" customHeight="1">
      <c r="N865" s="192">
        <v>0</v>
      </c>
    </row>
    <row r="866" spans="14:14" ht="14.25" customHeight="1">
      <c r="N866" s="192">
        <v>0</v>
      </c>
    </row>
    <row r="867" spans="14:14" ht="14.25" customHeight="1">
      <c r="N867" s="192">
        <v>0</v>
      </c>
    </row>
    <row r="868" spans="14:14" ht="14.25" customHeight="1">
      <c r="N868" s="192">
        <v>0</v>
      </c>
    </row>
    <row r="869" spans="14:14" ht="14.25" customHeight="1">
      <c r="N869" s="192">
        <v>0</v>
      </c>
    </row>
    <row r="870" spans="14:14" ht="14.25" customHeight="1">
      <c r="N870" s="192">
        <v>0</v>
      </c>
    </row>
    <row r="871" spans="14:14" ht="14.25" customHeight="1">
      <c r="N871" s="192">
        <v>0</v>
      </c>
    </row>
    <row r="872" spans="14:14" ht="14.25" customHeight="1">
      <c r="N872" s="192">
        <v>0</v>
      </c>
    </row>
    <row r="873" spans="14:14" ht="14.25" customHeight="1">
      <c r="N873" s="192">
        <v>0</v>
      </c>
    </row>
    <row r="874" spans="14:14" ht="14.25" customHeight="1">
      <c r="N874" s="192">
        <v>0</v>
      </c>
    </row>
    <row r="875" spans="14:14" ht="14.25" customHeight="1">
      <c r="N875" s="192">
        <v>0</v>
      </c>
    </row>
    <row r="876" spans="14:14" ht="14.25" customHeight="1">
      <c r="N876" s="192">
        <v>0</v>
      </c>
    </row>
    <row r="877" spans="14:14" ht="14.25" customHeight="1">
      <c r="N877" s="192">
        <v>0</v>
      </c>
    </row>
    <row r="878" spans="14:14" ht="14.25" customHeight="1">
      <c r="N878" s="192">
        <v>0</v>
      </c>
    </row>
    <row r="879" spans="14:14" ht="14.25" customHeight="1">
      <c r="N879" s="192">
        <v>0</v>
      </c>
    </row>
    <row r="880" spans="14:14" ht="14.25" customHeight="1">
      <c r="N880" s="192">
        <v>0</v>
      </c>
    </row>
    <row r="881" spans="14:14" ht="14.25" customHeight="1">
      <c r="N881" s="192">
        <v>0</v>
      </c>
    </row>
    <row r="882" spans="14:14" ht="14.25" customHeight="1">
      <c r="N882" s="192">
        <v>0</v>
      </c>
    </row>
    <row r="883" spans="14:14" ht="14.25" customHeight="1">
      <c r="N883" s="192">
        <v>0</v>
      </c>
    </row>
    <row r="884" spans="14:14" ht="14.25" customHeight="1">
      <c r="N884" s="192">
        <v>0</v>
      </c>
    </row>
    <row r="885" spans="14:14" ht="14.25" customHeight="1">
      <c r="N885" s="192">
        <v>0</v>
      </c>
    </row>
    <row r="886" spans="14:14" ht="14.25" customHeight="1">
      <c r="N886" s="192">
        <v>0</v>
      </c>
    </row>
    <row r="887" spans="14:14" ht="14.25" customHeight="1">
      <c r="N887" s="192">
        <v>0</v>
      </c>
    </row>
    <row r="888" spans="14:14" ht="14.25" customHeight="1">
      <c r="N888" s="192">
        <v>0</v>
      </c>
    </row>
    <row r="889" spans="14:14" ht="14.25" customHeight="1">
      <c r="N889" s="192">
        <v>0</v>
      </c>
    </row>
    <row r="890" spans="14:14" ht="14.25" customHeight="1">
      <c r="N890" s="192">
        <v>0</v>
      </c>
    </row>
    <row r="891" spans="14:14" ht="14.25" customHeight="1">
      <c r="N891" s="192">
        <v>0</v>
      </c>
    </row>
    <row r="892" spans="14:14" ht="14.25" customHeight="1">
      <c r="N892" s="192">
        <v>0</v>
      </c>
    </row>
    <row r="893" spans="14:14" ht="14.25" customHeight="1">
      <c r="N893" s="192">
        <v>0</v>
      </c>
    </row>
    <row r="894" spans="14:14" ht="14.25" customHeight="1">
      <c r="N894" s="192">
        <v>0</v>
      </c>
    </row>
    <row r="895" spans="14:14" ht="14.25" customHeight="1">
      <c r="N895" s="192">
        <v>0</v>
      </c>
    </row>
    <row r="896" spans="14:14" ht="14.25" customHeight="1">
      <c r="N896" s="192">
        <v>0</v>
      </c>
    </row>
    <row r="897" spans="14:14" ht="14.25" customHeight="1">
      <c r="N897" s="192">
        <v>0</v>
      </c>
    </row>
    <row r="898" spans="14:14" ht="14.25" customHeight="1">
      <c r="N898" s="192">
        <v>0</v>
      </c>
    </row>
    <row r="899" spans="14:14" ht="14.25" customHeight="1">
      <c r="N899" s="192">
        <v>0</v>
      </c>
    </row>
    <row r="900" spans="14:14" ht="14.25" customHeight="1">
      <c r="N900" s="192">
        <v>0</v>
      </c>
    </row>
    <row r="901" spans="14:14" ht="14.25" customHeight="1">
      <c r="N901" s="192">
        <v>0</v>
      </c>
    </row>
    <row r="902" spans="14:14" ht="14.25" customHeight="1">
      <c r="N902" s="192">
        <v>0</v>
      </c>
    </row>
    <row r="903" spans="14:14" ht="14.25" customHeight="1">
      <c r="N903" s="192">
        <v>0</v>
      </c>
    </row>
    <row r="904" spans="14:14" ht="14.25" customHeight="1">
      <c r="N904" s="192">
        <v>0</v>
      </c>
    </row>
    <row r="905" spans="14:14" ht="14.25" customHeight="1">
      <c r="N905" s="192">
        <v>0</v>
      </c>
    </row>
    <row r="906" spans="14:14" ht="14.25" customHeight="1">
      <c r="N906" s="192">
        <v>0</v>
      </c>
    </row>
    <row r="907" spans="14:14" ht="14.25" customHeight="1">
      <c r="N907" s="192">
        <v>0</v>
      </c>
    </row>
    <row r="908" spans="14:14" ht="14.25" customHeight="1">
      <c r="N908" s="192">
        <v>0</v>
      </c>
    </row>
    <row r="909" spans="14:14" ht="14.25" customHeight="1">
      <c r="N909" s="192">
        <v>0</v>
      </c>
    </row>
    <row r="910" spans="14:14" ht="14.25" customHeight="1">
      <c r="N910" s="192">
        <v>0</v>
      </c>
    </row>
    <row r="911" spans="14:14" ht="14.25" customHeight="1">
      <c r="N911" s="192">
        <v>0</v>
      </c>
    </row>
    <row r="912" spans="14:14" ht="14.25" customHeight="1">
      <c r="N912" s="192">
        <v>0</v>
      </c>
    </row>
    <row r="913" spans="14:14" ht="14.25" customHeight="1">
      <c r="N913" s="192">
        <v>0</v>
      </c>
    </row>
    <row r="914" spans="14:14" ht="14.25" customHeight="1">
      <c r="N914" s="192">
        <v>0</v>
      </c>
    </row>
    <row r="915" spans="14:14" ht="14.25" customHeight="1">
      <c r="N915" s="192">
        <v>0</v>
      </c>
    </row>
    <row r="916" spans="14:14" ht="14.25" customHeight="1">
      <c r="N916" s="192">
        <v>0</v>
      </c>
    </row>
    <row r="917" spans="14:14" ht="14.25" customHeight="1">
      <c r="N917" s="192">
        <v>0</v>
      </c>
    </row>
    <row r="918" spans="14:14" ht="14.25" customHeight="1">
      <c r="N918" s="192">
        <v>0</v>
      </c>
    </row>
    <row r="919" spans="14:14" ht="14.25" customHeight="1">
      <c r="N919" s="192">
        <v>0</v>
      </c>
    </row>
    <row r="920" spans="14:14" ht="14.25" customHeight="1">
      <c r="N920" s="192">
        <v>0</v>
      </c>
    </row>
    <row r="921" spans="14:14" ht="14.25" customHeight="1">
      <c r="N921" s="192">
        <v>0</v>
      </c>
    </row>
    <row r="922" spans="14:14" ht="14.25" customHeight="1">
      <c r="N922" s="192">
        <v>0</v>
      </c>
    </row>
    <row r="923" spans="14:14" ht="14.25" customHeight="1">
      <c r="N923" s="192">
        <v>0</v>
      </c>
    </row>
    <row r="924" spans="14:14" ht="14.25" customHeight="1">
      <c r="N924" s="192">
        <v>0</v>
      </c>
    </row>
    <row r="925" spans="14:14" ht="14.25" customHeight="1">
      <c r="N925" s="192">
        <v>0</v>
      </c>
    </row>
    <row r="926" spans="14:14" ht="14.25" customHeight="1">
      <c r="N926" s="192">
        <v>0</v>
      </c>
    </row>
    <row r="927" spans="14:14" ht="14.25" customHeight="1">
      <c r="N927" s="192">
        <v>0</v>
      </c>
    </row>
    <row r="928" spans="14:14" ht="14.25" customHeight="1">
      <c r="N928" s="192">
        <v>0</v>
      </c>
    </row>
    <row r="929" spans="14:14" ht="14.25" customHeight="1">
      <c r="N929" s="192">
        <v>0</v>
      </c>
    </row>
    <row r="930" spans="14:14" ht="14.25" customHeight="1">
      <c r="N930" s="192">
        <v>0</v>
      </c>
    </row>
    <row r="931" spans="14:14" ht="14.25" customHeight="1">
      <c r="N931" s="192">
        <v>0</v>
      </c>
    </row>
    <row r="932" spans="14:14" ht="14.25" customHeight="1">
      <c r="N932" s="192">
        <v>0</v>
      </c>
    </row>
    <row r="933" spans="14:14" ht="14.25" customHeight="1">
      <c r="N933" s="192">
        <v>0</v>
      </c>
    </row>
    <row r="934" spans="14:14" ht="14.25" customHeight="1">
      <c r="N934" s="192">
        <v>0</v>
      </c>
    </row>
    <row r="935" spans="14:14" ht="14.25" customHeight="1">
      <c r="N935" s="192">
        <v>0</v>
      </c>
    </row>
    <row r="936" spans="14:14" ht="14.25" customHeight="1">
      <c r="N936" s="192">
        <v>0</v>
      </c>
    </row>
    <row r="937" spans="14:14" ht="14.25" customHeight="1">
      <c r="N937" s="192">
        <v>0</v>
      </c>
    </row>
    <row r="938" spans="14:14" ht="14.25" customHeight="1">
      <c r="N938" s="192">
        <v>0</v>
      </c>
    </row>
    <row r="939" spans="14:14" ht="14.25" customHeight="1">
      <c r="N939" s="192">
        <v>0</v>
      </c>
    </row>
    <row r="940" spans="14:14" ht="14.25" customHeight="1">
      <c r="N940" s="192">
        <v>0</v>
      </c>
    </row>
    <row r="941" spans="14:14" ht="14.25" customHeight="1">
      <c r="N941" s="192">
        <v>0</v>
      </c>
    </row>
    <row r="942" spans="14:14" ht="14.25" customHeight="1">
      <c r="N942" s="192">
        <v>0</v>
      </c>
    </row>
    <row r="943" spans="14:14" ht="14.25" customHeight="1">
      <c r="N943" s="192">
        <v>0</v>
      </c>
    </row>
    <row r="944" spans="14:14" ht="14.25" customHeight="1">
      <c r="N944" s="192">
        <v>0</v>
      </c>
    </row>
    <row r="945" spans="14:14" ht="14.25" customHeight="1">
      <c r="N945" s="192">
        <v>0</v>
      </c>
    </row>
    <row r="946" spans="14:14" ht="14.25" customHeight="1">
      <c r="N946" s="192">
        <v>0</v>
      </c>
    </row>
    <row r="947" spans="14:14" ht="14.25" customHeight="1">
      <c r="N947" s="192">
        <v>0</v>
      </c>
    </row>
    <row r="948" spans="14:14" ht="14.25" customHeight="1">
      <c r="N948" s="192">
        <v>0</v>
      </c>
    </row>
    <row r="949" spans="14:14" ht="14.25" customHeight="1">
      <c r="N949" s="192">
        <v>0</v>
      </c>
    </row>
    <row r="950" spans="14:14" ht="14.25" customHeight="1">
      <c r="N950" s="192">
        <v>0</v>
      </c>
    </row>
    <row r="951" spans="14:14" ht="14.25" customHeight="1">
      <c r="N951" s="192">
        <v>0</v>
      </c>
    </row>
    <row r="952" spans="14:14" ht="14.25" customHeight="1">
      <c r="N952" s="192">
        <v>0</v>
      </c>
    </row>
    <row r="953" spans="14:14" ht="14.25" customHeight="1">
      <c r="N953" s="192">
        <v>0</v>
      </c>
    </row>
    <row r="954" spans="14:14" ht="14.25" customHeight="1">
      <c r="N954" s="192">
        <v>0</v>
      </c>
    </row>
    <row r="955" spans="14:14" ht="14.25" customHeight="1">
      <c r="N955" s="192">
        <v>0</v>
      </c>
    </row>
    <row r="956" spans="14:14" ht="14.25" customHeight="1">
      <c r="N956" s="192">
        <v>0</v>
      </c>
    </row>
    <row r="957" spans="14:14" ht="14.25" customHeight="1">
      <c r="N957" s="192">
        <v>0</v>
      </c>
    </row>
    <row r="958" spans="14:14" ht="14.25" customHeight="1">
      <c r="N958" s="192">
        <v>0</v>
      </c>
    </row>
    <row r="959" spans="14:14" ht="14.25" customHeight="1">
      <c r="N959" s="192">
        <v>0</v>
      </c>
    </row>
    <row r="960" spans="14:14" ht="14.25" customHeight="1">
      <c r="N960" s="192">
        <v>0</v>
      </c>
    </row>
    <row r="961" spans="14:14" ht="14.25" customHeight="1">
      <c r="N961" s="192">
        <v>0</v>
      </c>
    </row>
    <row r="962" spans="14:14" ht="14.25" customHeight="1">
      <c r="N962" s="192">
        <v>0</v>
      </c>
    </row>
    <row r="963" spans="14:14" ht="14.25" customHeight="1">
      <c r="N963" s="192">
        <v>0</v>
      </c>
    </row>
    <row r="964" spans="14:14" ht="14.25" customHeight="1">
      <c r="N964" s="192">
        <v>0</v>
      </c>
    </row>
    <row r="965" spans="14:14" ht="14.25" customHeight="1">
      <c r="N965" s="192">
        <v>0</v>
      </c>
    </row>
    <row r="966" spans="14:14" ht="14.25" customHeight="1">
      <c r="N966" s="192">
        <v>0</v>
      </c>
    </row>
    <row r="967" spans="14:14" ht="14.25" customHeight="1">
      <c r="N967" s="192">
        <v>0</v>
      </c>
    </row>
    <row r="968" spans="14:14" ht="14.25" customHeight="1">
      <c r="N968" s="192">
        <v>0</v>
      </c>
    </row>
    <row r="969" spans="14:14" ht="14.25" customHeight="1">
      <c r="N969" s="192">
        <v>0</v>
      </c>
    </row>
    <row r="970" spans="14:14" ht="14.25" customHeight="1">
      <c r="N970" s="192">
        <v>0</v>
      </c>
    </row>
    <row r="971" spans="14:14" ht="14.25" customHeight="1">
      <c r="N971" s="192">
        <v>0</v>
      </c>
    </row>
    <row r="972" spans="14:14" ht="14.25" customHeight="1">
      <c r="N972" s="192">
        <v>0</v>
      </c>
    </row>
    <row r="973" spans="14:14" ht="14.25" customHeight="1">
      <c r="N973" s="192">
        <v>0</v>
      </c>
    </row>
    <row r="974" spans="14:14" ht="14.25" customHeight="1">
      <c r="N974" s="192">
        <v>0</v>
      </c>
    </row>
    <row r="975" spans="14:14" ht="14.25" customHeight="1">
      <c r="N975" s="192">
        <v>0</v>
      </c>
    </row>
    <row r="976" spans="14:14" ht="14.25" customHeight="1">
      <c r="N976" s="192">
        <v>0</v>
      </c>
    </row>
    <row r="977" spans="14:14" ht="14.25" customHeight="1">
      <c r="N977" s="192">
        <v>0</v>
      </c>
    </row>
    <row r="978" spans="14:14" ht="14.25" customHeight="1">
      <c r="N978" s="192">
        <v>0</v>
      </c>
    </row>
    <row r="979" spans="14:14" ht="14.25" customHeight="1">
      <c r="N979" s="192">
        <v>0</v>
      </c>
    </row>
    <row r="980" spans="14:14" ht="14.25" customHeight="1">
      <c r="N980" s="192">
        <v>0</v>
      </c>
    </row>
    <row r="981" spans="14:14" ht="14.25" customHeight="1">
      <c r="N981" s="192">
        <v>0</v>
      </c>
    </row>
    <row r="982" spans="14:14" ht="14.25" customHeight="1">
      <c r="N982" s="192">
        <v>0</v>
      </c>
    </row>
    <row r="983" spans="14:14" ht="14.25" customHeight="1">
      <c r="N983" s="192">
        <v>0</v>
      </c>
    </row>
    <row r="984" spans="14:14" ht="14.25" customHeight="1">
      <c r="N984" s="192">
        <v>0</v>
      </c>
    </row>
    <row r="985" spans="14:14" ht="14.25" customHeight="1">
      <c r="N985" s="192">
        <v>0</v>
      </c>
    </row>
    <row r="986" spans="14:14" ht="14.25" customHeight="1">
      <c r="N986" s="192">
        <v>0</v>
      </c>
    </row>
    <row r="987" spans="14:14" ht="14.25" customHeight="1">
      <c r="N987" s="192">
        <v>0</v>
      </c>
    </row>
    <row r="988" spans="14:14" ht="14.25" customHeight="1">
      <c r="N988" s="192">
        <v>0</v>
      </c>
    </row>
    <row r="989" spans="14:14" ht="14.25" customHeight="1">
      <c r="N989" s="192">
        <v>0</v>
      </c>
    </row>
    <row r="990" spans="14:14" ht="14.25" customHeight="1">
      <c r="N990" s="192">
        <v>0</v>
      </c>
    </row>
    <row r="991" spans="14:14" ht="14.25" customHeight="1">
      <c r="N991" s="192">
        <v>0</v>
      </c>
    </row>
    <row r="992" spans="14:14" ht="14.25" customHeight="1">
      <c r="N992" s="192">
        <v>0</v>
      </c>
    </row>
    <row r="993" spans="14:14" ht="14.25" customHeight="1">
      <c r="N993" s="192">
        <v>0</v>
      </c>
    </row>
    <row r="994" spans="14:14" ht="14.25" customHeight="1">
      <c r="N994" s="192">
        <v>0</v>
      </c>
    </row>
    <row r="995" spans="14:14" ht="14.25" customHeight="1">
      <c r="N995" s="192">
        <v>0</v>
      </c>
    </row>
    <row r="996" spans="14:14" ht="14.25" customHeight="1">
      <c r="N996" s="192">
        <v>0</v>
      </c>
    </row>
    <row r="997" spans="14:14" ht="14.25" customHeight="1">
      <c r="N997" s="192">
        <v>0</v>
      </c>
    </row>
    <row r="998" spans="14:14" ht="14.25" customHeight="1">
      <c r="N998" s="192">
        <v>0</v>
      </c>
    </row>
    <row r="999" spans="14:14" ht="14.25" customHeight="1">
      <c r="N999" s="192">
        <v>0</v>
      </c>
    </row>
    <row r="1000" spans="14:14" ht="14.25" customHeight="1">
      <c r="N1000" s="192">
        <v>0</v>
      </c>
    </row>
    <row r="1001" spans="14:14" ht="14.25" customHeight="1">
      <c r="N1001" s="192">
        <v>0</v>
      </c>
    </row>
    <row r="1002" spans="14:14" ht="14.25" customHeight="1">
      <c r="N1002" s="192">
        <v>0</v>
      </c>
    </row>
    <row r="1003" spans="14:14" ht="14.25" customHeight="1">
      <c r="N1003" s="192">
        <v>0</v>
      </c>
    </row>
    <row r="1004" spans="14:14" ht="14.25" customHeight="1">
      <c r="N1004" s="192">
        <v>0</v>
      </c>
    </row>
    <row r="1005" spans="14:14" ht="14.25" customHeight="1">
      <c r="N1005" s="192">
        <v>0</v>
      </c>
    </row>
    <row r="1006" spans="14:14" ht="14.25" customHeight="1">
      <c r="N1006" s="192">
        <v>0</v>
      </c>
    </row>
    <row r="1007" spans="14:14" ht="14.25" customHeight="1">
      <c r="N1007" s="192">
        <v>0</v>
      </c>
    </row>
    <row r="1008" spans="14:14" ht="14.25" customHeight="1">
      <c r="N1008" s="192">
        <v>0</v>
      </c>
    </row>
    <row r="1009" spans="14:14" ht="14.25" customHeight="1">
      <c r="N1009" s="192">
        <v>0</v>
      </c>
    </row>
    <row r="1010" spans="14:14" ht="14.25" customHeight="1">
      <c r="N1010" s="192">
        <v>0</v>
      </c>
    </row>
    <row r="1011" spans="14:14" ht="14.25" customHeight="1">
      <c r="N1011" s="192">
        <v>0</v>
      </c>
    </row>
    <row r="1012" spans="14:14" ht="14.25" customHeight="1">
      <c r="N1012" s="192">
        <v>0</v>
      </c>
    </row>
    <row r="1013" spans="14:14" ht="14.25" customHeight="1">
      <c r="N1013" s="192">
        <v>0</v>
      </c>
    </row>
    <row r="1014" spans="14:14" ht="14.25" customHeight="1">
      <c r="N1014" s="192">
        <v>0</v>
      </c>
    </row>
    <row r="1015" spans="14:14" ht="14.25" customHeight="1">
      <c r="N1015" s="192">
        <v>0</v>
      </c>
    </row>
    <row r="1016" spans="14:14" ht="14.25" customHeight="1">
      <c r="N1016" s="192">
        <v>0</v>
      </c>
    </row>
    <row r="1017" spans="14:14" ht="14.25" customHeight="1">
      <c r="N1017" s="192">
        <v>0</v>
      </c>
    </row>
    <row r="1018" spans="14:14" ht="14.25" customHeight="1">
      <c r="N1018" s="192">
        <v>0</v>
      </c>
    </row>
    <row r="1019" spans="14:14" ht="14.25" customHeight="1">
      <c r="N1019" s="192">
        <v>0</v>
      </c>
    </row>
    <row r="1020" spans="14:14" ht="14.25" customHeight="1">
      <c r="N1020" s="192">
        <v>0</v>
      </c>
    </row>
    <row r="1021" spans="14:14" ht="14.25" customHeight="1">
      <c r="N1021" s="192">
        <v>0</v>
      </c>
    </row>
    <row r="1022" spans="14:14" ht="14.25" customHeight="1">
      <c r="N1022" s="192">
        <v>0</v>
      </c>
    </row>
    <row r="1023" spans="14:14" ht="14.25" customHeight="1">
      <c r="N1023" s="192">
        <v>0</v>
      </c>
    </row>
    <row r="1024" spans="14:14" ht="14.25" customHeight="1">
      <c r="N1024" s="192">
        <v>0</v>
      </c>
    </row>
    <row r="1025" spans="14:14" ht="14.25" customHeight="1">
      <c r="N1025" s="192">
        <v>0</v>
      </c>
    </row>
    <row r="1026" spans="14:14" ht="14.25" customHeight="1">
      <c r="N1026" s="192">
        <v>0</v>
      </c>
    </row>
    <row r="1027" spans="14:14" ht="14.25" customHeight="1">
      <c r="N1027" s="192">
        <v>0</v>
      </c>
    </row>
    <row r="1028" spans="14:14" ht="14.25" customHeight="1">
      <c r="N1028" s="192">
        <v>0</v>
      </c>
    </row>
    <row r="1029" spans="14:14" ht="14.25" customHeight="1">
      <c r="N1029" s="192">
        <v>0</v>
      </c>
    </row>
    <row r="1030" spans="14:14" ht="14.25" customHeight="1">
      <c r="N1030" s="192">
        <v>0</v>
      </c>
    </row>
    <row r="1031" spans="14:14" ht="14.25" customHeight="1">
      <c r="N1031" s="192">
        <v>0</v>
      </c>
    </row>
    <row r="1032" spans="14:14" ht="14.25" customHeight="1">
      <c r="N1032" s="192">
        <v>0</v>
      </c>
    </row>
    <row r="1033" spans="14:14" ht="14.25" customHeight="1">
      <c r="N1033" s="192">
        <v>0</v>
      </c>
    </row>
    <row r="1034" spans="14:14" ht="14.25" customHeight="1">
      <c r="N1034" s="192">
        <v>0</v>
      </c>
    </row>
    <row r="1035" spans="14:14" ht="14.25" customHeight="1">
      <c r="N1035" s="192">
        <v>0</v>
      </c>
    </row>
    <row r="1036" spans="14:14" ht="14.25" customHeight="1">
      <c r="N1036" s="192">
        <v>0</v>
      </c>
    </row>
    <row r="1037" spans="14:14" ht="14.25" customHeight="1">
      <c r="N1037" s="192">
        <v>0</v>
      </c>
    </row>
    <row r="1038" spans="14:14" ht="14.25" customHeight="1">
      <c r="N1038" s="192">
        <v>0</v>
      </c>
    </row>
    <row r="1039" spans="14:14" ht="14.25" customHeight="1">
      <c r="N1039" s="192">
        <v>0</v>
      </c>
    </row>
    <row r="1040" spans="14:14" ht="14.25" customHeight="1">
      <c r="N1040" s="192">
        <v>0</v>
      </c>
    </row>
    <row r="1041" spans="14:14" ht="14.25" customHeight="1">
      <c r="N1041" s="192">
        <v>0</v>
      </c>
    </row>
    <row r="1042" spans="14:14" ht="14.25" customHeight="1">
      <c r="N1042" s="192">
        <v>0</v>
      </c>
    </row>
    <row r="1043" spans="14:14" ht="14.25" customHeight="1">
      <c r="N1043" s="192">
        <v>0</v>
      </c>
    </row>
    <row r="1044" spans="14:14" ht="14.25" customHeight="1">
      <c r="N1044" s="192">
        <v>0</v>
      </c>
    </row>
    <row r="1045" spans="14:14" ht="14.25" customHeight="1">
      <c r="N1045" s="192">
        <v>0</v>
      </c>
    </row>
    <row r="1046" spans="14:14" ht="14.25" customHeight="1">
      <c r="N1046" s="192">
        <v>0</v>
      </c>
    </row>
    <row r="1047" spans="14:14" ht="14.25" customHeight="1">
      <c r="N1047" s="192">
        <v>0</v>
      </c>
    </row>
    <row r="1048" spans="14:14" ht="14.25" customHeight="1">
      <c r="N1048" s="192">
        <v>0</v>
      </c>
    </row>
    <row r="1049" spans="14:14" ht="14.25" customHeight="1">
      <c r="N1049" s="192">
        <v>0</v>
      </c>
    </row>
    <row r="1050" spans="14:14" ht="14.25" customHeight="1">
      <c r="N1050" s="192">
        <v>0</v>
      </c>
    </row>
    <row r="1051" spans="14:14" ht="14.25" customHeight="1">
      <c r="N1051" s="192">
        <v>0</v>
      </c>
    </row>
    <row r="1052" spans="14:14" ht="14.25" customHeight="1">
      <c r="N1052" s="192">
        <v>0</v>
      </c>
    </row>
    <row r="1053" spans="14:14" ht="14.25" customHeight="1">
      <c r="N1053" s="192">
        <v>0</v>
      </c>
    </row>
    <row r="1054" spans="14:14" ht="14.25" customHeight="1">
      <c r="N1054" s="192">
        <v>0</v>
      </c>
    </row>
    <row r="1055" spans="14:14" ht="14.25" customHeight="1">
      <c r="N1055" s="192">
        <v>0</v>
      </c>
    </row>
    <row r="1056" spans="14:14" ht="14.25" customHeight="1">
      <c r="N1056" s="192">
        <v>0</v>
      </c>
    </row>
    <row r="1057" spans="14:14" ht="14.25" customHeight="1">
      <c r="N1057" s="192">
        <v>0</v>
      </c>
    </row>
    <row r="1058" spans="14:14" ht="14.25" customHeight="1">
      <c r="N1058" s="192">
        <v>0</v>
      </c>
    </row>
    <row r="1059" spans="14:14" ht="14.25" customHeight="1">
      <c r="N1059" s="192">
        <v>0</v>
      </c>
    </row>
    <row r="1060" spans="14:14" ht="14.25" customHeight="1">
      <c r="N1060" s="192">
        <v>0</v>
      </c>
    </row>
    <row r="1061" spans="14:14" ht="14.25" customHeight="1">
      <c r="N1061" s="192">
        <v>0</v>
      </c>
    </row>
    <row r="1062" spans="14:14" ht="14.25" customHeight="1">
      <c r="N1062" s="192">
        <v>0</v>
      </c>
    </row>
    <row r="1063" spans="14:14" ht="14.25" customHeight="1">
      <c r="N1063" s="192">
        <v>0</v>
      </c>
    </row>
    <row r="1064" spans="14:14" ht="14.25" customHeight="1">
      <c r="N1064" s="192">
        <v>0</v>
      </c>
    </row>
    <row r="1065" spans="14:14" ht="14.25" customHeight="1">
      <c r="N1065" s="192">
        <v>0</v>
      </c>
    </row>
    <row r="1066" spans="14:14" ht="14.25" customHeight="1">
      <c r="N1066" s="192">
        <v>0</v>
      </c>
    </row>
    <row r="1067" spans="14:14" ht="14.25" customHeight="1">
      <c r="N1067" s="192">
        <v>0</v>
      </c>
    </row>
    <row r="1068" spans="14:14" ht="14.25" customHeight="1">
      <c r="N1068" s="192">
        <v>0</v>
      </c>
    </row>
    <row r="1069" spans="14:14" ht="14.25" customHeight="1">
      <c r="N1069" s="192">
        <v>0</v>
      </c>
    </row>
    <row r="1070" spans="14:14" ht="14.25" customHeight="1">
      <c r="N1070" s="192">
        <v>0</v>
      </c>
    </row>
    <row r="1071" spans="14:14" ht="14.25" customHeight="1">
      <c r="N1071" s="192">
        <v>0</v>
      </c>
    </row>
    <row r="1072" spans="14:14" ht="14.25" customHeight="1">
      <c r="N1072" s="192">
        <v>0</v>
      </c>
    </row>
    <row r="1073" spans="14:14" ht="14.25" customHeight="1">
      <c r="N1073" s="192">
        <v>0</v>
      </c>
    </row>
    <row r="1074" spans="14:14" ht="14.25" customHeight="1">
      <c r="N1074" s="192">
        <v>0</v>
      </c>
    </row>
    <row r="1075" spans="14:14" ht="14.25" customHeight="1">
      <c r="N1075" s="192">
        <v>0</v>
      </c>
    </row>
    <row r="1076" spans="14:14" ht="14.25" customHeight="1">
      <c r="N1076" s="192">
        <v>0</v>
      </c>
    </row>
    <row r="1077" spans="14:14" ht="14.25" customHeight="1">
      <c r="N1077" s="192">
        <v>0</v>
      </c>
    </row>
    <row r="1078" spans="14:14" ht="14.25" customHeight="1">
      <c r="N1078" s="192">
        <v>0</v>
      </c>
    </row>
    <row r="1079" spans="14:14" ht="14.25" customHeight="1">
      <c r="N1079" s="192">
        <v>0</v>
      </c>
    </row>
    <row r="1080" spans="14:14" ht="14.25" customHeight="1">
      <c r="N1080" s="192">
        <v>0</v>
      </c>
    </row>
    <row r="1081" spans="14:14" ht="14.25" customHeight="1">
      <c r="N1081" s="192">
        <v>0</v>
      </c>
    </row>
    <row r="1082" spans="14:14" ht="14.25" customHeight="1">
      <c r="N1082" s="192">
        <v>0</v>
      </c>
    </row>
    <row r="1083" spans="14:14" ht="14.25" customHeight="1">
      <c r="N1083" s="192">
        <v>0</v>
      </c>
    </row>
    <row r="1084" spans="14:14" ht="14.25" customHeight="1">
      <c r="N1084" s="192">
        <v>0</v>
      </c>
    </row>
    <row r="1085" spans="14:14" ht="14.25" customHeight="1">
      <c r="N1085" s="192">
        <v>0</v>
      </c>
    </row>
    <row r="1086" spans="14:14" ht="14.25" customHeight="1">
      <c r="N1086" s="192">
        <v>0</v>
      </c>
    </row>
    <row r="1087" spans="14:14" ht="14.25" customHeight="1">
      <c r="N1087" s="192">
        <v>0</v>
      </c>
    </row>
    <row r="1088" spans="14:14" ht="14.25" customHeight="1">
      <c r="N1088" s="192">
        <v>0</v>
      </c>
    </row>
    <row r="1089" spans="14:14" ht="14.25" customHeight="1">
      <c r="N1089" s="192">
        <v>0</v>
      </c>
    </row>
    <row r="1090" spans="14:14" ht="14.25" customHeight="1">
      <c r="N1090" s="192">
        <v>0</v>
      </c>
    </row>
    <row r="1091" spans="14:14" ht="14.25" customHeight="1">
      <c r="N1091" s="192">
        <v>0</v>
      </c>
    </row>
    <row r="1092" spans="14:14" ht="14.25" customHeight="1">
      <c r="N1092" s="192">
        <v>0</v>
      </c>
    </row>
    <row r="1093" spans="14:14" ht="14.25" customHeight="1">
      <c r="N1093" s="192">
        <v>0</v>
      </c>
    </row>
    <row r="1094" spans="14:14" ht="14.25" customHeight="1">
      <c r="N1094" s="192">
        <v>0</v>
      </c>
    </row>
    <row r="1095" spans="14:14" ht="14.25" customHeight="1">
      <c r="N1095" s="192">
        <v>0</v>
      </c>
    </row>
    <row r="1096" spans="14:14" ht="14.25" customHeight="1">
      <c r="N1096" s="192">
        <v>0</v>
      </c>
    </row>
    <row r="1097" spans="14:14" ht="14.25" customHeight="1">
      <c r="N1097" s="192">
        <v>0</v>
      </c>
    </row>
    <row r="1098" spans="14:14" ht="14.25" customHeight="1">
      <c r="N1098" s="192">
        <v>0</v>
      </c>
    </row>
    <row r="1099" spans="14:14" ht="14.25" customHeight="1">
      <c r="N1099" s="192">
        <v>0</v>
      </c>
    </row>
    <row r="1100" spans="14:14" ht="14.25" customHeight="1">
      <c r="N1100" s="192">
        <v>0</v>
      </c>
    </row>
    <row r="1101" spans="14:14" ht="14.25" customHeight="1">
      <c r="N1101" s="192">
        <v>0</v>
      </c>
    </row>
    <row r="1102" spans="14:14" ht="14.25" customHeight="1">
      <c r="N1102" s="192">
        <v>0</v>
      </c>
    </row>
    <row r="1103" spans="14:14" ht="14.25" customHeight="1">
      <c r="N1103" s="192">
        <v>0</v>
      </c>
    </row>
    <row r="1104" spans="14:14" ht="14.25" customHeight="1">
      <c r="N1104" s="192">
        <v>0</v>
      </c>
    </row>
    <row r="1105" spans="14:14" ht="14.25" customHeight="1">
      <c r="N1105" s="192">
        <v>0</v>
      </c>
    </row>
    <row r="1106" spans="14:14" ht="14.25" customHeight="1">
      <c r="N1106" s="192">
        <v>0</v>
      </c>
    </row>
    <row r="1107" spans="14:14" ht="14.25" customHeight="1">
      <c r="N1107" s="192">
        <v>0</v>
      </c>
    </row>
    <row r="1108" spans="14:14" ht="14.25" customHeight="1">
      <c r="N1108" s="192">
        <v>0</v>
      </c>
    </row>
    <row r="1109" spans="14:14" ht="14.25" customHeight="1">
      <c r="N1109" s="192">
        <v>0</v>
      </c>
    </row>
    <row r="1110" spans="14:14" ht="14.25" customHeight="1">
      <c r="N1110" s="192">
        <v>0</v>
      </c>
    </row>
    <row r="1111" spans="14:14" ht="14.25" customHeight="1">
      <c r="N1111" s="192">
        <v>0</v>
      </c>
    </row>
    <row r="1112" spans="14:14" ht="14.25" customHeight="1">
      <c r="N1112" s="192">
        <v>0</v>
      </c>
    </row>
    <row r="1113" spans="14:14" ht="14.25" customHeight="1">
      <c r="N1113" s="192">
        <v>0</v>
      </c>
    </row>
    <row r="1114" spans="14:14" ht="14.25" customHeight="1">
      <c r="N1114" s="192">
        <v>0</v>
      </c>
    </row>
    <row r="1115" spans="14:14" ht="14.25" customHeight="1">
      <c r="N1115" s="192">
        <v>0</v>
      </c>
    </row>
    <row r="1116" spans="14:14" ht="14.25" customHeight="1">
      <c r="N1116" s="192">
        <v>0</v>
      </c>
    </row>
    <row r="1117" spans="14:14" ht="14.25" customHeight="1">
      <c r="N1117" s="192">
        <v>0</v>
      </c>
    </row>
    <row r="1118" spans="14:14" ht="14.25" customHeight="1">
      <c r="N1118" s="192">
        <v>0</v>
      </c>
    </row>
    <row r="1119" spans="14:14" ht="14.25" customHeight="1">
      <c r="N1119" s="192">
        <v>0</v>
      </c>
    </row>
    <row r="1120" spans="14:14" ht="14.25" customHeight="1">
      <c r="N1120" s="192">
        <v>0</v>
      </c>
    </row>
    <row r="1121" spans="14:14" ht="14.25" customHeight="1">
      <c r="N1121" s="192">
        <v>0</v>
      </c>
    </row>
    <row r="1122" spans="14:14" ht="14.25" customHeight="1">
      <c r="N1122" s="192">
        <v>0</v>
      </c>
    </row>
    <row r="1123" spans="14:14" ht="14.25" customHeight="1">
      <c r="N1123" s="192">
        <v>0</v>
      </c>
    </row>
    <row r="1124" spans="14:14" ht="14.25" customHeight="1">
      <c r="N1124" s="192">
        <v>0</v>
      </c>
    </row>
    <row r="1125" spans="14:14" ht="14.25" customHeight="1">
      <c r="N1125" s="192">
        <v>0</v>
      </c>
    </row>
    <row r="1126" spans="14:14" ht="14.25" customHeight="1">
      <c r="N1126" s="192">
        <v>0</v>
      </c>
    </row>
    <row r="1127" spans="14:14" ht="14.25" customHeight="1">
      <c r="N1127" s="192">
        <v>0</v>
      </c>
    </row>
    <row r="1128" spans="14:14" ht="14.25" customHeight="1">
      <c r="N1128" s="192">
        <v>0</v>
      </c>
    </row>
    <row r="1129" spans="14:14" ht="14.25" customHeight="1">
      <c r="N1129" s="192">
        <v>0</v>
      </c>
    </row>
    <row r="1130" spans="14:14" ht="14.25" customHeight="1">
      <c r="N1130" s="192">
        <v>0</v>
      </c>
    </row>
    <row r="1131" spans="14:14" ht="14.25" customHeight="1">
      <c r="N1131" s="192">
        <v>0</v>
      </c>
    </row>
    <row r="1132" spans="14:14" ht="14.25" customHeight="1">
      <c r="N1132" s="192">
        <v>0</v>
      </c>
    </row>
    <row r="1133" spans="14:14" ht="14.25" customHeight="1">
      <c r="N1133" s="192">
        <v>0</v>
      </c>
    </row>
    <row r="1134" spans="14:14" ht="14.25" customHeight="1">
      <c r="N1134" s="192">
        <v>0</v>
      </c>
    </row>
    <row r="1135" spans="14:14" ht="14.25" customHeight="1">
      <c r="N1135" s="192">
        <v>0</v>
      </c>
    </row>
    <row r="1136" spans="14:14" ht="14.25" customHeight="1">
      <c r="N1136" s="192">
        <v>0</v>
      </c>
    </row>
    <row r="1137" spans="14:14" ht="14.25" customHeight="1">
      <c r="N1137" s="192">
        <v>0</v>
      </c>
    </row>
    <row r="1138" spans="14:14" ht="14.25" customHeight="1">
      <c r="N1138" s="192">
        <v>0</v>
      </c>
    </row>
    <row r="1139" spans="14:14" ht="14.25" customHeight="1">
      <c r="N1139" s="192">
        <v>0</v>
      </c>
    </row>
    <row r="1140" spans="14:14" ht="14.25" customHeight="1">
      <c r="N1140" s="192">
        <v>0</v>
      </c>
    </row>
    <row r="1141" spans="14:14" ht="14.25" customHeight="1">
      <c r="N1141" s="192">
        <v>0</v>
      </c>
    </row>
    <row r="1142" spans="14:14" ht="14.25" customHeight="1">
      <c r="N1142" s="192">
        <v>0</v>
      </c>
    </row>
    <row r="1143" spans="14:14" ht="14.25" customHeight="1">
      <c r="N1143" s="192">
        <v>0</v>
      </c>
    </row>
    <row r="1144" spans="14:14" ht="14.25" customHeight="1">
      <c r="N1144" s="192">
        <v>0</v>
      </c>
    </row>
    <row r="1145" spans="14:14" ht="14.25" customHeight="1">
      <c r="N1145" s="192">
        <v>0</v>
      </c>
    </row>
    <row r="1146" spans="14:14" ht="14.25" customHeight="1">
      <c r="N1146" s="192">
        <v>0</v>
      </c>
    </row>
    <row r="1147" spans="14:14" ht="14.25" customHeight="1">
      <c r="N1147" s="192">
        <v>0</v>
      </c>
    </row>
    <row r="1148" spans="14:14" ht="14.25" customHeight="1">
      <c r="N1148" s="192">
        <v>0</v>
      </c>
    </row>
    <row r="1149" spans="14:14" ht="14.25" customHeight="1">
      <c r="N1149" s="192">
        <v>0</v>
      </c>
    </row>
    <row r="1150" spans="14:14" ht="14.25" customHeight="1">
      <c r="N1150" s="192">
        <v>0</v>
      </c>
    </row>
    <row r="1151" spans="14:14" ht="14.25" customHeight="1">
      <c r="N1151" s="192">
        <v>0</v>
      </c>
    </row>
    <row r="1152" spans="14:14" ht="14.25" customHeight="1">
      <c r="N1152" s="192">
        <v>0</v>
      </c>
    </row>
    <row r="1153" spans="14:14" ht="14.25" customHeight="1">
      <c r="N1153" s="192">
        <v>0</v>
      </c>
    </row>
    <row r="1154" spans="14:14" ht="14.25" customHeight="1">
      <c r="N1154" s="192">
        <v>0</v>
      </c>
    </row>
    <row r="1155" spans="14:14" ht="14.25" customHeight="1">
      <c r="N1155" s="192">
        <v>0</v>
      </c>
    </row>
    <row r="1156" spans="14:14" ht="14.25" customHeight="1">
      <c r="N1156" s="192">
        <v>0</v>
      </c>
    </row>
    <row r="1157" spans="14:14" ht="14.25" customHeight="1">
      <c r="N1157" s="192">
        <v>0</v>
      </c>
    </row>
    <row r="1158" spans="14:14" ht="14.25" customHeight="1">
      <c r="N1158" s="192">
        <v>0</v>
      </c>
    </row>
    <row r="1159" spans="14:14" ht="14.25" customHeight="1">
      <c r="N1159" s="192">
        <v>0</v>
      </c>
    </row>
    <row r="1160" spans="14:14" ht="14.25" customHeight="1">
      <c r="N1160" s="192">
        <v>0</v>
      </c>
    </row>
    <row r="1161" spans="14:14" ht="14.25" customHeight="1">
      <c r="N1161" s="192">
        <v>0</v>
      </c>
    </row>
    <row r="1162" spans="14:14" ht="14.25" customHeight="1">
      <c r="N1162" s="192">
        <v>0</v>
      </c>
    </row>
    <row r="1163" spans="14:14" ht="14.25" customHeight="1">
      <c r="N1163" s="192">
        <v>0</v>
      </c>
    </row>
    <row r="1164" spans="14:14" ht="14.25" customHeight="1">
      <c r="N1164" s="192">
        <v>0</v>
      </c>
    </row>
    <row r="1165" spans="14:14" ht="14.25" customHeight="1">
      <c r="N1165" s="192">
        <v>0</v>
      </c>
    </row>
    <row r="1166" spans="14:14" ht="14.25" customHeight="1">
      <c r="N1166" s="192">
        <v>0</v>
      </c>
    </row>
    <row r="1167" spans="14:14" ht="14.25" customHeight="1">
      <c r="N1167" s="192">
        <v>0</v>
      </c>
    </row>
    <row r="1168" spans="14:14" ht="14.25" customHeight="1">
      <c r="N1168" s="192">
        <v>0</v>
      </c>
    </row>
    <row r="1169" spans="14:14" ht="14.25" customHeight="1">
      <c r="N1169" s="192">
        <v>0</v>
      </c>
    </row>
    <row r="1170" spans="14:14" ht="14.25" customHeight="1">
      <c r="N1170" s="192">
        <v>0</v>
      </c>
    </row>
    <row r="1171" spans="14:14" ht="14.25" customHeight="1">
      <c r="N1171" s="192">
        <v>0</v>
      </c>
    </row>
    <row r="1172" spans="14:14" ht="14.25" customHeight="1">
      <c r="N1172" s="192">
        <v>0</v>
      </c>
    </row>
    <row r="1173" spans="14:14" ht="14.25" customHeight="1">
      <c r="N1173" s="192">
        <v>0</v>
      </c>
    </row>
    <row r="1174" spans="14:14" ht="14.25" customHeight="1">
      <c r="N1174" s="192">
        <v>0</v>
      </c>
    </row>
    <row r="1175" spans="14:14" ht="14.25" customHeight="1">
      <c r="N1175" s="192">
        <v>0</v>
      </c>
    </row>
    <row r="1176" spans="14:14" ht="14.25" customHeight="1">
      <c r="N1176" s="192">
        <v>0</v>
      </c>
    </row>
    <row r="1177" spans="14:14" ht="14.25" customHeight="1">
      <c r="N1177" s="192">
        <v>0</v>
      </c>
    </row>
    <row r="1178" spans="14:14" ht="14.25" customHeight="1">
      <c r="N1178" s="192">
        <v>0</v>
      </c>
    </row>
    <row r="1179" spans="14:14" ht="14.25" customHeight="1">
      <c r="N1179" s="192">
        <v>0</v>
      </c>
    </row>
    <row r="1180" spans="14:14" ht="14.25" customHeight="1">
      <c r="N1180" s="192">
        <v>0</v>
      </c>
    </row>
    <row r="1181" spans="14:14" ht="14.25" customHeight="1">
      <c r="N1181" s="192">
        <v>0</v>
      </c>
    </row>
    <row r="1182" spans="14:14" ht="14.25" customHeight="1">
      <c r="N1182" s="192">
        <v>0</v>
      </c>
    </row>
    <row r="1183" spans="14:14" ht="14.25" customHeight="1">
      <c r="N1183" s="192">
        <v>0</v>
      </c>
    </row>
    <row r="1184" spans="14:14" ht="14.25" customHeight="1">
      <c r="N1184" s="192">
        <v>0</v>
      </c>
    </row>
    <row r="1185" spans="14:14" ht="14.25" customHeight="1">
      <c r="N1185" s="192">
        <v>0</v>
      </c>
    </row>
    <row r="1186" spans="14:14" ht="14.25" customHeight="1">
      <c r="N1186" s="192">
        <v>0</v>
      </c>
    </row>
    <row r="1187" spans="14:14" ht="14.25" customHeight="1">
      <c r="N1187" s="192">
        <v>0</v>
      </c>
    </row>
    <row r="1188" spans="14:14" ht="14.25" customHeight="1">
      <c r="N1188" s="192">
        <v>0</v>
      </c>
    </row>
    <row r="1189" spans="14:14" ht="14.25" customHeight="1">
      <c r="N1189" s="192">
        <v>0</v>
      </c>
    </row>
    <row r="1190" spans="14:14" ht="14.25" customHeight="1">
      <c r="N1190" s="192">
        <v>0</v>
      </c>
    </row>
    <row r="1191" spans="14:14" ht="14.25" customHeight="1">
      <c r="N1191" s="192">
        <v>0</v>
      </c>
    </row>
    <row r="1192" spans="14:14" ht="14.25" customHeight="1">
      <c r="N1192" s="192">
        <v>0</v>
      </c>
    </row>
    <row r="1193" spans="14:14" ht="14.25" customHeight="1">
      <c r="N1193" s="192">
        <v>0</v>
      </c>
    </row>
    <row r="1194" spans="14:14" ht="14.25" customHeight="1">
      <c r="N1194" s="192">
        <v>0</v>
      </c>
    </row>
    <row r="1195" spans="14:14" ht="14.25" customHeight="1">
      <c r="N1195" s="192">
        <v>0</v>
      </c>
    </row>
    <row r="1196" spans="14:14" ht="14.25" customHeight="1">
      <c r="N1196" s="192">
        <v>0</v>
      </c>
    </row>
    <row r="1197" spans="14:14" ht="14.25" customHeight="1">
      <c r="N1197" s="192">
        <v>0</v>
      </c>
    </row>
    <row r="1198" spans="14:14" ht="14.25" customHeight="1">
      <c r="N1198" s="192">
        <v>0</v>
      </c>
    </row>
    <row r="1199" spans="14:14" ht="14.25" customHeight="1">
      <c r="N1199" s="192">
        <v>0</v>
      </c>
    </row>
    <row r="1200" spans="14:14" ht="14.25" customHeight="1">
      <c r="N1200" s="192">
        <v>0</v>
      </c>
    </row>
    <row r="1201" spans="14:14" ht="14.25" customHeight="1">
      <c r="N1201" s="192">
        <v>0</v>
      </c>
    </row>
    <row r="1202" spans="14:14" ht="14.25" customHeight="1">
      <c r="N1202" s="192">
        <v>0</v>
      </c>
    </row>
    <row r="1203" spans="14:14" ht="14.25" customHeight="1">
      <c r="N1203" s="192">
        <v>0</v>
      </c>
    </row>
    <row r="1204" spans="14:14" ht="14.25" customHeight="1">
      <c r="N1204" s="192">
        <v>0</v>
      </c>
    </row>
    <row r="1205" spans="14:14" ht="14.25" customHeight="1">
      <c r="N1205" s="192">
        <v>0</v>
      </c>
    </row>
    <row r="1206" spans="14:14" ht="14.25" customHeight="1">
      <c r="N1206" s="192">
        <v>0</v>
      </c>
    </row>
    <row r="1207" spans="14:14" ht="14.25" customHeight="1">
      <c r="N1207" s="192">
        <v>0</v>
      </c>
    </row>
    <row r="1208" spans="14:14" ht="14.25" customHeight="1">
      <c r="N1208" s="192">
        <v>0</v>
      </c>
    </row>
    <row r="1209" spans="14:14" ht="14.25" customHeight="1">
      <c r="N1209" s="192">
        <v>0</v>
      </c>
    </row>
    <row r="1210" spans="14:14" ht="14.25" customHeight="1">
      <c r="N1210" s="192">
        <v>0</v>
      </c>
    </row>
    <row r="1211" spans="14:14" ht="14.25" customHeight="1">
      <c r="N1211" s="192">
        <v>0</v>
      </c>
    </row>
    <row r="1212" spans="14:14" ht="14.25" customHeight="1">
      <c r="N1212" s="192">
        <v>0</v>
      </c>
    </row>
    <row r="1213" spans="14:14" ht="14.25" customHeight="1">
      <c r="N1213" s="192">
        <v>0</v>
      </c>
    </row>
    <row r="1214" spans="14:14" ht="14.25" customHeight="1">
      <c r="N1214" s="192">
        <v>0</v>
      </c>
    </row>
    <row r="1215" spans="14:14" ht="14.25" customHeight="1">
      <c r="N1215" s="192">
        <v>0</v>
      </c>
    </row>
    <row r="1216" spans="14:14" ht="14.25" customHeight="1">
      <c r="N1216" s="192">
        <v>0</v>
      </c>
    </row>
    <row r="1217" spans="14:14" ht="14.25" customHeight="1">
      <c r="N1217" s="192">
        <v>0</v>
      </c>
    </row>
    <row r="1218" spans="14:14" ht="14.25" customHeight="1">
      <c r="N1218" s="192">
        <v>0</v>
      </c>
    </row>
    <row r="1219" spans="14:14" ht="14.25" customHeight="1">
      <c r="N1219" s="192">
        <v>0</v>
      </c>
    </row>
    <row r="1220" spans="14:14" ht="14.25" customHeight="1">
      <c r="N1220" s="192">
        <v>0</v>
      </c>
    </row>
    <row r="1221" spans="14:14" ht="14.25" customHeight="1">
      <c r="N1221" s="192">
        <v>0</v>
      </c>
    </row>
    <row r="1222" spans="14:14" ht="14.25" customHeight="1">
      <c r="N1222" s="192">
        <v>0</v>
      </c>
    </row>
    <row r="1223" spans="14:14" ht="14.25" customHeight="1">
      <c r="N1223" s="192">
        <v>0</v>
      </c>
    </row>
    <row r="1224" spans="14:14" ht="14.25" customHeight="1">
      <c r="N1224" s="192">
        <v>0</v>
      </c>
    </row>
    <row r="1225" spans="14:14" ht="14.25" customHeight="1">
      <c r="N1225" s="192">
        <v>0</v>
      </c>
    </row>
    <row r="1226" spans="14:14" ht="14.25" customHeight="1">
      <c r="N1226" s="192">
        <v>0</v>
      </c>
    </row>
    <row r="1227" spans="14:14" ht="14.25" customHeight="1">
      <c r="N1227" s="192">
        <v>0</v>
      </c>
    </row>
    <row r="1228" spans="14:14" ht="14.25" customHeight="1">
      <c r="N1228" s="192">
        <v>0</v>
      </c>
    </row>
    <row r="1229" spans="14:14" ht="14.25" customHeight="1">
      <c r="N1229" s="192">
        <v>0</v>
      </c>
    </row>
    <row r="1230" spans="14:14" ht="14.25" customHeight="1">
      <c r="N1230" s="192">
        <v>0</v>
      </c>
    </row>
    <row r="1231" spans="14:14" ht="14.25" customHeight="1">
      <c r="N1231" s="192">
        <v>0</v>
      </c>
    </row>
    <row r="1232" spans="14:14" ht="14.25" customHeight="1">
      <c r="N1232" s="192">
        <v>0</v>
      </c>
    </row>
    <row r="1233" spans="14:14" ht="14.25" customHeight="1">
      <c r="N1233" s="192">
        <v>0</v>
      </c>
    </row>
    <row r="1234" spans="14:14" ht="14.25" customHeight="1">
      <c r="N1234" s="192">
        <v>0</v>
      </c>
    </row>
    <row r="1235" spans="14:14" ht="14.25" customHeight="1">
      <c r="N1235" s="192">
        <v>0</v>
      </c>
    </row>
    <row r="1236" spans="14:14" ht="14.25" customHeight="1">
      <c r="N1236" s="192">
        <v>0</v>
      </c>
    </row>
    <row r="1237" spans="14:14" ht="14.25" customHeight="1">
      <c r="N1237" s="192">
        <v>0</v>
      </c>
    </row>
    <row r="1238" spans="14:14" ht="14.25" customHeight="1">
      <c r="N1238" s="192">
        <v>0</v>
      </c>
    </row>
    <row r="1239" spans="14:14" ht="14.25" customHeight="1">
      <c r="N1239" s="192">
        <v>0</v>
      </c>
    </row>
    <row r="1240" spans="14:14" ht="14.25" customHeight="1">
      <c r="N1240" s="192">
        <v>0</v>
      </c>
    </row>
    <row r="1241" spans="14:14" ht="14.25" customHeight="1">
      <c r="N1241" s="192">
        <v>0</v>
      </c>
    </row>
    <row r="1242" spans="14:14" ht="14.25" customHeight="1">
      <c r="N1242" s="192">
        <v>0</v>
      </c>
    </row>
    <row r="1243" spans="14:14" ht="14.25" customHeight="1">
      <c r="N1243" s="192">
        <v>0</v>
      </c>
    </row>
    <row r="1244" spans="14:14" ht="14.25" customHeight="1">
      <c r="N1244" s="192">
        <v>0</v>
      </c>
    </row>
    <row r="1245" spans="14:14" ht="14.25" customHeight="1">
      <c r="N1245" s="192">
        <v>0</v>
      </c>
    </row>
    <row r="1246" spans="14:14" ht="14.25" customHeight="1">
      <c r="N1246" s="192">
        <v>0</v>
      </c>
    </row>
    <row r="1247" spans="14:14" ht="14.25" customHeight="1">
      <c r="N1247" s="192">
        <v>0</v>
      </c>
    </row>
    <row r="1248" spans="14:14" ht="14.25" customHeight="1">
      <c r="N1248" s="192">
        <v>0</v>
      </c>
    </row>
    <row r="1249" spans="14:14" ht="14.25" customHeight="1">
      <c r="N1249" s="192">
        <v>0</v>
      </c>
    </row>
    <row r="1250" spans="14:14" ht="14.25" customHeight="1">
      <c r="N1250" s="192">
        <v>0</v>
      </c>
    </row>
    <row r="1251" spans="14:14" ht="14.25" customHeight="1">
      <c r="N1251" s="192">
        <v>0</v>
      </c>
    </row>
    <row r="1252" spans="14:14" ht="14.25" customHeight="1">
      <c r="N1252" s="192">
        <v>0</v>
      </c>
    </row>
    <row r="1253" spans="14:14" ht="14.25" customHeight="1">
      <c r="N1253" s="192">
        <v>0</v>
      </c>
    </row>
    <row r="1254" spans="14:14" ht="14.25" customHeight="1">
      <c r="N1254" s="192">
        <v>0</v>
      </c>
    </row>
    <row r="1255" spans="14:14" ht="14.25" customHeight="1">
      <c r="N1255" s="192">
        <v>0</v>
      </c>
    </row>
    <row r="1256" spans="14:14" ht="14.25" customHeight="1">
      <c r="N1256" s="192">
        <v>0</v>
      </c>
    </row>
    <row r="1257" spans="14:14" ht="14.25" customHeight="1">
      <c r="N1257" s="192">
        <v>0</v>
      </c>
    </row>
    <row r="1258" spans="14:14" ht="14.25" customHeight="1">
      <c r="N1258" s="192">
        <v>0</v>
      </c>
    </row>
    <row r="1259" spans="14:14" ht="14.25" customHeight="1">
      <c r="N1259" s="192">
        <v>0</v>
      </c>
    </row>
    <row r="1260" spans="14:14" ht="14.25" customHeight="1">
      <c r="N1260" s="192">
        <v>0</v>
      </c>
    </row>
    <row r="1261" spans="14:14" ht="14.25" customHeight="1">
      <c r="N1261" s="192">
        <v>0</v>
      </c>
    </row>
    <row r="1262" spans="14:14" ht="14.25" customHeight="1">
      <c r="N1262" s="192">
        <v>0</v>
      </c>
    </row>
    <row r="1263" spans="14:14" ht="14.25" customHeight="1">
      <c r="N1263" s="192">
        <v>0</v>
      </c>
    </row>
    <row r="1264" spans="14:14" ht="14.25" customHeight="1">
      <c r="N1264" s="192">
        <v>0</v>
      </c>
    </row>
    <row r="1265" spans="14:14" ht="14.25" customHeight="1">
      <c r="N1265" s="192">
        <v>0</v>
      </c>
    </row>
    <row r="1266" spans="14:14" ht="14.25" customHeight="1">
      <c r="N1266" s="192">
        <v>0</v>
      </c>
    </row>
    <row r="1267" spans="14:14" ht="14.25" customHeight="1">
      <c r="N1267" s="192">
        <v>0</v>
      </c>
    </row>
    <row r="1268" spans="14:14" ht="14.25" customHeight="1">
      <c r="N1268" s="192">
        <v>0</v>
      </c>
    </row>
    <row r="1269" spans="14:14" ht="14.25" customHeight="1">
      <c r="N1269" s="192">
        <v>0</v>
      </c>
    </row>
    <row r="1270" spans="14:14" ht="14.25" customHeight="1">
      <c r="N1270" s="192">
        <v>0</v>
      </c>
    </row>
    <row r="1271" spans="14:14" ht="14.25" customHeight="1">
      <c r="N1271" s="192">
        <v>0</v>
      </c>
    </row>
    <row r="1272" spans="14:14" ht="14.25" customHeight="1">
      <c r="N1272" s="192">
        <v>0</v>
      </c>
    </row>
    <row r="1273" spans="14:14" ht="14.25" customHeight="1">
      <c r="N1273" s="192">
        <v>0</v>
      </c>
    </row>
    <row r="1274" spans="14:14" ht="14.25" customHeight="1">
      <c r="N1274" s="192">
        <v>0</v>
      </c>
    </row>
    <row r="1275" spans="14:14" ht="14.25" customHeight="1">
      <c r="N1275" s="192">
        <v>0</v>
      </c>
    </row>
    <row r="1276" spans="14:14" ht="14.25" customHeight="1">
      <c r="N1276" s="192">
        <v>0</v>
      </c>
    </row>
    <row r="1277" spans="14:14" ht="14.25" customHeight="1">
      <c r="N1277" s="192">
        <v>0</v>
      </c>
    </row>
    <row r="1278" spans="14:14" ht="14.25" customHeight="1">
      <c r="N1278" s="192">
        <v>0</v>
      </c>
    </row>
    <row r="1279" spans="14:14" ht="14.25" customHeight="1">
      <c r="N1279" s="192">
        <v>0</v>
      </c>
    </row>
    <row r="1280" spans="14:14" ht="14.25" customHeight="1">
      <c r="N1280" s="192">
        <v>0</v>
      </c>
    </row>
    <row r="1281" spans="14:14" ht="14.25" customHeight="1">
      <c r="N1281" s="192">
        <v>0</v>
      </c>
    </row>
    <row r="1282" spans="14:14" ht="14.25" customHeight="1">
      <c r="N1282" s="192">
        <v>0</v>
      </c>
    </row>
    <row r="1283" spans="14:14" ht="14.25" customHeight="1">
      <c r="N1283" s="192">
        <v>0</v>
      </c>
    </row>
    <row r="1284" spans="14:14" ht="14.25" customHeight="1">
      <c r="N1284" s="192">
        <v>0</v>
      </c>
    </row>
    <row r="1285" spans="14:14" ht="14.25" customHeight="1">
      <c r="N1285" s="192">
        <v>0</v>
      </c>
    </row>
    <row r="1286" spans="14:14" ht="14.25" customHeight="1">
      <c r="N1286" s="192">
        <v>0</v>
      </c>
    </row>
    <row r="1287" spans="14:14" ht="14.25" customHeight="1">
      <c r="N1287" s="192">
        <v>0</v>
      </c>
    </row>
    <row r="1288" spans="14:14" ht="14.25" customHeight="1">
      <c r="N1288" s="192">
        <v>0</v>
      </c>
    </row>
    <row r="1289" spans="14:14" ht="14.25" customHeight="1">
      <c r="N1289" s="192">
        <v>0</v>
      </c>
    </row>
    <row r="1290" spans="14:14" ht="14.25" customHeight="1">
      <c r="N1290" s="192">
        <v>0</v>
      </c>
    </row>
    <row r="1291" spans="14:14" ht="14.25" customHeight="1">
      <c r="N1291" s="192">
        <v>0</v>
      </c>
    </row>
    <row r="1292" spans="14:14" ht="14.25" customHeight="1">
      <c r="N1292" s="192">
        <v>0</v>
      </c>
    </row>
    <row r="1293" spans="14:14" ht="14.25" customHeight="1">
      <c r="N1293" s="192">
        <v>0</v>
      </c>
    </row>
    <row r="1294" spans="14:14" ht="14.25" customHeight="1">
      <c r="N1294" s="192">
        <v>0</v>
      </c>
    </row>
    <row r="1295" spans="14:14" ht="14.25" customHeight="1">
      <c r="N1295" s="192">
        <v>0</v>
      </c>
    </row>
    <row r="1296" spans="14:14" ht="14.25" customHeight="1">
      <c r="N1296" s="192">
        <v>0</v>
      </c>
    </row>
    <row r="1297" spans="14:14" ht="14.25" customHeight="1">
      <c r="N1297" s="192">
        <v>0</v>
      </c>
    </row>
    <row r="1298" spans="14:14" ht="14.25" customHeight="1">
      <c r="N1298" s="192">
        <v>0</v>
      </c>
    </row>
    <row r="1299" spans="14:14" ht="14.25" customHeight="1">
      <c r="N1299" s="192">
        <v>0</v>
      </c>
    </row>
    <row r="1300" spans="14:14" ht="14.25" customHeight="1">
      <c r="N1300" s="192">
        <v>0</v>
      </c>
    </row>
    <row r="1301" spans="14:14" ht="14.25" customHeight="1">
      <c r="N1301" s="192">
        <v>0</v>
      </c>
    </row>
    <row r="1302" spans="14:14" ht="14.25" customHeight="1">
      <c r="N1302" s="192">
        <v>0</v>
      </c>
    </row>
    <row r="1303" spans="14:14" ht="14.25" customHeight="1">
      <c r="N1303" s="192">
        <v>0</v>
      </c>
    </row>
    <row r="1304" spans="14:14" ht="14.25" customHeight="1">
      <c r="N1304" s="192">
        <v>0</v>
      </c>
    </row>
    <row r="1305" spans="14:14" ht="14.25" customHeight="1">
      <c r="N1305" s="192">
        <v>0</v>
      </c>
    </row>
    <row r="1306" spans="14:14" ht="14.25" customHeight="1">
      <c r="N1306" s="192">
        <v>0</v>
      </c>
    </row>
    <row r="1307" spans="14:14" ht="14.25" customHeight="1">
      <c r="N1307" s="192">
        <v>0</v>
      </c>
    </row>
    <row r="1308" spans="14:14" ht="14.25" customHeight="1">
      <c r="N1308" s="192">
        <v>0</v>
      </c>
    </row>
    <row r="1309" spans="14:14" ht="14.25" customHeight="1">
      <c r="N1309" s="192">
        <v>0</v>
      </c>
    </row>
    <row r="1310" spans="14:14" ht="14.25" customHeight="1">
      <c r="N1310" s="192">
        <v>0</v>
      </c>
    </row>
    <row r="1311" spans="14:14" ht="14.25" customHeight="1">
      <c r="N1311" s="192">
        <v>0</v>
      </c>
    </row>
    <row r="1312" spans="14:14" ht="14.25" customHeight="1">
      <c r="N1312" s="192">
        <v>0</v>
      </c>
    </row>
    <row r="1313" spans="14:14" ht="14.25" customHeight="1">
      <c r="N1313" s="192">
        <v>0</v>
      </c>
    </row>
    <row r="1314" spans="14:14" ht="14.25" customHeight="1">
      <c r="N1314" s="192">
        <v>0</v>
      </c>
    </row>
    <row r="1315" spans="14:14" ht="14.25" customHeight="1">
      <c r="N1315" s="192">
        <v>0</v>
      </c>
    </row>
    <row r="1316" spans="14:14" ht="14.25" customHeight="1">
      <c r="N1316" s="192">
        <v>0</v>
      </c>
    </row>
    <row r="1317" spans="14:14" ht="14.25" customHeight="1">
      <c r="N1317" s="192">
        <v>0</v>
      </c>
    </row>
    <row r="1318" spans="14:14" ht="14.25" customHeight="1">
      <c r="N1318" s="192">
        <v>0</v>
      </c>
    </row>
    <row r="1319" spans="14:14" ht="14.25" customHeight="1">
      <c r="N1319" s="192">
        <v>0</v>
      </c>
    </row>
    <row r="1320" spans="14:14" ht="14.25" customHeight="1">
      <c r="N1320" s="192">
        <v>0</v>
      </c>
    </row>
    <row r="1321" spans="14:14" ht="14.25" customHeight="1">
      <c r="N1321" s="192">
        <v>0</v>
      </c>
    </row>
    <row r="1322" spans="14:14" ht="14.25" customHeight="1">
      <c r="N1322" s="192">
        <v>0</v>
      </c>
    </row>
    <row r="1323" spans="14:14" ht="14.25" customHeight="1">
      <c r="N1323" s="192">
        <v>0</v>
      </c>
    </row>
    <row r="1324" spans="14:14" ht="14.25" customHeight="1">
      <c r="N1324" s="192">
        <v>0</v>
      </c>
    </row>
    <row r="1325" spans="14:14" ht="14.25" customHeight="1">
      <c r="N1325" s="192">
        <v>0</v>
      </c>
    </row>
    <row r="1326" spans="14:14" ht="14.25" customHeight="1">
      <c r="N1326" s="192">
        <v>0</v>
      </c>
    </row>
    <row r="1327" spans="14:14" ht="14.25" customHeight="1">
      <c r="N1327" s="192">
        <v>0</v>
      </c>
    </row>
    <row r="1328" spans="14:14" ht="14.25" customHeight="1">
      <c r="N1328" s="192">
        <v>0</v>
      </c>
    </row>
    <row r="1329" spans="14:14" ht="14.25" customHeight="1">
      <c r="N1329" s="192">
        <v>0</v>
      </c>
    </row>
    <row r="1330" spans="14:14" ht="14.25" customHeight="1">
      <c r="N1330" s="192">
        <v>0</v>
      </c>
    </row>
    <row r="1331" spans="14:14" ht="14.25" customHeight="1">
      <c r="N1331" s="192">
        <v>0</v>
      </c>
    </row>
    <row r="1332" spans="14:14" ht="14.25" customHeight="1">
      <c r="N1332" s="192">
        <v>0</v>
      </c>
    </row>
    <row r="1333" spans="14:14" ht="14.25" customHeight="1">
      <c r="N1333" s="192">
        <v>0</v>
      </c>
    </row>
    <row r="1334" spans="14:14" ht="14.25" customHeight="1">
      <c r="N1334" s="192">
        <v>0</v>
      </c>
    </row>
    <row r="1335" spans="14:14" ht="14.25" customHeight="1">
      <c r="N1335" s="192">
        <v>0</v>
      </c>
    </row>
    <row r="1336" spans="14:14" ht="14.25" customHeight="1">
      <c r="N1336" s="192">
        <v>0</v>
      </c>
    </row>
    <row r="1337" spans="14:14" ht="14.25" customHeight="1">
      <c r="N1337" s="192">
        <v>0</v>
      </c>
    </row>
    <row r="1338" spans="14:14" ht="14.25" customHeight="1">
      <c r="N1338" s="192">
        <v>0</v>
      </c>
    </row>
    <row r="1339" spans="14:14" ht="14.25" customHeight="1">
      <c r="N1339" s="192">
        <v>0</v>
      </c>
    </row>
    <row r="1340" spans="14:14" ht="14.25" customHeight="1">
      <c r="N1340" s="192">
        <v>0</v>
      </c>
    </row>
    <row r="1341" spans="14:14" ht="14.25" customHeight="1">
      <c r="N1341" s="192">
        <v>0</v>
      </c>
    </row>
    <row r="1342" spans="14:14" ht="14.25" customHeight="1">
      <c r="N1342" s="192">
        <v>0</v>
      </c>
    </row>
    <row r="1343" spans="14:14" ht="14.25" customHeight="1">
      <c r="N1343" s="192">
        <v>0</v>
      </c>
    </row>
    <row r="1344" spans="14:14" ht="14.25" customHeight="1">
      <c r="N1344" s="192">
        <v>0</v>
      </c>
    </row>
    <row r="1345" spans="14:14" ht="14.25" customHeight="1">
      <c r="N1345" s="192">
        <v>0</v>
      </c>
    </row>
    <row r="1346" spans="14:14" ht="14.25" customHeight="1">
      <c r="N1346" s="192">
        <v>0</v>
      </c>
    </row>
    <row r="1347" spans="14:14" ht="14.25" customHeight="1">
      <c r="N1347" s="192">
        <v>0</v>
      </c>
    </row>
    <row r="1348" spans="14:14" ht="14.25" customHeight="1">
      <c r="N1348" s="192">
        <v>0</v>
      </c>
    </row>
    <row r="1349" spans="14:14" ht="14.25" customHeight="1">
      <c r="N1349" s="192">
        <v>0</v>
      </c>
    </row>
    <row r="1350" spans="14:14" ht="14.25" customHeight="1">
      <c r="N1350" s="192">
        <v>0</v>
      </c>
    </row>
    <row r="1351" spans="14:14" ht="14.25" customHeight="1">
      <c r="N1351" s="192">
        <v>0</v>
      </c>
    </row>
    <row r="1352" spans="14:14" ht="14.25" customHeight="1">
      <c r="N1352" s="192">
        <v>0</v>
      </c>
    </row>
    <row r="1353" spans="14:14" ht="14.25" customHeight="1">
      <c r="N1353" s="192">
        <v>0</v>
      </c>
    </row>
    <row r="1354" spans="14:14" ht="14.25" customHeight="1">
      <c r="N1354" s="192">
        <v>0</v>
      </c>
    </row>
    <row r="1355" spans="14:14" ht="14.25" customHeight="1">
      <c r="N1355" s="192">
        <v>0</v>
      </c>
    </row>
    <row r="1356" spans="14:14" ht="14.25" customHeight="1">
      <c r="N1356" s="192">
        <v>0</v>
      </c>
    </row>
    <row r="1357" spans="14:14" ht="14.25" customHeight="1">
      <c r="N1357" s="192">
        <v>0</v>
      </c>
    </row>
    <row r="1358" spans="14:14" ht="14.25" customHeight="1">
      <c r="N1358" s="192">
        <v>0</v>
      </c>
    </row>
    <row r="1359" spans="14:14" ht="14.25" customHeight="1">
      <c r="N1359" s="192">
        <v>0</v>
      </c>
    </row>
    <row r="1360" spans="14:14" ht="14.25" customHeight="1">
      <c r="N1360" s="192">
        <v>0</v>
      </c>
    </row>
    <row r="1361" spans="14:14" ht="14.25" customHeight="1">
      <c r="N1361" s="192">
        <v>0</v>
      </c>
    </row>
    <row r="1362" spans="14:14" ht="14.25" customHeight="1">
      <c r="N1362" s="192">
        <v>0</v>
      </c>
    </row>
    <row r="1363" spans="14:14" ht="14.25" customHeight="1">
      <c r="N1363" s="192">
        <v>0</v>
      </c>
    </row>
    <row r="1364" spans="14:14" ht="14.25" customHeight="1">
      <c r="N1364" s="192">
        <v>0</v>
      </c>
    </row>
    <row r="1365" spans="14:14" ht="14.25" customHeight="1">
      <c r="N1365" s="192">
        <v>0</v>
      </c>
    </row>
    <row r="1366" spans="14:14" ht="14.25" customHeight="1">
      <c r="N1366" s="192">
        <v>0</v>
      </c>
    </row>
    <row r="1367" spans="14:14" ht="14.25" customHeight="1">
      <c r="N1367" s="192">
        <v>0</v>
      </c>
    </row>
    <row r="1368" spans="14:14" ht="14.25" customHeight="1">
      <c r="N1368" s="192">
        <v>0</v>
      </c>
    </row>
    <row r="1369" spans="14:14" ht="14.25" customHeight="1">
      <c r="N1369" s="192">
        <v>0</v>
      </c>
    </row>
    <row r="1370" spans="14:14" ht="14.25" customHeight="1">
      <c r="N1370" s="192">
        <v>0</v>
      </c>
    </row>
    <row r="1371" spans="14:14" ht="14.25" customHeight="1">
      <c r="N1371" s="192">
        <v>0</v>
      </c>
    </row>
    <row r="1372" spans="14:14" ht="14.25" customHeight="1">
      <c r="N1372" s="192">
        <v>0</v>
      </c>
    </row>
    <row r="1373" spans="14:14" ht="14.25" customHeight="1">
      <c r="N1373" s="192">
        <v>0</v>
      </c>
    </row>
    <row r="1374" spans="14:14" ht="14.25" customHeight="1">
      <c r="N1374" s="192">
        <v>0</v>
      </c>
    </row>
    <row r="1375" spans="14:14" ht="14.25" customHeight="1">
      <c r="N1375" s="192">
        <v>0</v>
      </c>
    </row>
    <row r="1376" spans="14:14" ht="14.25" customHeight="1">
      <c r="N1376" s="192">
        <v>0</v>
      </c>
    </row>
    <row r="1377" spans="14:14" ht="14.25" customHeight="1">
      <c r="N1377" s="192">
        <v>0</v>
      </c>
    </row>
    <row r="1378" spans="14:14" ht="14.25" customHeight="1">
      <c r="N1378" s="192">
        <v>0</v>
      </c>
    </row>
    <row r="1379" spans="14:14" ht="14.25" customHeight="1">
      <c r="N1379" s="192">
        <v>0</v>
      </c>
    </row>
    <row r="1380" spans="14:14" ht="14.25" customHeight="1">
      <c r="N1380" s="192">
        <v>0</v>
      </c>
    </row>
    <row r="1381" spans="14:14" ht="14.25" customHeight="1">
      <c r="N1381" s="192">
        <v>0</v>
      </c>
    </row>
    <row r="1382" spans="14:14" ht="14.25" customHeight="1">
      <c r="N1382" s="192">
        <v>0</v>
      </c>
    </row>
    <row r="1383" spans="14:14" ht="14.25" customHeight="1">
      <c r="N1383" s="192">
        <v>0</v>
      </c>
    </row>
    <row r="1384" spans="14:14" ht="14.25" customHeight="1">
      <c r="N1384" s="192">
        <v>0</v>
      </c>
    </row>
    <row r="1385" spans="14:14" ht="14.25" customHeight="1">
      <c r="N1385" s="192">
        <v>0</v>
      </c>
    </row>
    <row r="1386" spans="14:14" ht="14.25" customHeight="1">
      <c r="N1386" s="192">
        <v>0</v>
      </c>
    </row>
    <row r="1387" spans="14:14" ht="14.25" customHeight="1">
      <c r="N1387" s="192">
        <v>0</v>
      </c>
    </row>
    <row r="1388" spans="14:14" ht="14.25" customHeight="1">
      <c r="N1388" s="192">
        <v>0</v>
      </c>
    </row>
    <row r="1389" spans="14:14" ht="14.25" customHeight="1">
      <c r="N1389" s="192">
        <v>0</v>
      </c>
    </row>
    <row r="1390" spans="14:14" ht="14.25" customHeight="1">
      <c r="N1390" s="192">
        <v>0</v>
      </c>
    </row>
    <row r="1391" spans="14:14" ht="14.25" customHeight="1">
      <c r="N1391" s="192">
        <v>0</v>
      </c>
    </row>
    <row r="1392" spans="14:14" ht="14.25" customHeight="1">
      <c r="N1392" s="192">
        <v>0</v>
      </c>
    </row>
    <row r="1393" spans="14:14" ht="14.25" customHeight="1">
      <c r="N1393" s="192">
        <v>0</v>
      </c>
    </row>
    <row r="1394" spans="14:14" ht="14.25" customHeight="1">
      <c r="N1394" s="192">
        <v>0</v>
      </c>
    </row>
    <row r="1395" spans="14:14" ht="14.25" customHeight="1">
      <c r="N1395" s="192">
        <v>0</v>
      </c>
    </row>
    <row r="1396" spans="14:14" ht="14.25" customHeight="1">
      <c r="N1396" s="192">
        <v>0</v>
      </c>
    </row>
    <row r="1397" spans="14:14" ht="14.25" customHeight="1">
      <c r="N1397" s="192">
        <v>0</v>
      </c>
    </row>
    <row r="1398" spans="14:14" ht="14.25" customHeight="1">
      <c r="N1398" s="192">
        <v>0</v>
      </c>
    </row>
    <row r="1399" spans="14:14" ht="14.25" customHeight="1">
      <c r="N1399" s="192">
        <v>0</v>
      </c>
    </row>
    <row r="1400" spans="14:14" ht="14.25" customHeight="1">
      <c r="N1400" s="192">
        <v>0</v>
      </c>
    </row>
    <row r="1401" spans="14:14" ht="14.25" customHeight="1">
      <c r="N1401" s="192">
        <v>0</v>
      </c>
    </row>
    <row r="1402" spans="14:14" ht="14.25" customHeight="1">
      <c r="N1402" s="192">
        <v>0</v>
      </c>
    </row>
    <row r="1403" spans="14:14" ht="14.25" customHeight="1">
      <c r="N1403" s="192">
        <v>0</v>
      </c>
    </row>
    <row r="1404" spans="14:14" ht="14.25" customHeight="1">
      <c r="N1404" s="192">
        <v>0</v>
      </c>
    </row>
    <row r="1405" spans="14:14" ht="14.25" customHeight="1">
      <c r="N1405" s="192">
        <v>0</v>
      </c>
    </row>
    <row r="1406" spans="14:14" ht="14.25" customHeight="1">
      <c r="N1406" s="192">
        <v>0</v>
      </c>
    </row>
    <row r="1407" spans="14:14" ht="14.25" customHeight="1">
      <c r="N1407" s="192">
        <v>0</v>
      </c>
    </row>
    <row r="1408" spans="14:14" ht="14.25" customHeight="1">
      <c r="N1408" s="192">
        <v>0</v>
      </c>
    </row>
    <row r="1409" spans="14:14" ht="14.25" customHeight="1">
      <c r="N1409" s="192">
        <v>0</v>
      </c>
    </row>
    <row r="1410" spans="14:14" ht="14.25" customHeight="1">
      <c r="N1410" s="192">
        <v>0</v>
      </c>
    </row>
    <row r="1411" spans="14:14" ht="14.25" customHeight="1">
      <c r="N1411" s="192">
        <v>0</v>
      </c>
    </row>
    <row r="1412" spans="14:14" ht="14.25" customHeight="1">
      <c r="N1412" s="192">
        <v>0</v>
      </c>
    </row>
    <row r="1413" spans="14:14" ht="14.25" customHeight="1">
      <c r="N1413" s="192">
        <v>0</v>
      </c>
    </row>
    <row r="1414" spans="14:14" ht="14.25" customHeight="1">
      <c r="N1414" s="192">
        <v>0</v>
      </c>
    </row>
    <row r="1415" spans="14:14" ht="14.25" customHeight="1">
      <c r="N1415" s="192">
        <v>0</v>
      </c>
    </row>
    <row r="1416" spans="14:14" ht="14.25" customHeight="1">
      <c r="N1416" s="192">
        <v>0</v>
      </c>
    </row>
    <row r="1417" spans="14:14" ht="14.25" customHeight="1">
      <c r="N1417" s="192">
        <v>0</v>
      </c>
    </row>
    <row r="1418" spans="14:14" ht="14.25" customHeight="1">
      <c r="N1418" s="192">
        <v>0</v>
      </c>
    </row>
    <row r="1419" spans="14:14" ht="14.25" customHeight="1">
      <c r="N1419" s="192">
        <v>0</v>
      </c>
    </row>
    <row r="1420" spans="14:14" ht="14.25" customHeight="1">
      <c r="N1420" s="192">
        <v>0</v>
      </c>
    </row>
    <row r="1421" spans="14:14" ht="14.25" customHeight="1">
      <c r="N1421" s="192">
        <v>0</v>
      </c>
    </row>
    <row r="1422" spans="14:14" ht="14.25" customHeight="1">
      <c r="N1422" s="192">
        <v>0</v>
      </c>
    </row>
    <row r="1423" spans="14:14" ht="14.25" customHeight="1">
      <c r="N1423" s="192">
        <v>0</v>
      </c>
    </row>
    <row r="1424" spans="14:14" ht="14.25" customHeight="1">
      <c r="N1424" s="192">
        <v>0</v>
      </c>
    </row>
    <row r="1425" spans="14:14" ht="14.25" customHeight="1">
      <c r="N1425" s="192">
        <v>0</v>
      </c>
    </row>
    <row r="1426" spans="14:14" ht="14.25" customHeight="1">
      <c r="N1426" s="192">
        <v>0</v>
      </c>
    </row>
    <row r="1427" spans="14:14" ht="14.25" customHeight="1">
      <c r="N1427" s="192">
        <v>0</v>
      </c>
    </row>
    <row r="1428" spans="14:14" ht="14.25" customHeight="1">
      <c r="N1428" s="192">
        <v>0</v>
      </c>
    </row>
    <row r="1429" spans="14:14" ht="14.25" customHeight="1">
      <c r="N1429" s="192">
        <v>0</v>
      </c>
    </row>
    <row r="1430" spans="14:14" ht="14.25" customHeight="1">
      <c r="N1430" s="192">
        <v>0</v>
      </c>
    </row>
    <row r="1431" spans="14:14" ht="14.25" customHeight="1">
      <c r="N1431" s="192">
        <v>0</v>
      </c>
    </row>
    <row r="1432" spans="14:14" ht="14.25" customHeight="1">
      <c r="N1432" s="192">
        <v>0</v>
      </c>
    </row>
    <row r="1433" spans="14:14" ht="14.25" customHeight="1">
      <c r="N1433" s="192">
        <v>0</v>
      </c>
    </row>
    <row r="1434" spans="14:14" ht="14.25" customHeight="1">
      <c r="N1434" s="192">
        <v>0</v>
      </c>
    </row>
    <row r="1435" spans="14:14" ht="14.25" customHeight="1">
      <c r="N1435" s="192">
        <v>0</v>
      </c>
    </row>
    <row r="1436" spans="14:14" ht="14.25" customHeight="1">
      <c r="N1436" s="192">
        <v>0</v>
      </c>
    </row>
    <row r="1437" spans="14:14" ht="14.25" customHeight="1">
      <c r="N1437" s="192">
        <v>0</v>
      </c>
    </row>
    <row r="1438" spans="14:14" ht="14.25" customHeight="1">
      <c r="N1438" s="192">
        <v>0</v>
      </c>
    </row>
    <row r="1439" spans="14:14" ht="14.25" customHeight="1">
      <c r="N1439" s="192">
        <v>0</v>
      </c>
    </row>
    <row r="1440" spans="14:14" ht="14.25" customHeight="1">
      <c r="N1440" s="192">
        <v>0</v>
      </c>
    </row>
    <row r="1441" spans="14:14" ht="14.25" customHeight="1">
      <c r="N1441" s="192">
        <v>0</v>
      </c>
    </row>
    <row r="1442" spans="14:14" ht="14.25" customHeight="1">
      <c r="N1442" s="192">
        <v>0</v>
      </c>
    </row>
    <row r="1443" spans="14:14" ht="14.25" customHeight="1">
      <c r="N1443" s="192">
        <v>0</v>
      </c>
    </row>
    <row r="1444" spans="14:14" ht="14.25" customHeight="1">
      <c r="N1444" s="192">
        <v>0</v>
      </c>
    </row>
    <row r="1445" spans="14:14" ht="14.25" customHeight="1">
      <c r="N1445" s="192">
        <v>0</v>
      </c>
    </row>
    <row r="1446" spans="14:14" ht="14.25" customHeight="1">
      <c r="N1446" s="192">
        <v>0</v>
      </c>
    </row>
    <row r="1447" spans="14:14" ht="14.25" customHeight="1">
      <c r="N1447" s="192">
        <v>0</v>
      </c>
    </row>
    <row r="1448" spans="14:14" ht="14.25" customHeight="1">
      <c r="N1448" s="192">
        <v>0</v>
      </c>
    </row>
    <row r="1449" spans="14:14" ht="14.25" customHeight="1">
      <c r="N1449" s="192">
        <v>0</v>
      </c>
    </row>
    <row r="1450" spans="14:14" ht="14.25" customHeight="1">
      <c r="N1450" s="192">
        <v>0</v>
      </c>
    </row>
    <row r="1451" spans="14:14" ht="14.25" customHeight="1">
      <c r="N1451" s="192">
        <v>0</v>
      </c>
    </row>
    <row r="1452" spans="14:14" ht="14.25" customHeight="1">
      <c r="N1452" s="192">
        <v>0</v>
      </c>
    </row>
    <row r="1453" spans="14:14" ht="14.25" customHeight="1">
      <c r="N1453" s="192">
        <v>0</v>
      </c>
    </row>
    <row r="1454" spans="14:14" ht="14.25" customHeight="1">
      <c r="N1454" s="192">
        <v>0</v>
      </c>
    </row>
    <row r="1455" spans="14:14" ht="14.25" customHeight="1">
      <c r="N1455" s="192">
        <v>0</v>
      </c>
    </row>
    <row r="1456" spans="14:14" ht="14.25" customHeight="1">
      <c r="N1456" s="192">
        <v>0</v>
      </c>
    </row>
    <row r="1457" spans="14:14" ht="14.25" customHeight="1">
      <c r="N1457" s="192">
        <v>0</v>
      </c>
    </row>
    <row r="1458" spans="14:14" ht="14.25" customHeight="1">
      <c r="N1458" s="192">
        <v>0</v>
      </c>
    </row>
    <row r="1459" spans="14:14" ht="14.25" customHeight="1">
      <c r="N1459" s="192">
        <v>0</v>
      </c>
    </row>
    <row r="1460" spans="14:14" ht="14.25" customHeight="1">
      <c r="N1460" s="192">
        <v>0</v>
      </c>
    </row>
    <row r="1461" spans="14:14" ht="14.25" customHeight="1">
      <c r="N1461" s="192">
        <v>0</v>
      </c>
    </row>
    <row r="1462" spans="14:14" ht="14.25" customHeight="1">
      <c r="N1462" s="192">
        <v>0</v>
      </c>
    </row>
    <row r="1463" spans="14:14" ht="14.25" customHeight="1">
      <c r="N1463" s="192">
        <v>0</v>
      </c>
    </row>
    <row r="1464" spans="14:14" ht="14.25" customHeight="1">
      <c r="N1464" s="192">
        <v>0</v>
      </c>
    </row>
    <row r="1465" spans="14:14" ht="14.25" customHeight="1">
      <c r="N1465" s="192">
        <v>0</v>
      </c>
    </row>
    <row r="1466" spans="14:14" ht="14.25" customHeight="1">
      <c r="N1466" s="192">
        <v>0</v>
      </c>
    </row>
    <row r="1467" spans="14:14" ht="14.25" customHeight="1">
      <c r="N1467" s="192">
        <v>0</v>
      </c>
    </row>
    <row r="1468" spans="14:14" ht="14.25" customHeight="1">
      <c r="N1468" s="192">
        <v>0</v>
      </c>
    </row>
    <row r="1469" spans="14:14" ht="14.25" customHeight="1">
      <c r="N1469" s="192">
        <v>0</v>
      </c>
    </row>
    <row r="1470" spans="14:14" ht="14.25" customHeight="1">
      <c r="N1470" s="192">
        <v>0</v>
      </c>
    </row>
    <row r="1471" spans="14:14" ht="14.25" customHeight="1">
      <c r="N1471" s="192">
        <v>0</v>
      </c>
    </row>
    <row r="1472" spans="14:14" ht="14.25" customHeight="1">
      <c r="N1472" s="192">
        <v>0</v>
      </c>
    </row>
    <row r="1473" spans="14:14" ht="14.25" customHeight="1">
      <c r="N1473" s="192">
        <v>0</v>
      </c>
    </row>
    <row r="1474" spans="14:14" ht="14.25" customHeight="1">
      <c r="N1474" s="192">
        <v>0</v>
      </c>
    </row>
    <row r="1475" spans="14:14" ht="14.25" customHeight="1">
      <c r="N1475" s="192">
        <v>0</v>
      </c>
    </row>
    <row r="1476" spans="14:14" ht="14.25" customHeight="1">
      <c r="N1476" s="192">
        <v>0</v>
      </c>
    </row>
    <row r="1477" spans="14:14" ht="14.25" customHeight="1">
      <c r="N1477" s="192">
        <v>0</v>
      </c>
    </row>
    <row r="1478" spans="14:14" ht="14.25" customHeight="1">
      <c r="N1478" s="192">
        <v>0</v>
      </c>
    </row>
    <row r="1479" spans="14:14" ht="14.25" customHeight="1">
      <c r="N1479" s="192">
        <v>0</v>
      </c>
    </row>
    <row r="1480" spans="14:14" ht="14.25" customHeight="1">
      <c r="N1480" s="192">
        <v>0</v>
      </c>
    </row>
    <row r="1481" spans="14:14" ht="14.25" customHeight="1">
      <c r="N1481" s="192">
        <v>0</v>
      </c>
    </row>
    <row r="1482" spans="14:14" ht="14.25" customHeight="1">
      <c r="N1482" s="192">
        <v>0</v>
      </c>
    </row>
    <row r="1483" spans="14:14" ht="14.25" customHeight="1">
      <c r="N1483" s="192">
        <v>0</v>
      </c>
    </row>
    <row r="1484" spans="14:14" ht="14.25" customHeight="1">
      <c r="N1484" s="192">
        <v>0</v>
      </c>
    </row>
    <row r="1485" spans="14:14" ht="14.25" customHeight="1">
      <c r="N1485" s="192">
        <v>0</v>
      </c>
    </row>
    <row r="1486" spans="14:14" ht="14.25" customHeight="1">
      <c r="N1486" s="192">
        <v>0</v>
      </c>
    </row>
    <row r="1487" spans="14:14" ht="14.25" customHeight="1">
      <c r="N1487" s="192">
        <v>0</v>
      </c>
    </row>
    <row r="1488" spans="14:14" ht="14.25" customHeight="1">
      <c r="N1488" s="192">
        <v>0</v>
      </c>
    </row>
    <row r="1489" spans="14:14" ht="14.25" customHeight="1">
      <c r="N1489" s="192">
        <v>0</v>
      </c>
    </row>
    <row r="1490" spans="14:14" ht="14.25" customHeight="1">
      <c r="N1490" s="192">
        <v>0</v>
      </c>
    </row>
    <row r="1491" spans="14:14" ht="14.25" customHeight="1">
      <c r="N1491" s="192">
        <v>0</v>
      </c>
    </row>
    <row r="1492" spans="14:14" ht="14.25" customHeight="1">
      <c r="N1492" s="192">
        <v>0</v>
      </c>
    </row>
    <row r="1493" spans="14:14" ht="14.25" customHeight="1">
      <c r="N1493" s="192">
        <v>0</v>
      </c>
    </row>
    <row r="1494" spans="14:14" ht="14.25" customHeight="1">
      <c r="N1494" s="192">
        <v>0</v>
      </c>
    </row>
    <row r="1495" spans="14:14" ht="14.25" customHeight="1">
      <c r="N1495" s="192">
        <v>0</v>
      </c>
    </row>
    <row r="1496" spans="14:14" ht="14.25" customHeight="1">
      <c r="N1496" s="192">
        <v>0</v>
      </c>
    </row>
    <row r="1497" spans="14:14" ht="14.25" customHeight="1">
      <c r="N1497" s="192">
        <v>0</v>
      </c>
    </row>
    <row r="1498" spans="14:14" ht="14.25" customHeight="1">
      <c r="N1498" s="192">
        <v>0</v>
      </c>
    </row>
    <row r="1499" spans="14:14" ht="14.25" customHeight="1">
      <c r="N1499" s="192">
        <v>0</v>
      </c>
    </row>
    <row r="1500" spans="14:14" ht="14.25" customHeight="1">
      <c r="N1500" s="192">
        <v>0</v>
      </c>
    </row>
    <row r="1501" spans="14:14" ht="14.25" customHeight="1">
      <c r="N1501" s="192">
        <v>0</v>
      </c>
    </row>
    <row r="1502" spans="14:14" ht="14.25" customHeight="1">
      <c r="N1502" s="192">
        <v>0</v>
      </c>
    </row>
    <row r="1503" spans="14:14" ht="14.25" customHeight="1">
      <c r="N1503" s="192">
        <v>0</v>
      </c>
    </row>
    <row r="1504" spans="14:14" ht="14.25" customHeight="1">
      <c r="N1504" s="192">
        <v>0</v>
      </c>
    </row>
    <row r="1505" spans="14:14" ht="14.25" customHeight="1">
      <c r="N1505" s="192">
        <v>0</v>
      </c>
    </row>
    <row r="1506" spans="14:14" ht="14.25" customHeight="1">
      <c r="N1506" s="192">
        <v>0</v>
      </c>
    </row>
    <row r="1507" spans="14:14" ht="14.25" customHeight="1">
      <c r="N1507" s="192">
        <v>0</v>
      </c>
    </row>
    <row r="1508" spans="14:14" ht="14.25" customHeight="1">
      <c r="N1508" s="192">
        <v>0</v>
      </c>
    </row>
    <row r="1509" spans="14:14" ht="14.25" customHeight="1">
      <c r="N1509" s="192">
        <v>0</v>
      </c>
    </row>
    <row r="1510" spans="14:14" ht="14.25" customHeight="1">
      <c r="N1510" s="192">
        <v>0</v>
      </c>
    </row>
    <row r="1511" spans="14:14" ht="14.25" customHeight="1">
      <c r="N1511" s="192">
        <v>0</v>
      </c>
    </row>
    <row r="1512" spans="14:14" ht="14.25" customHeight="1">
      <c r="N1512" s="192">
        <v>0</v>
      </c>
    </row>
    <row r="1513" spans="14:14" ht="14.25" customHeight="1">
      <c r="N1513" s="192">
        <v>0</v>
      </c>
    </row>
    <row r="1514" spans="14:14" ht="14.25" customHeight="1">
      <c r="N1514" s="192">
        <v>0</v>
      </c>
    </row>
    <row r="1515" spans="14:14" ht="14.25" customHeight="1">
      <c r="N1515" s="192">
        <v>0</v>
      </c>
    </row>
    <row r="1516" spans="14:14" ht="14.25" customHeight="1">
      <c r="N1516" s="192">
        <v>0</v>
      </c>
    </row>
    <row r="1517" spans="14:14" ht="14.25" customHeight="1">
      <c r="N1517" s="192">
        <v>0</v>
      </c>
    </row>
    <row r="1518" spans="14:14" ht="14.25" customHeight="1">
      <c r="N1518" s="192">
        <v>0</v>
      </c>
    </row>
    <row r="1519" spans="14:14" ht="14.25" customHeight="1">
      <c r="N1519" s="192">
        <v>0</v>
      </c>
    </row>
    <row r="1520" spans="14:14" ht="14.25" customHeight="1">
      <c r="N1520" s="192">
        <v>0</v>
      </c>
    </row>
    <row r="1521" spans="14:14" ht="14.25" customHeight="1">
      <c r="N1521" s="192">
        <v>0</v>
      </c>
    </row>
    <row r="1522" spans="14:14" ht="14.25" customHeight="1">
      <c r="N1522" s="192">
        <v>0</v>
      </c>
    </row>
    <row r="1523" spans="14:14" ht="14.25" customHeight="1">
      <c r="N1523" s="192">
        <v>0</v>
      </c>
    </row>
    <row r="1524" spans="14:14" ht="14.25" customHeight="1">
      <c r="N1524" s="192">
        <v>0</v>
      </c>
    </row>
    <row r="1525" spans="14:14" ht="14.25" customHeight="1">
      <c r="N1525" s="192">
        <v>0</v>
      </c>
    </row>
    <row r="1526" spans="14:14" ht="14.25" customHeight="1">
      <c r="N1526" s="192">
        <v>0</v>
      </c>
    </row>
    <row r="1527" spans="14:14" ht="14.25" customHeight="1">
      <c r="N1527" s="192">
        <v>0</v>
      </c>
    </row>
    <row r="1528" spans="14:14" ht="14.25" customHeight="1">
      <c r="N1528" s="192">
        <v>0</v>
      </c>
    </row>
    <row r="1529" spans="14:14" ht="14.25" customHeight="1">
      <c r="N1529" s="192">
        <v>0</v>
      </c>
    </row>
    <row r="1530" spans="14:14" ht="14.25" customHeight="1">
      <c r="N1530" s="192">
        <v>0</v>
      </c>
    </row>
    <row r="1531" spans="14:14" ht="14.25" customHeight="1">
      <c r="N1531" s="192">
        <v>0</v>
      </c>
    </row>
    <row r="1532" spans="14:14" ht="14.25" customHeight="1">
      <c r="N1532" s="192">
        <v>0</v>
      </c>
    </row>
    <row r="1533" spans="14:14" ht="14.25" customHeight="1">
      <c r="N1533" s="192">
        <v>0</v>
      </c>
    </row>
    <row r="1534" spans="14:14" ht="14.25" customHeight="1">
      <c r="N1534" s="192">
        <v>0</v>
      </c>
    </row>
    <row r="1535" spans="14:14" ht="14.25" customHeight="1">
      <c r="N1535" s="192">
        <v>0</v>
      </c>
    </row>
    <row r="1536" spans="14:14" ht="14.25" customHeight="1">
      <c r="N1536" s="192">
        <v>0</v>
      </c>
    </row>
    <row r="1537" spans="14:14" ht="14.25" customHeight="1">
      <c r="N1537" s="192">
        <v>0</v>
      </c>
    </row>
    <row r="1538" spans="14:14" ht="14.25" customHeight="1">
      <c r="N1538" s="192">
        <v>0</v>
      </c>
    </row>
    <row r="1539" spans="14:14" ht="14.25" customHeight="1">
      <c r="N1539" s="192">
        <v>0</v>
      </c>
    </row>
    <row r="1540" spans="14:14" ht="14.25" customHeight="1">
      <c r="N1540" s="192">
        <v>0</v>
      </c>
    </row>
    <row r="1541" spans="14:14" ht="14.25" customHeight="1">
      <c r="N1541" s="192">
        <v>0</v>
      </c>
    </row>
    <row r="1542" spans="14:14" ht="14.25" customHeight="1">
      <c r="N1542" s="192">
        <v>0</v>
      </c>
    </row>
    <row r="1543" spans="14:14" ht="14.25" customHeight="1">
      <c r="N1543" s="192">
        <v>0</v>
      </c>
    </row>
    <row r="1544" spans="14:14" ht="14.25" customHeight="1">
      <c r="N1544" s="192">
        <v>0</v>
      </c>
    </row>
    <row r="1545" spans="14:14" ht="14.25" customHeight="1">
      <c r="N1545" s="192">
        <v>0</v>
      </c>
    </row>
    <row r="1546" spans="14:14" ht="14.25" customHeight="1">
      <c r="N1546" s="192">
        <v>0</v>
      </c>
    </row>
    <row r="1547" spans="14:14" ht="14.25" customHeight="1">
      <c r="N1547" s="192">
        <v>0</v>
      </c>
    </row>
    <row r="1548" spans="14:14" ht="14.25" customHeight="1">
      <c r="N1548" s="192">
        <v>0</v>
      </c>
    </row>
    <row r="1549" spans="14:14" ht="14.25" customHeight="1">
      <c r="N1549" s="192">
        <v>0</v>
      </c>
    </row>
    <row r="1550" spans="14:14" ht="14.25" customHeight="1">
      <c r="N1550" s="192">
        <v>0</v>
      </c>
    </row>
    <row r="1551" spans="14:14" ht="14.25" customHeight="1">
      <c r="N1551" s="192">
        <v>0</v>
      </c>
    </row>
    <row r="1552" spans="14:14" ht="14.25" customHeight="1">
      <c r="N1552" s="192">
        <v>0</v>
      </c>
    </row>
    <row r="1553" spans="14:14" ht="14.25" customHeight="1">
      <c r="N1553" s="192">
        <v>0</v>
      </c>
    </row>
    <row r="1554" spans="14:14" ht="14.25" customHeight="1">
      <c r="N1554" s="192">
        <v>0</v>
      </c>
    </row>
    <row r="1555" spans="14:14" ht="14.25" customHeight="1">
      <c r="N1555" s="192">
        <v>0</v>
      </c>
    </row>
    <row r="1556" spans="14:14" ht="14.25" customHeight="1">
      <c r="N1556" s="192">
        <v>0</v>
      </c>
    </row>
    <row r="1557" spans="14:14" ht="14.25" customHeight="1">
      <c r="N1557" s="192">
        <v>0</v>
      </c>
    </row>
    <row r="1558" spans="14:14" ht="14.25" customHeight="1">
      <c r="N1558" s="192">
        <v>0</v>
      </c>
    </row>
    <row r="1559" spans="14:14" ht="14.25" customHeight="1">
      <c r="N1559" s="192">
        <v>0</v>
      </c>
    </row>
    <row r="1560" spans="14:14" ht="14.25" customHeight="1">
      <c r="N1560" s="192">
        <v>0</v>
      </c>
    </row>
    <row r="1561" spans="14:14" ht="14.25" customHeight="1">
      <c r="N1561" s="192">
        <v>0</v>
      </c>
    </row>
    <row r="1562" spans="14:14" ht="14.25" customHeight="1">
      <c r="N1562" s="192">
        <v>0</v>
      </c>
    </row>
    <row r="1563" spans="14:14" ht="14.25" customHeight="1">
      <c r="N1563" s="192">
        <v>0</v>
      </c>
    </row>
    <row r="1564" spans="14:14" ht="14.25" customHeight="1">
      <c r="N1564" s="192">
        <v>0</v>
      </c>
    </row>
    <row r="1565" spans="14:14" ht="14.25" customHeight="1">
      <c r="N1565" s="192">
        <v>0</v>
      </c>
    </row>
    <row r="1566" spans="14:14" ht="14.25" customHeight="1">
      <c r="N1566" s="192">
        <v>0</v>
      </c>
    </row>
    <row r="1567" spans="14:14" ht="14.25" customHeight="1">
      <c r="N1567" s="192">
        <v>0</v>
      </c>
    </row>
    <row r="1568" spans="14:14" ht="14.25" customHeight="1">
      <c r="N1568" s="192">
        <v>0</v>
      </c>
    </row>
    <row r="1569" spans="14:14" ht="14.25" customHeight="1">
      <c r="N1569" s="192">
        <v>0</v>
      </c>
    </row>
    <row r="1570" spans="14:14" ht="14.25" customHeight="1">
      <c r="N1570" s="192">
        <v>0</v>
      </c>
    </row>
    <row r="1571" spans="14:14" ht="14.25" customHeight="1">
      <c r="N1571" s="192">
        <v>0</v>
      </c>
    </row>
    <row r="1572" spans="14:14" ht="14.25" customHeight="1">
      <c r="N1572" s="192">
        <v>0</v>
      </c>
    </row>
    <row r="1573" spans="14:14" ht="14.25" customHeight="1">
      <c r="N1573" s="192">
        <v>0</v>
      </c>
    </row>
    <row r="1574" spans="14:14" ht="14.25" customHeight="1">
      <c r="N1574" s="192">
        <v>0</v>
      </c>
    </row>
    <row r="1575" spans="14:14" ht="14.25" customHeight="1">
      <c r="N1575" s="192">
        <v>0</v>
      </c>
    </row>
    <row r="1576" spans="14:14" ht="14.25" customHeight="1">
      <c r="N1576" s="192">
        <v>0</v>
      </c>
    </row>
    <row r="1577" spans="14:14" ht="14.25" customHeight="1">
      <c r="N1577" s="192">
        <v>0</v>
      </c>
    </row>
    <row r="1578" spans="14:14" ht="14.25" customHeight="1">
      <c r="N1578" s="192">
        <v>0</v>
      </c>
    </row>
    <row r="1579" spans="14:14" ht="14.25" customHeight="1">
      <c r="N1579" s="192">
        <v>0</v>
      </c>
    </row>
    <row r="1580" spans="14:14" ht="14.25" customHeight="1">
      <c r="N1580" s="192">
        <v>0</v>
      </c>
    </row>
    <row r="1581" spans="14:14" ht="14.25" customHeight="1">
      <c r="N1581" s="192">
        <v>0</v>
      </c>
    </row>
    <row r="1582" spans="14:14" ht="14.25" customHeight="1">
      <c r="N1582" s="192">
        <v>0</v>
      </c>
    </row>
    <row r="1583" spans="14:14" ht="14.25" customHeight="1">
      <c r="N1583" s="192">
        <v>0</v>
      </c>
    </row>
    <row r="1584" spans="14:14" ht="14.25" customHeight="1">
      <c r="N1584" s="192">
        <v>0</v>
      </c>
    </row>
    <row r="1585" spans="14:14" ht="14.25" customHeight="1">
      <c r="N1585" s="192">
        <v>0</v>
      </c>
    </row>
    <row r="1586" spans="14:14" ht="14.25" customHeight="1">
      <c r="N1586" s="192">
        <v>0</v>
      </c>
    </row>
    <row r="1587" spans="14:14" ht="14.25" customHeight="1">
      <c r="N1587" s="192">
        <v>0</v>
      </c>
    </row>
    <row r="1588" spans="14:14" ht="14.25" customHeight="1">
      <c r="N1588" s="192">
        <v>0</v>
      </c>
    </row>
    <row r="1589" spans="14:14" ht="14.25" customHeight="1">
      <c r="N1589" s="192">
        <v>0</v>
      </c>
    </row>
    <row r="1590" spans="14:14" ht="14.25" customHeight="1">
      <c r="N1590" s="192">
        <v>0</v>
      </c>
    </row>
    <row r="1591" spans="14:14" ht="14.25" customHeight="1">
      <c r="N1591" s="192">
        <v>0</v>
      </c>
    </row>
    <row r="1592" spans="14:14" ht="14.25" customHeight="1">
      <c r="N1592" s="192">
        <v>0</v>
      </c>
    </row>
    <row r="1593" spans="14:14" ht="14.25" customHeight="1">
      <c r="N1593" s="192">
        <v>0</v>
      </c>
    </row>
    <row r="1594" spans="14:14" ht="14.25" customHeight="1">
      <c r="N1594" s="192">
        <v>0</v>
      </c>
    </row>
    <row r="1595" spans="14:14" ht="14.25" customHeight="1">
      <c r="N1595" s="192">
        <v>0</v>
      </c>
    </row>
    <row r="1596" spans="14:14" ht="14.25" customHeight="1">
      <c r="N1596" s="192">
        <v>0</v>
      </c>
    </row>
    <row r="1597" spans="14:14" ht="14.25" customHeight="1">
      <c r="N1597" s="192">
        <v>0</v>
      </c>
    </row>
    <row r="1598" spans="14:14" ht="14.25" customHeight="1">
      <c r="N1598" s="192">
        <v>0</v>
      </c>
    </row>
    <row r="1599" spans="14:14" ht="14.25" customHeight="1">
      <c r="N1599" s="192">
        <v>0</v>
      </c>
    </row>
    <row r="1600" spans="14:14" ht="14.25" customHeight="1">
      <c r="N1600" s="192">
        <v>0</v>
      </c>
    </row>
    <row r="1601" spans="14:14" ht="14.25" customHeight="1">
      <c r="N1601" s="192">
        <v>0</v>
      </c>
    </row>
    <row r="1602" spans="14:14" ht="14.25" customHeight="1">
      <c r="N1602" s="192">
        <v>0</v>
      </c>
    </row>
    <row r="1603" spans="14:14" ht="14.25" customHeight="1">
      <c r="N1603" s="192">
        <v>0</v>
      </c>
    </row>
    <row r="1604" spans="14:14" ht="14.25" customHeight="1">
      <c r="N1604" s="192">
        <v>0</v>
      </c>
    </row>
    <row r="1605" spans="14:14" ht="14.25" customHeight="1">
      <c r="N1605" s="192">
        <v>0</v>
      </c>
    </row>
    <row r="1606" spans="14:14" ht="14.25" customHeight="1">
      <c r="N1606" s="192">
        <v>0</v>
      </c>
    </row>
    <row r="1607" spans="14:14" ht="14.25" customHeight="1">
      <c r="N1607" s="192">
        <v>0</v>
      </c>
    </row>
    <row r="1608" spans="14:14" ht="14.25" customHeight="1">
      <c r="N1608" s="192">
        <v>0</v>
      </c>
    </row>
    <row r="1609" spans="14:14" ht="14.25" customHeight="1">
      <c r="N1609" s="192">
        <v>0</v>
      </c>
    </row>
    <row r="1610" spans="14:14" ht="14.25" customHeight="1">
      <c r="N1610" s="192">
        <v>0</v>
      </c>
    </row>
    <row r="1611" spans="14:14" ht="14.25" customHeight="1">
      <c r="N1611" s="192">
        <v>0</v>
      </c>
    </row>
    <row r="1612" spans="14:14" ht="14.25" customHeight="1">
      <c r="N1612" s="192">
        <v>0</v>
      </c>
    </row>
    <row r="1613" spans="14:14" ht="14.25" customHeight="1">
      <c r="N1613" s="192">
        <v>0</v>
      </c>
    </row>
    <row r="1614" spans="14:14" ht="14.25" customHeight="1">
      <c r="N1614" s="192">
        <v>0</v>
      </c>
    </row>
    <row r="1615" spans="14:14" ht="14.25" customHeight="1">
      <c r="N1615" s="192">
        <v>0</v>
      </c>
    </row>
    <row r="1616" spans="14:14" ht="14.25" customHeight="1">
      <c r="N1616" s="192">
        <v>0</v>
      </c>
    </row>
    <row r="1617" spans="14:14" ht="14.25" customHeight="1">
      <c r="N1617" s="192">
        <v>0</v>
      </c>
    </row>
    <row r="1618" spans="14:14" ht="14.25" customHeight="1">
      <c r="N1618" s="192">
        <v>0</v>
      </c>
    </row>
    <row r="1619" spans="14:14" ht="14.25" customHeight="1">
      <c r="N1619" s="192">
        <v>0</v>
      </c>
    </row>
    <row r="1620" spans="14:14" ht="14.25" customHeight="1">
      <c r="N1620" s="192">
        <v>0</v>
      </c>
    </row>
    <row r="1621" spans="14:14" ht="14.25" customHeight="1">
      <c r="N1621" s="192">
        <v>0</v>
      </c>
    </row>
    <row r="1622" spans="14:14" ht="14.25" customHeight="1">
      <c r="N1622" s="192">
        <v>0</v>
      </c>
    </row>
    <row r="1623" spans="14:14" ht="14.25" customHeight="1">
      <c r="N1623" s="192">
        <v>0</v>
      </c>
    </row>
    <row r="1624" spans="14:14" ht="14.25" customHeight="1">
      <c r="N1624" s="192">
        <v>0</v>
      </c>
    </row>
    <row r="1625" spans="14:14" ht="14.25" customHeight="1">
      <c r="N1625" s="192">
        <v>0</v>
      </c>
    </row>
    <row r="1626" spans="14:14" ht="14.25" customHeight="1">
      <c r="N1626" s="192">
        <v>0</v>
      </c>
    </row>
    <row r="1627" spans="14:14" ht="14.25" customHeight="1">
      <c r="N1627" s="192">
        <v>0</v>
      </c>
    </row>
    <row r="1628" spans="14:14" ht="14.25" customHeight="1">
      <c r="N1628" s="192">
        <v>0</v>
      </c>
    </row>
    <row r="1629" spans="14:14" ht="14.25" customHeight="1">
      <c r="N1629" s="192">
        <v>0</v>
      </c>
    </row>
    <row r="1630" spans="14:14" ht="14.25" customHeight="1">
      <c r="N1630" s="192">
        <v>0</v>
      </c>
    </row>
    <row r="1631" spans="14:14" ht="14.25" customHeight="1">
      <c r="N1631" s="192">
        <v>0</v>
      </c>
    </row>
    <row r="1632" spans="14:14" ht="14.25" customHeight="1">
      <c r="N1632" s="192">
        <v>0</v>
      </c>
    </row>
    <row r="1633" spans="14:14" ht="14.25" customHeight="1">
      <c r="N1633" s="192">
        <v>0</v>
      </c>
    </row>
    <row r="1634" spans="14:14" ht="14.25" customHeight="1">
      <c r="N1634" s="192">
        <v>0</v>
      </c>
    </row>
    <row r="1635" spans="14:14" ht="14.25" customHeight="1">
      <c r="N1635" s="192">
        <v>0</v>
      </c>
    </row>
    <row r="1636" spans="14:14" ht="14.25" customHeight="1">
      <c r="N1636" s="192">
        <v>0</v>
      </c>
    </row>
    <row r="1637" spans="14:14" ht="14.25" customHeight="1">
      <c r="N1637" s="192">
        <v>0</v>
      </c>
    </row>
    <row r="1638" spans="14:14" ht="14.25" customHeight="1">
      <c r="N1638" s="192">
        <v>0</v>
      </c>
    </row>
    <row r="1639" spans="14:14" ht="14.25" customHeight="1">
      <c r="N1639" s="192">
        <v>0</v>
      </c>
    </row>
    <row r="1640" spans="14:14" ht="14.25" customHeight="1">
      <c r="N1640" s="192">
        <v>0</v>
      </c>
    </row>
    <row r="1641" spans="14:14" ht="14.25" customHeight="1">
      <c r="N1641" s="192">
        <v>0</v>
      </c>
    </row>
    <row r="1642" spans="14:14" ht="14.25" customHeight="1">
      <c r="N1642" s="192">
        <v>0</v>
      </c>
    </row>
    <row r="1643" spans="14:14" ht="14.25" customHeight="1">
      <c r="N1643" s="192">
        <v>0</v>
      </c>
    </row>
    <row r="1644" spans="14:14" ht="14.25" customHeight="1">
      <c r="N1644" s="192">
        <v>0</v>
      </c>
    </row>
    <row r="1645" spans="14:14" ht="14.25" customHeight="1">
      <c r="N1645" s="192">
        <v>0</v>
      </c>
    </row>
    <row r="1646" spans="14:14" ht="14.25" customHeight="1">
      <c r="N1646" s="192">
        <v>0</v>
      </c>
    </row>
    <row r="1647" spans="14:14" ht="14.25" customHeight="1">
      <c r="N1647" s="192">
        <v>0</v>
      </c>
    </row>
    <row r="1648" spans="14:14" ht="14.25" customHeight="1">
      <c r="N1648" s="192">
        <v>0</v>
      </c>
    </row>
    <row r="1649" spans="14:14" ht="14.25" customHeight="1">
      <c r="N1649" s="192">
        <v>0</v>
      </c>
    </row>
    <row r="1650" spans="14:14" ht="14.25" customHeight="1">
      <c r="N1650" s="192">
        <v>0</v>
      </c>
    </row>
    <row r="1651" spans="14:14" ht="14.25" customHeight="1">
      <c r="N1651" s="192">
        <v>0</v>
      </c>
    </row>
    <row r="1652" spans="14:14" ht="14.25" customHeight="1">
      <c r="N1652" s="192">
        <v>0</v>
      </c>
    </row>
    <row r="1653" spans="14:14" ht="14.25" customHeight="1">
      <c r="N1653" s="192">
        <v>0</v>
      </c>
    </row>
    <row r="1654" spans="14:14" ht="14.25" customHeight="1">
      <c r="N1654" s="192">
        <v>0</v>
      </c>
    </row>
    <row r="1655" spans="14:14" ht="14.25" customHeight="1">
      <c r="N1655" s="192">
        <v>0</v>
      </c>
    </row>
    <row r="1656" spans="14:14" ht="14.25" customHeight="1">
      <c r="N1656" s="192">
        <v>0</v>
      </c>
    </row>
    <row r="1657" spans="14:14" ht="14.25" customHeight="1">
      <c r="N1657" s="192">
        <v>0</v>
      </c>
    </row>
    <row r="1658" spans="14:14" ht="14.25" customHeight="1">
      <c r="N1658" s="192">
        <v>0</v>
      </c>
    </row>
    <row r="1659" spans="14:14" ht="14.25" customHeight="1">
      <c r="N1659" s="192">
        <v>0</v>
      </c>
    </row>
    <row r="1660" spans="14:14" ht="14.25" customHeight="1">
      <c r="N1660" s="192">
        <v>0</v>
      </c>
    </row>
    <row r="1661" spans="14:14" ht="14.25" customHeight="1">
      <c r="N1661" s="192">
        <v>0</v>
      </c>
    </row>
    <row r="1662" spans="14:14" ht="14.25" customHeight="1">
      <c r="N1662" s="192">
        <v>0</v>
      </c>
    </row>
    <row r="1663" spans="14:14" ht="14.25" customHeight="1">
      <c r="N1663" s="192">
        <v>0</v>
      </c>
    </row>
    <row r="1664" spans="14:14" ht="14.25" customHeight="1">
      <c r="N1664" s="192">
        <v>0</v>
      </c>
    </row>
    <row r="1665" spans="14:14" ht="14.25" customHeight="1">
      <c r="N1665" s="192">
        <v>0</v>
      </c>
    </row>
    <row r="1666" spans="14:14" ht="14.25" customHeight="1">
      <c r="N1666" s="192">
        <v>0</v>
      </c>
    </row>
    <row r="1667" spans="14:14" ht="14.25" customHeight="1">
      <c r="N1667" s="192">
        <v>0</v>
      </c>
    </row>
    <row r="1668" spans="14:14" ht="14.25" customHeight="1">
      <c r="N1668" s="192">
        <v>0</v>
      </c>
    </row>
    <row r="1669" spans="14:14" ht="14.25" customHeight="1">
      <c r="N1669" s="192">
        <v>0</v>
      </c>
    </row>
    <row r="1670" spans="14:14" ht="14.25" customHeight="1">
      <c r="N1670" s="192">
        <v>0</v>
      </c>
    </row>
    <row r="1671" spans="14:14" ht="14.25" customHeight="1">
      <c r="N1671" s="192">
        <v>0</v>
      </c>
    </row>
    <row r="1672" spans="14:14" ht="14.25" customHeight="1">
      <c r="N1672" s="192">
        <v>0</v>
      </c>
    </row>
    <row r="1673" spans="14:14" ht="14.25" customHeight="1">
      <c r="N1673" s="192">
        <v>0</v>
      </c>
    </row>
    <row r="1674" spans="14:14" ht="14.25" customHeight="1">
      <c r="N1674" s="192">
        <v>0</v>
      </c>
    </row>
    <row r="1675" spans="14:14" ht="14.25" customHeight="1">
      <c r="N1675" s="192">
        <v>0</v>
      </c>
    </row>
    <row r="1676" spans="14:14" ht="14.25" customHeight="1">
      <c r="N1676" s="192">
        <v>0</v>
      </c>
    </row>
    <row r="1677" spans="14:14" ht="14.25" customHeight="1">
      <c r="N1677" s="192">
        <v>0</v>
      </c>
    </row>
    <row r="1678" spans="14:14" ht="14.25" customHeight="1">
      <c r="N1678" s="192">
        <v>0</v>
      </c>
    </row>
    <row r="1679" spans="14:14" ht="14.25" customHeight="1">
      <c r="N1679" s="192">
        <v>0</v>
      </c>
    </row>
    <row r="1680" spans="14:14" ht="14.25" customHeight="1">
      <c r="N1680" s="192">
        <v>0</v>
      </c>
    </row>
    <row r="1681" spans="14:14" ht="14.25" customHeight="1">
      <c r="N1681" s="192">
        <v>0</v>
      </c>
    </row>
    <row r="1682" spans="14:14" ht="14.25" customHeight="1">
      <c r="N1682" s="192">
        <v>0</v>
      </c>
    </row>
    <row r="1683" spans="14:14" ht="14.25" customHeight="1">
      <c r="N1683" s="192">
        <v>0</v>
      </c>
    </row>
    <row r="1684" spans="14:14" ht="14.25" customHeight="1">
      <c r="N1684" s="192">
        <v>0</v>
      </c>
    </row>
    <row r="1685" spans="14:14" ht="14.25" customHeight="1">
      <c r="N1685" s="192">
        <v>0</v>
      </c>
    </row>
    <row r="1686" spans="14:14" ht="14.25" customHeight="1">
      <c r="N1686" s="192">
        <v>0</v>
      </c>
    </row>
    <row r="1687" spans="14:14" ht="14.25" customHeight="1">
      <c r="N1687" s="192">
        <v>0</v>
      </c>
    </row>
    <row r="1688" spans="14:14" ht="14.25" customHeight="1">
      <c r="N1688" s="192">
        <v>0</v>
      </c>
    </row>
    <row r="1689" spans="14:14" ht="14.25" customHeight="1">
      <c r="N1689" s="192">
        <v>0</v>
      </c>
    </row>
    <row r="1690" spans="14:14" ht="14.25" customHeight="1">
      <c r="N1690" s="192">
        <v>0</v>
      </c>
    </row>
    <row r="1691" spans="14:14" ht="14.25" customHeight="1">
      <c r="N1691" s="192">
        <v>0</v>
      </c>
    </row>
    <row r="1692" spans="14:14" ht="14.25" customHeight="1">
      <c r="N1692" s="192">
        <v>0</v>
      </c>
    </row>
    <row r="1693" spans="14:14" ht="14.25" customHeight="1">
      <c r="N1693" s="192">
        <v>0</v>
      </c>
    </row>
    <row r="1694" spans="14:14" ht="14.25" customHeight="1">
      <c r="N1694" s="192">
        <v>0</v>
      </c>
    </row>
    <row r="1695" spans="14:14" ht="14.25" customHeight="1">
      <c r="N1695" s="192">
        <v>0</v>
      </c>
    </row>
    <row r="1696" spans="14:14" ht="14.25" customHeight="1">
      <c r="N1696" s="192">
        <v>0</v>
      </c>
    </row>
    <row r="1697" spans="14:14" ht="14.25" customHeight="1">
      <c r="N1697" s="192">
        <v>0</v>
      </c>
    </row>
    <row r="1698" spans="14:14" ht="14.25" customHeight="1">
      <c r="N1698" s="192">
        <v>0</v>
      </c>
    </row>
    <row r="1699" spans="14:14" ht="14.25" customHeight="1">
      <c r="N1699" s="192">
        <v>0</v>
      </c>
    </row>
    <row r="1700" spans="14:14" ht="14.25" customHeight="1">
      <c r="N1700" s="192">
        <v>0</v>
      </c>
    </row>
    <row r="1701" spans="14:14" ht="14.25" customHeight="1">
      <c r="N1701" s="192">
        <v>0</v>
      </c>
    </row>
    <row r="1702" spans="14:14" ht="14.25" customHeight="1">
      <c r="N1702" s="192">
        <v>0</v>
      </c>
    </row>
    <row r="1703" spans="14:14" ht="14.25" customHeight="1">
      <c r="N1703" s="192">
        <v>0</v>
      </c>
    </row>
    <row r="1704" spans="14:14" ht="14.25" customHeight="1">
      <c r="N1704" s="192">
        <v>0</v>
      </c>
    </row>
    <row r="1705" spans="14:14" ht="14.25" customHeight="1">
      <c r="N1705" s="192">
        <v>0</v>
      </c>
    </row>
    <row r="1706" spans="14:14" ht="14.25" customHeight="1">
      <c r="N1706" s="192">
        <v>0</v>
      </c>
    </row>
    <row r="1707" spans="14:14" ht="14.25" customHeight="1">
      <c r="N1707" s="192">
        <v>0</v>
      </c>
    </row>
    <row r="1708" spans="14:14" ht="14.25" customHeight="1">
      <c r="N1708" s="192">
        <v>0</v>
      </c>
    </row>
    <row r="1709" spans="14:14" ht="14.25" customHeight="1">
      <c r="N1709" s="192">
        <v>0</v>
      </c>
    </row>
    <row r="1710" spans="14:14" ht="14.25" customHeight="1">
      <c r="N1710" s="192">
        <v>0</v>
      </c>
    </row>
    <row r="1711" spans="14:14" ht="14.25" customHeight="1">
      <c r="N1711" s="192">
        <v>0</v>
      </c>
    </row>
    <row r="1712" spans="14:14" ht="14.25" customHeight="1">
      <c r="N1712" s="192">
        <v>0</v>
      </c>
    </row>
    <row r="1713" spans="14:14" ht="14.25" customHeight="1">
      <c r="N1713" s="192">
        <v>0</v>
      </c>
    </row>
    <row r="1714" spans="14:14" ht="14.25" customHeight="1">
      <c r="N1714" s="192">
        <v>0</v>
      </c>
    </row>
    <row r="1715" spans="14:14" ht="14.25" customHeight="1">
      <c r="N1715" s="192">
        <v>0</v>
      </c>
    </row>
    <row r="1716" spans="14:14" ht="14.25" customHeight="1">
      <c r="N1716" s="192">
        <v>0</v>
      </c>
    </row>
    <row r="1717" spans="14:14" ht="14.25" customHeight="1">
      <c r="N1717" s="192">
        <v>0</v>
      </c>
    </row>
    <row r="1718" spans="14:14" ht="14.25" customHeight="1">
      <c r="N1718" s="192">
        <v>0</v>
      </c>
    </row>
    <row r="1719" spans="14:14" ht="14.25" customHeight="1">
      <c r="N1719" s="192">
        <v>0</v>
      </c>
    </row>
    <row r="1720" spans="14:14" ht="14.25" customHeight="1">
      <c r="N1720" s="192">
        <v>0</v>
      </c>
    </row>
    <row r="1721" spans="14:14" ht="14.25" customHeight="1">
      <c r="N1721" s="192">
        <v>0</v>
      </c>
    </row>
    <row r="1722" spans="14:14" ht="14.25" customHeight="1">
      <c r="N1722" s="192">
        <v>0</v>
      </c>
    </row>
    <row r="1723" spans="14:14" ht="14.25" customHeight="1">
      <c r="N1723" s="192">
        <v>0</v>
      </c>
    </row>
    <row r="1724" spans="14:14" ht="14.25" customHeight="1">
      <c r="N1724" s="192">
        <v>0</v>
      </c>
    </row>
    <row r="1725" spans="14:14" ht="14.25" customHeight="1">
      <c r="N1725" s="192">
        <v>0</v>
      </c>
    </row>
    <row r="1726" spans="14:14" ht="14.25" customHeight="1">
      <c r="N1726" s="192">
        <v>0</v>
      </c>
    </row>
    <row r="1727" spans="14:14" ht="14.25" customHeight="1">
      <c r="N1727" s="192">
        <v>0</v>
      </c>
    </row>
    <row r="1728" spans="14:14" ht="14.25" customHeight="1">
      <c r="N1728" s="192">
        <v>0</v>
      </c>
    </row>
    <row r="1729" spans="14:14" ht="14.25" customHeight="1">
      <c r="N1729" s="192">
        <v>0</v>
      </c>
    </row>
    <row r="1730" spans="14:14" ht="14.25" customHeight="1">
      <c r="N1730" s="192">
        <v>0</v>
      </c>
    </row>
    <row r="1731" spans="14:14" ht="14.25" customHeight="1">
      <c r="N1731" s="192">
        <v>0</v>
      </c>
    </row>
    <row r="1732" spans="14:14" ht="14.25" customHeight="1">
      <c r="N1732" s="192">
        <v>0</v>
      </c>
    </row>
    <row r="1733" spans="14:14" ht="14.25" customHeight="1">
      <c r="N1733" s="192">
        <v>0</v>
      </c>
    </row>
    <row r="1734" spans="14:14" ht="14.25" customHeight="1">
      <c r="N1734" s="192">
        <v>0</v>
      </c>
    </row>
    <row r="1735" spans="14:14" ht="14.25" customHeight="1">
      <c r="N1735" s="192">
        <v>0</v>
      </c>
    </row>
    <row r="1736" spans="14:14" ht="14.25" customHeight="1">
      <c r="N1736" s="192">
        <v>0</v>
      </c>
    </row>
    <row r="1737" spans="14:14" ht="14.25" customHeight="1">
      <c r="N1737" s="192">
        <v>0</v>
      </c>
    </row>
    <row r="1738" spans="14:14" ht="14.25" customHeight="1">
      <c r="N1738" s="192">
        <v>0</v>
      </c>
    </row>
    <row r="1739" spans="14:14" ht="14.25" customHeight="1">
      <c r="N1739" s="192">
        <v>0</v>
      </c>
    </row>
    <row r="1740" spans="14:14" ht="14.25" customHeight="1">
      <c r="N1740" s="192">
        <v>0</v>
      </c>
    </row>
    <row r="1741" spans="14:14" ht="14.25" customHeight="1">
      <c r="N1741" s="192">
        <v>0</v>
      </c>
    </row>
    <row r="1742" spans="14:14" ht="14.25" customHeight="1">
      <c r="N1742" s="192">
        <v>0</v>
      </c>
    </row>
    <row r="1743" spans="14:14" ht="14.25" customHeight="1">
      <c r="N1743" s="192">
        <v>0</v>
      </c>
    </row>
    <row r="1744" spans="14:14" ht="14.25" customHeight="1">
      <c r="N1744" s="192">
        <v>0</v>
      </c>
    </row>
    <row r="1745" spans="14:14" ht="14.25" customHeight="1">
      <c r="N1745" s="192">
        <v>0</v>
      </c>
    </row>
    <row r="1746" spans="14:14" ht="14.25" customHeight="1">
      <c r="N1746" s="192">
        <v>0</v>
      </c>
    </row>
    <row r="1747" spans="14:14" ht="14.25" customHeight="1">
      <c r="N1747" s="192">
        <v>0</v>
      </c>
    </row>
    <row r="1748" spans="14:14" ht="14.25" customHeight="1">
      <c r="N1748" s="192">
        <v>0</v>
      </c>
    </row>
    <row r="1749" spans="14:14" ht="14.25" customHeight="1">
      <c r="N1749" s="192">
        <v>0</v>
      </c>
    </row>
    <row r="1750" spans="14:14" ht="14.25" customHeight="1">
      <c r="N1750" s="192">
        <v>0</v>
      </c>
    </row>
    <row r="1751" spans="14:14" ht="14.25" customHeight="1">
      <c r="N1751" s="192">
        <v>0</v>
      </c>
    </row>
    <row r="1752" spans="14:14" ht="14.25" customHeight="1">
      <c r="N1752" s="192">
        <v>0</v>
      </c>
    </row>
    <row r="1753" spans="14:14" ht="14.25" customHeight="1">
      <c r="N1753" s="192">
        <v>0</v>
      </c>
    </row>
    <row r="1754" spans="14:14" ht="14.25" customHeight="1">
      <c r="N1754" s="192">
        <v>0</v>
      </c>
    </row>
    <row r="1755" spans="14:14" ht="14.25" customHeight="1">
      <c r="N1755" s="192">
        <v>0</v>
      </c>
    </row>
    <row r="1756" spans="14:14" ht="14.25" customHeight="1">
      <c r="N1756" s="192">
        <v>0</v>
      </c>
    </row>
    <row r="1757" spans="14:14" ht="14.25" customHeight="1">
      <c r="N1757" s="192">
        <v>0</v>
      </c>
    </row>
    <row r="1758" spans="14:14" ht="14.25" customHeight="1">
      <c r="N1758" s="192">
        <v>0</v>
      </c>
    </row>
    <row r="1759" spans="14:14" ht="14.25" customHeight="1">
      <c r="N1759" s="192">
        <v>0</v>
      </c>
    </row>
    <row r="1760" spans="14:14" ht="14.25" customHeight="1">
      <c r="N1760" s="192">
        <v>0</v>
      </c>
    </row>
    <row r="1761" spans="14:14" ht="14.25" customHeight="1">
      <c r="N1761" s="192">
        <v>0</v>
      </c>
    </row>
    <row r="1762" spans="14:14" ht="14.25" customHeight="1">
      <c r="N1762" s="192">
        <v>0</v>
      </c>
    </row>
    <row r="1763" spans="14:14" ht="14.25" customHeight="1">
      <c r="N1763" s="192">
        <v>0</v>
      </c>
    </row>
    <row r="1764" spans="14:14" ht="14.25" customHeight="1">
      <c r="N1764" s="192">
        <v>0</v>
      </c>
    </row>
    <row r="1765" spans="14:14" ht="14.25" customHeight="1">
      <c r="N1765" s="192">
        <v>0</v>
      </c>
    </row>
    <row r="1766" spans="14:14" ht="14.25" customHeight="1">
      <c r="N1766" s="192">
        <v>0</v>
      </c>
    </row>
    <row r="1767" spans="14:14" ht="14.25" customHeight="1">
      <c r="N1767" s="192">
        <v>0</v>
      </c>
    </row>
    <row r="1768" spans="14:14" ht="14.25" customHeight="1">
      <c r="N1768" s="192">
        <v>0</v>
      </c>
    </row>
    <row r="1769" spans="14:14" ht="14.25" customHeight="1">
      <c r="N1769" s="192">
        <v>0</v>
      </c>
    </row>
    <row r="1770" spans="14:14" ht="14.25" customHeight="1">
      <c r="N1770" s="192">
        <v>0</v>
      </c>
    </row>
    <row r="1771" spans="14:14" ht="14.25" customHeight="1">
      <c r="N1771" s="192">
        <v>0</v>
      </c>
    </row>
    <row r="1772" spans="14:14" ht="14.25" customHeight="1">
      <c r="N1772" s="192">
        <v>0</v>
      </c>
    </row>
    <row r="1773" spans="14:14" ht="14.25" customHeight="1">
      <c r="N1773" s="192">
        <v>0</v>
      </c>
    </row>
    <row r="1774" spans="14:14" ht="14.25" customHeight="1">
      <c r="N1774" s="192">
        <v>0</v>
      </c>
    </row>
    <row r="1775" spans="14:14" ht="14.25" customHeight="1">
      <c r="N1775" s="192">
        <v>0</v>
      </c>
    </row>
    <row r="1776" spans="14:14" ht="14.25" customHeight="1">
      <c r="N1776" s="192">
        <v>0</v>
      </c>
    </row>
    <row r="1777" spans="14:14" ht="14.25" customHeight="1">
      <c r="N1777" s="192">
        <v>0</v>
      </c>
    </row>
    <row r="1778" spans="14:14" ht="14.25" customHeight="1">
      <c r="N1778" s="192">
        <v>0</v>
      </c>
    </row>
    <row r="1779" spans="14:14" ht="14.25" customHeight="1">
      <c r="N1779" s="192">
        <v>0</v>
      </c>
    </row>
    <row r="1780" spans="14:14" ht="14.25" customHeight="1">
      <c r="N1780" s="192">
        <v>0</v>
      </c>
    </row>
    <row r="1781" spans="14:14" ht="14.25" customHeight="1">
      <c r="N1781" s="192">
        <v>0</v>
      </c>
    </row>
    <row r="1782" spans="14:14" ht="14.25" customHeight="1">
      <c r="N1782" s="192">
        <v>0</v>
      </c>
    </row>
    <row r="1783" spans="14:14" ht="14.25" customHeight="1">
      <c r="N1783" s="192">
        <v>0</v>
      </c>
    </row>
    <row r="1784" spans="14:14" ht="14.25" customHeight="1">
      <c r="N1784" s="192">
        <v>0</v>
      </c>
    </row>
    <row r="1785" spans="14:14" ht="14.25" customHeight="1">
      <c r="N1785" s="192">
        <v>0</v>
      </c>
    </row>
    <row r="1786" spans="14:14" ht="14.25" customHeight="1">
      <c r="N1786" s="192">
        <v>0</v>
      </c>
    </row>
    <row r="1787" spans="14:14" ht="14.25" customHeight="1">
      <c r="N1787" s="192">
        <v>0</v>
      </c>
    </row>
    <row r="1788" spans="14:14" ht="14.25" customHeight="1">
      <c r="N1788" s="192">
        <v>0</v>
      </c>
    </row>
    <row r="1789" spans="14:14" ht="14.25" customHeight="1">
      <c r="N1789" s="192">
        <v>0</v>
      </c>
    </row>
    <row r="1790" spans="14:14" ht="14.25" customHeight="1">
      <c r="N1790" s="192">
        <v>0</v>
      </c>
    </row>
    <row r="1791" spans="14:14" ht="14.25" customHeight="1">
      <c r="N1791" s="192">
        <v>0</v>
      </c>
    </row>
    <row r="1792" spans="14:14" ht="14.25" customHeight="1">
      <c r="N1792" s="192">
        <v>0</v>
      </c>
    </row>
    <row r="1793" spans="14:14" ht="14.25" customHeight="1">
      <c r="N1793" s="192">
        <v>0</v>
      </c>
    </row>
    <row r="1794" spans="14:14" ht="14.25" customHeight="1">
      <c r="N1794" s="192">
        <v>0</v>
      </c>
    </row>
    <row r="1795" spans="14:14" ht="14.25" customHeight="1">
      <c r="N1795" s="192">
        <v>0</v>
      </c>
    </row>
    <row r="1796" spans="14:14" ht="14.25" customHeight="1">
      <c r="N1796" s="192">
        <v>0</v>
      </c>
    </row>
    <row r="1797" spans="14:14" ht="14.25" customHeight="1">
      <c r="N1797" s="192">
        <v>0</v>
      </c>
    </row>
    <row r="1798" spans="14:14" ht="14.25" customHeight="1">
      <c r="N1798" s="192">
        <v>0</v>
      </c>
    </row>
    <row r="1799" spans="14:14" ht="14.25" customHeight="1">
      <c r="N1799" s="192">
        <v>0</v>
      </c>
    </row>
    <row r="1800" spans="14:14" ht="14.25" customHeight="1">
      <c r="N1800" s="192">
        <v>0</v>
      </c>
    </row>
    <row r="1801" spans="14:14" ht="14.25" customHeight="1">
      <c r="N1801" s="192">
        <v>0</v>
      </c>
    </row>
    <row r="1802" spans="14:14" ht="14.25" customHeight="1">
      <c r="N1802" s="192">
        <v>0</v>
      </c>
    </row>
    <row r="1803" spans="14:14" ht="14.25" customHeight="1">
      <c r="N1803" s="192">
        <v>0</v>
      </c>
    </row>
    <row r="1804" spans="14:14" ht="14.25" customHeight="1">
      <c r="N1804" s="192">
        <v>0</v>
      </c>
    </row>
    <row r="1805" spans="14:14" ht="14.25" customHeight="1">
      <c r="N1805" s="192">
        <v>0</v>
      </c>
    </row>
    <row r="1806" spans="14:14" ht="14.25" customHeight="1">
      <c r="N1806" s="192">
        <v>0</v>
      </c>
    </row>
    <row r="1807" spans="14:14" ht="14.25" customHeight="1">
      <c r="N1807" s="192">
        <v>0</v>
      </c>
    </row>
    <row r="1808" spans="14:14" ht="14.25" customHeight="1">
      <c r="N1808" s="192">
        <v>0</v>
      </c>
    </row>
    <row r="1809" spans="14:14" ht="14.25" customHeight="1">
      <c r="N1809" s="192">
        <v>0</v>
      </c>
    </row>
    <row r="1810" spans="14:14" ht="14.25" customHeight="1">
      <c r="N1810" s="192">
        <v>0</v>
      </c>
    </row>
    <row r="1811" spans="14:14" ht="14.25" customHeight="1">
      <c r="N1811" s="192">
        <v>0</v>
      </c>
    </row>
    <row r="1812" spans="14:14" ht="14.25" customHeight="1">
      <c r="N1812" s="192">
        <v>0</v>
      </c>
    </row>
    <row r="1813" spans="14:14" ht="14.25" customHeight="1">
      <c r="N1813" s="192">
        <v>0</v>
      </c>
    </row>
    <row r="1814" spans="14:14" ht="14.25" customHeight="1">
      <c r="N1814" s="192">
        <v>0</v>
      </c>
    </row>
    <row r="1815" spans="14:14" ht="14.25" customHeight="1">
      <c r="N1815" s="192">
        <v>0</v>
      </c>
    </row>
    <row r="1816" spans="14:14" ht="14.25" customHeight="1">
      <c r="N1816" s="192">
        <v>0</v>
      </c>
    </row>
    <row r="1817" spans="14:14" ht="14.25" customHeight="1">
      <c r="N1817" s="192">
        <v>0</v>
      </c>
    </row>
    <row r="1818" spans="14:14" ht="14.25" customHeight="1">
      <c r="N1818" s="192">
        <v>0</v>
      </c>
    </row>
    <row r="1819" spans="14:14" ht="14.25" customHeight="1">
      <c r="N1819" s="192">
        <v>0</v>
      </c>
    </row>
    <row r="1820" spans="14:14" ht="14.25" customHeight="1">
      <c r="N1820" s="192">
        <v>0</v>
      </c>
    </row>
    <row r="1821" spans="14:14" ht="14.25" customHeight="1">
      <c r="N1821" s="192">
        <v>0</v>
      </c>
    </row>
    <row r="1822" spans="14:14" ht="14.25" customHeight="1">
      <c r="N1822" s="192">
        <v>0</v>
      </c>
    </row>
    <row r="1823" spans="14:14" ht="14.25" customHeight="1">
      <c r="N1823" s="192">
        <v>0</v>
      </c>
    </row>
    <row r="1824" spans="14:14" ht="14.25" customHeight="1">
      <c r="N1824" s="192">
        <v>0</v>
      </c>
    </row>
    <row r="1825" spans="14:14" ht="14.25" customHeight="1">
      <c r="N1825" s="192">
        <v>0</v>
      </c>
    </row>
    <row r="1826" spans="14:14" ht="14.25" customHeight="1">
      <c r="N1826" s="192">
        <v>0</v>
      </c>
    </row>
    <row r="1827" spans="14:14" ht="14.25" customHeight="1">
      <c r="N1827" s="192">
        <v>0</v>
      </c>
    </row>
    <row r="1828" spans="14:14" ht="14.25" customHeight="1">
      <c r="N1828" s="192">
        <v>0</v>
      </c>
    </row>
    <row r="1829" spans="14:14" ht="14.25" customHeight="1">
      <c r="N1829" s="192">
        <v>0</v>
      </c>
    </row>
    <row r="1830" spans="14:14" ht="14.25" customHeight="1">
      <c r="N1830" s="192">
        <v>0</v>
      </c>
    </row>
    <row r="1831" spans="14:14" ht="14.25" customHeight="1">
      <c r="N1831" s="192">
        <v>0</v>
      </c>
    </row>
    <row r="1832" spans="14:14" ht="14.25" customHeight="1">
      <c r="N1832" s="192">
        <v>0</v>
      </c>
    </row>
    <row r="1833" spans="14:14" ht="14.25" customHeight="1">
      <c r="N1833" s="192">
        <v>0</v>
      </c>
    </row>
    <row r="1834" spans="14:14" ht="14.25" customHeight="1">
      <c r="N1834" s="192">
        <v>0</v>
      </c>
    </row>
    <row r="1835" spans="14:14" ht="14.25" customHeight="1">
      <c r="N1835" s="192">
        <v>0</v>
      </c>
    </row>
    <row r="1836" spans="14:14" ht="14.25" customHeight="1">
      <c r="N1836" s="192">
        <v>0</v>
      </c>
    </row>
    <row r="1837" spans="14:14" ht="14.25" customHeight="1">
      <c r="N1837" s="192">
        <v>0</v>
      </c>
    </row>
    <row r="1838" spans="14:14" ht="14.25" customHeight="1">
      <c r="N1838" s="192">
        <v>0</v>
      </c>
    </row>
    <row r="1839" spans="14:14" ht="14.25" customHeight="1">
      <c r="N1839" s="192">
        <v>0</v>
      </c>
    </row>
    <row r="1840" spans="14:14" ht="14.25" customHeight="1">
      <c r="N1840" s="192">
        <v>0</v>
      </c>
    </row>
    <row r="1841" spans="14:14" ht="14.25" customHeight="1">
      <c r="N1841" s="192">
        <v>0</v>
      </c>
    </row>
    <row r="1842" spans="14:14" ht="14.25" customHeight="1">
      <c r="N1842" s="192">
        <v>0</v>
      </c>
    </row>
    <row r="1843" spans="14:14" ht="14.25" customHeight="1">
      <c r="N1843" s="192">
        <v>0</v>
      </c>
    </row>
    <row r="1844" spans="14:14" ht="14.25" customHeight="1">
      <c r="N1844" s="192">
        <v>0</v>
      </c>
    </row>
    <row r="1845" spans="14:14" ht="14.25" customHeight="1">
      <c r="N1845" s="192">
        <v>0</v>
      </c>
    </row>
    <row r="1846" spans="14:14" ht="14.25" customHeight="1">
      <c r="N1846" s="192">
        <v>0</v>
      </c>
    </row>
    <row r="1847" spans="14:14" ht="14.25" customHeight="1">
      <c r="N1847" s="192">
        <v>0</v>
      </c>
    </row>
    <row r="1848" spans="14:14" ht="14.25" customHeight="1">
      <c r="N1848" s="192">
        <v>0</v>
      </c>
    </row>
    <row r="1849" spans="14:14" ht="14.25" customHeight="1">
      <c r="N1849" s="192">
        <v>0</v>
      </c>
    </row>
    <row r="1850" spans="14:14" ht="14.25" customHeight="1">
      <c r="N1850" s="192">
        <v>0</v>
      </c>
    </row>
    <row r="1851" spans="14:14" ht="14.25" customHeight="1">
      <c r="N1851" s="192">
        <v>0</v>
      </c>
    </row>
    <row r="1852" spans="14:14" ht="14.25" customHeight="1">
      <c r="N1852" s="192">
        <v>0</v>
      </c>
    </row>
    <row r="1853" spans="14:14" ht="14.25" customHeight="1">
      <c r="N1853" s="192">
        <v>0</v>
      </c>
    </row>
    <row r="1854" spans="14:14" ht="14.25" customHeight="1">
      <c r="N1854" s="192">
        <v>0</v>
      </c>
    </row>
    <row r="1855" spans="14:14" ht="14.25" customHeight="1">
      <c r="N1855" s="192">
        <v>0</v>
      </c>
    </row>
    <row r="1856" spans="14:14" ht="14.25" customHeight="1">
      <c r="N1856" s="192">
        <v>0</v>
      </c>
    </row>
    <row r="1857" spans="14:14" ht="14.25" customHeight="1">
      <c r="N1857" s="192">
        <v>0</v>
      </c>
    </row>
    <row r="1858" spans="14:14" ht="14.25" customHeight="1">
      <c r="N1858" s="192">
        <v>0</v>
      </c>
    </row>
    <row r="1859" spans="14:14" ht="14.25" customHeight="1">
      <c r="N1859" s="192">
        <v>0</v>
      </c>
    </row>
    <row r="1860" spans="14:14" ht="14.25" customHeight="1">
      <c r="N1860" s="192">
        <v>0</v>
      </c>
    </row>
    <row r="1861" spans="14:14" ht="14.25" customHeight="1">
      <c r="N1861" s="192">
        <v>0</v>
      </c>
    </row>
    <row r="1862" spans="14:14" ht="14.25" customHeight="1">
      <c r="N1862" s="192">
        <v>0</v>
      </c>
    </row>
    <row r="1863" spans="14:14" ht="14.25" customHeight="1">
      <c r="N1863" s="192">
        <v>0</v>
      </c>
    </row>
    <row r="1864" spans="14:14" ht="14.25" customHeight="1">
      <c r="N1864" s="192">
        <v>0</v>
      </c>
    </row>
    <row r="1865" spans="14:14" ht="14.25" customHeight="1">
      <c r="N1865" s="192">
        <v>0</v>
      </c>
    </row>
    <row r="1866" spans="14:14" ht="14.25" customHeight="1">
      <c r="N1866" s="192">
        <v>0</v>
      </c>
    </row>
    <row r="1867" spans="14:14" ht="14.25" customHeight="1">
      <c r="N1867" s="192">
        <v>0</v>
      </c>
    </row>
    <row r="1868" spans="14:14" ht="14.25" customHeight="1">
      <c r="N1868" s="192">
        <v>0</v>
      </c>
    </row>
    <row r="1869" spans="14:14" ht="14.25" customHeight="1">
      <c r="N1869" s="192">
        <v>0</v>
      </c>
    </row>
    <row r="1870" spans="14:14" ht="14.25" customHeight="1">
      <c r="N1870" s="192">
        <v>0</v>
      </c>
    </row>
    <row r="1871" spans="14:14" ht="14.25" customHeight="1">
      <c r="N1871" s="192">
        <v>0</v>
      </c>
    </row>
    <row r="1872" spans="14:14" ht="14.25" customHeight="1">
      <c r="N1872" s="192">
        <v>0</v>
      </c>
    </row>
    <row r="1873" spans="14:14" ht="14.25" customHeight="1">
      <c r="N1873" s="192">
        <v>0</v>
      </c>
    </row>
    <row r="1874" spans="14:14" ht="14.25" customHeight="1">
      <c r="N1874" s="192">
        <v>0</v>
      </c>
    </row>
    <row r="1875" spans="14:14" ht="14.25" customHeight="1">
      <c r="N1875" s="192">
        <v>0</v>
      </c>
    </row>
    <row r="1876" spans="14:14" ht="14.25" customHeight="1">
      <c r="N1876" s="192">
        <v>0</v>
      </c>
    </row>
    <row r="1877" spans="14:14" ht="14.25" customHeight="1">
      <c r="N1877" s="192">
        <v>0</v>
      </c>
    </row>
    <row r="1878" spans="14:14" ht="14.25" customHeight="1">
      <c r="N1878" s="192">
        <v>0</v>
      </c>
    </row>
    <row r="1879" spans="14:14" ht="14.25" customHeight="1">
      <c r="N1879" s="192">
        <v>0</v>
      </c>
    </row>
    <row r="1880" spans="14:14" ht="14.25" customHeight="1">
      <c r="N1880" s="192">
        <v>0</v>
      </c>
    </row>
    <row r="1881" spans="14:14" ht="14.25" customHeight="1">
      <c r="N1881" s="192">
        <v>0</v>
      </c>
    </row>
    <row r="1882" spans="14:14" ht="14.25" customHeight="1">
      <c r="N1882" s="192">
        <v>0</v>
      </c>
    </row>
    <row r="1883" spans="14:14" ht="14.25" customHeight="1">
      <c r="N1883" s="192">
        <v>0</v>
      </c>
    </row>
    <row r="1884" spans="14:14" ht="14.25" customHeight="1">
      <c r="N1884" s="192">
        <v>0</v>
      </c>
    </row>
    <row r="1885" spans="14:14" ht="14.25" customHeight="1">
      <c r="N1885" s="192">
        <v>0</v>
      </c>
    </row>
    <row r="1886" spans="14:14" ht="14.25" customHeight="1">
      <c r="N1886" s="192">
        <v>0</v>
      </c>
    </row>
    <row r="1887" spans="14:14" ht="14.25" customHeight="1">
      <c r="N1887" s="192">
        <v>0</v>
      </c>
    </row>
    <row r="1888" spans="14:14" ht="14.25" customHeight="1">
      <c r="N1888" s="192">
        <v>0</v>
      </c>
    </row>
    <row r="1889" spans="14:14" ht="14.25" customHeight="1">
      <c r="N1889" s="192">
        <v>0</v>
      </c>
    </row>
    <row r="1890" spans="14:14" ht="14.25" customHeight="1">
      <c r="N1890" s="192">
        <v>0</v>
      </c>
    </row>
    <row r="1891" spans="14:14" ht="14.25" customHeight="1">
      <c r="N1891" s="192">
        <v>0</v>
      </c>
    </row>
    <row r="1892" spans="14:14" ht="14.25" customHeight="1">
      <c r="N1892" s="192">
        <v>0</v>
      </c>
    </row>
    <row r="1893" spans="14:14" ht="14.25" customHeight="1">
      <c r="N1893" s="192">
        <v>0</v>
      </c>
    </row>
    <row r="1894" spans="14:14" ht="14.25" customHeight="1">
      <c r="N1894" s="192">
        <v>0</v>
      </c>
    </row>
    <row r="1895" spans="14:14" ht="14.25" customHeight="1">
      <c r="N1895" s="192">
        <v>0</v>
      </c>
    </row>
    <row r="1896" spans="14:14" ht="14.25" customHeight="1">
      <c r="N1896" s="192">
        <v>0</v>
      </c>
    </row>
    <row r="1897" spans="14:14" ht="14.25" customHeight="1">
      <c r="N1897" s="192">
        <v>0</v>
      </c>
    </row>
    <row r="1898" spans="14:14" ht="14.25" customHeight="1">
      <c r="N1898" s="192">
        <v>0</v>
      </c>
    </row>
    <row r="1899" spans="14:14" ht="14.25" customHeight="1">
      <c r="N1899" s="192">
        <v>0</v>
      </c>
    </row>
    <row r="1900" spans="14:14" ht="14.25" customHeight="1">
      <c r="N1900" s="192">
        <v>0</v>
      </c>
    </row>
    <row r="1901" spans="14:14" ht="14.25" customHeight="1">
      <c r="N1901" s="192">
        <v>0</v>
      </c>
    </row>
    <row r="1902" spans="14:14" ht="14.25" customHeight="1">
      <c r="N1902" s="192">
        <v>0</v>
      </c>
    </row>
    <row r="1903" spans="14:14" ht="14.25" customHeight="1">
      <c r="N1903" s="192">
        <v>0</v>
      </c>
    </row>
    <row r="1904" spans="14:14" ht="14.25" customHeight="1">
      <c r="N1904" s="192">
        <v>0</v>
      </c>
    </row>
    <row r="1905" spans="14:14" ht="14.25" customHeight="1">
      <c r="N1905" s="192">
        <v>0</v>
      </c>
    </row>
    <row r="1906" spans="14:14" ht="14.25" customHeight="1">
      <c r="N1906" s="192">
        <v>0</v>
      </c>
    </row>
    <row r="1907" spans="14:14" ht="14.25" customHeight="1">
      <c r="N1907" s="192">
        <v>0</v>
      </c>
    </row>
    <row r="1908" spans="14:14" ht="14.25" customHeight="1">
      <c r="N1908" s="192">
        <v>0</v>
      </c>
    </row>
    <row r="1909" spans="14:14" ht="14.25" customHeight="1">
      <c r="N1909" s="192">
        <v>0</v>
      </c>
    </row>
    <row r="1910" spans="14:14" ht="14.25" customHeight="1">
      <c r="N1910" s="192">
        <v>0</v>
      </c>
    </row>
    <row r="1911" spans="14:14" ht="14.25" customHeight="1">
      <c r="N1911" s="192">
        <v>0</v>
      </c>
    </row>
    <row r="1912" spans="14:14" ht="14.25" customHeight="1">
      <c r="N1912" s="192">
        <v>0</v>
      </c>
    </row>
    <row r="1913" spans="14:14" ht="14.25" customHeight="1">
      <c r="N1913" s="192">
        <v>0</v>
      </c>
    </row>
    <row r="1914" spans="14:14" ht="14.25" customHeight="1">
      <c r="N1914" s="192">
        <v>0</v>
      </c>
    </row>
    <row r="1915" spans="14:14" ht="14.25" customHeight="1">
      <c r="N1915" s="192">
        <v>0</v>
      </c>
    </row>
    <row r="1916" spans="14:14" ht="14.25" customHeight="1">
      <c r="N1916" s="192">
        <v>0</v>
      </c>
    </row>
    <row r="1917" spans="14:14" ht="14.25" customHeight="1">
      <c r="N1917" s="192">
        <v>0</v>
      </c>
    </row>
    <row r="1918" spans="14:14" ht="14.25" customHeight="1">
      <c r="N1918" s="192">
        <v>0</v>
      </c>
    </row>
    <row r="1919" spans="14:14" ht="14.25" customHeight="1">
      <c r="N1919" s="192">
        <v>0</v>
      </c>
    </row>
    <row r="1920" spans="14:14" ht="14.25" customHeight="1">
      <c r="N1920" s="192">
        <v>0</v>
      </c>
    </row>
    <row r="1921" spans="14:14" ht="14.25" customHeight="1">
      <c r="N1921" s="192">
        <v>0</v>
      </c>
    </row>
    <row r="1922" spans="14:14" ht="14.25" customHeight="1">
      <c r="N1922" s="192">
        <v>0</v>
      </c>
    </row>
    <row r="1923" spans="14:14" ht="14.25" customHeight="1">
      <c r="N1923" s="192">
        <v>0</v>
      </c>
    </row>
    <row r="1924" spans="14:14" ht="14.25" customHeight="1">
      <c r="N1924" s="192">
        <v>0</v>
      </c>
    </row>
    <row r="1925" spans="14:14" ht="14.25" customHeight="1">
      <c r="N1925" s="192">
        <v>0</v>
      </c>
    </row>
    <row r="1926" spans="14:14" ht="14.25" customHeight="1">
      <c r="N1926" s="192">
        <v>0</v>
      </c>
    </row>
    <row r="1927" spans="14:14" ht="14.25" customHeight="1">
      <c r="N1927" s="192">
        <v>0</v>
      </c>
    </row>
    <row r="1928" spans="14:14" ht="14.25" customHeight="1">
      <c r="N1928" s="192">
        <v>0</v>
      </c>
    </row>
    <row r="1929" spans="14:14" ht="14.25" customHeight="1">
      <c r="N1929" s="192">
        <v>0</v>
      </c>
    </row>
    <row r="1930" spans="14:14" ht="14.25" customHeight="1">
      <c r="N1930" s="192">
        <v>0</v>
      </c>
    </row>
    <row r="1931" spans="14:14" ht="14.25" customHeight="1">
      <c r="N1931" s="192">
        <v>0</v>
      </c>
    </row>
    <row r="1932" spans="14:14" ht="14.25" customHeight="1">
      <c r="N1932" s="192">
        <v>0</v>
      </c>
    </row>
    <row r="1933" spans="14:14" ht="14.25" customHeight="1">
      <c r="N1933" s="192">
        <v>0</v>
      </c>
    </row>
    <row r="1934" spans="14:14" ht="14.25" customHeight="1">
      <c r="N1934" s="192">
        <v>0</v>
      </c>
    </row>
    <row r="1935" spans="14:14" ht="14.25" customHeight="1">
      <c r="N1935" s="192">
        <v>0</v>
      </c>
    </row>
    <row r="1936" spans="14:14" ht="14.25" customHeight="1">
      <c r="N1936" s="192">
        <v>0</v>
      </c>
    </row>
    <row r="1937" spans="14:14" ht="14.25" customHeight="1">
      <c r="N1937" s="192">
        <v>0</v>
      </c>
    </row>
    <row r="1938" spans="14:14" ht="14.25" customHeight="1">
      <c r="N1938" s="192">
        <v>0</v>
      </c>
    </row>
    <row r="1939" spans="14:14" ht="14.25" customHeight="1">
      <c r="N1939" s="192">
        <v>0</v>
      </c>
    </row>
    <row r="1940" spans="14:14" ht="14.25" customHeight="1">
      <c r="N1940" s="192">
        <v>0</v>
      </c>
    </row>
    <row r="1941" spans="14:14" ht="14.25" customHeight="1">
      <c r="N1941" s="192">
        <v>0</v>
      </c>
    </row>
    <row r="1942" spans="14:14" ht="14.25" customHeight="1">
      <c r="N1942" s="192">
        <v>0</v>
      </c>
    </row>
    <row r="1943" spans="14:14" ht="14.25" customHeight="1">
      <c r="N1943" s="192">
        <v>0</v>
      </c>
    </row>
    <row r="1944" spans="14:14" ht="14.25" customHeight="1">
      <c r="N1944" s="192">
        <v>0</v>
      </c>
    </row>
    <row r="1945" spans="14:14" ht="14.25" customHeight="1">
      <c r="N1945" s="192">
        <v>0</v>
      </c>
    </row>
    <row r="1946" spans="14:14" ht="14.25" customHeight="1">
      <c r="N1946" s="192">
        <v>0</v>
      </c>
    </row>
    <row r="1947" spans="14:14" ht="14.25" customHeight="1">
      <c r="N1947" s="192">
        <v>0</v>
      </c>
    </row>
    <row r="1948" spans="14:14" ht="14.25" customHeight="1">
      <c r="N1948" s="192">
        <v>0</v>
      </c>
    </row>
    <row r="1949" spans="14:14" ht="14.25" customHeight="1">
      <c r="N1949" s="192">
        <v>0</v>
      </c>
    </row>
    <row r="1950" spans="14:14" ht="14.25" customHeight="1">
      <c r="N1950" s="192">
        <v>0</v>
      </c>
    </row>
    <row r="1951" spans="14:14" ht="14.25" customHeight="1">
      <c r="N1951" s="192">
        <v>0</v>
      </c>
    </row>
    <row r="1952" spans="14:14" ht="14.25" customHeight="1">
      <c r="N1952" s="192">
        <v>0</v>
      </c>
    </row>
    <row r="1953" spans="14:14" ht="14.25" customHeight="1">
      <c r="N1953" s="192">
        <v>0</v>
      </c>
    </row>
    <row r="1954" spans="14:14" ht="14.25" customHeight="1">
      <c r="N1954" s="192">
        <v>0</v>
      </c>
    </row>
    <row r="1955" spans="14:14" ht="14.25" customHeight="1">
      <c r="N1955" s="192">
        <v>0</v>
      </c>
    </row>
    <row r="1956" spans="14:14" ht="14.25" customHeight="1">
      <c r="N1956" s="192">
        <v>0</v>
      </c>
    </row>
    <row r="1957" spans="14:14" ht="14.25" customHeight="1">
      <c r="N1957" s="192">
        <v>0</v>
      </c>
    </row>
    <row r="1958" spans="14:14" ht="14.25" customHeight="1">
      <c r="N1958" s="192">
        <v>0</v>
      </c>
    </row>
    <row r="1959" spans="14:14" ht="14.25" customHeight="1">
      <c r="N1959" s="192">
        <v>0</v>
      </c>
    </row>
    <row r="1960" spans="14:14" ht="14.25" customHeight="1">
      <c r="N1960" s="192">
        <v>0</v>
      </c>
    </row>
    <row r="1961" spans="14:14" ht="14.25" customHeight="1">
      <c r="N1961" s="192">
        <v>0</v>
      </c>
    </row>
    <row r="1962" spans="14:14" ht="14.25" customHeight="1">
      <c r="N1962" s="192">
        <v>0</v>
      </c>
    </row>
    <row r="1963" spans="14:14" ht="14.25" customHeight="1">
      <c r="N1963" s="192">
        <v>0</v>
      </c>
    </row>
    <row r="1964" spans="14:14" ht="14.25" customHeight="1">
      <c r="N1964" s="192">
        <v>0</v>
      </c>
    </row>
    <row r="1965" spans="14:14" ht="14.25" customHeight="1">
      <c r="N1965" s="192">
        <v>0</v>
      </c>
    </row>
    <row r="1966" spans="14:14" ht="14.25" customHeight="1">
      <c r="N1966" s="192">
        <v>0</v>
      </c>
    </row>
    <row r="1967" spans="14:14" ht="14.25" customHeight="1">
      <c r="N1967" s="192">
        <v>0</v>
      </c>
    </row>
    <row r="1968" spans="14:14" ht="14.25" customHeight="1">
      <c r="N1968" s="192">
        <v>0</v>
      </c>
    </row>
    <row r="1969" spans="14:14" ht="14.25" customHeight="1">
      <c r="N1969" s="192">
        <v>0</v>
      </c>
    </row>
    <row r="1970" spans="14:14" ht="14.25" customHeight="1">
      <c r="N1970" s="192">
        <v>0</v>
      </c>
    </row>
    <row r="1971" spans="14:14" ht="14.25" customHeight="1">
      <c r="N1971" s="192">
        <v>0</v>
      </c>
    </row>
    <row r="1972" spans="14:14" ht="14.25" customHeight="1">
      <c r="N1972" s="192">
        <v>0</v>
      </c>
    </row>
    <row r="1973" spans="14:14" ht="14.25" customHeight="1">
      <c r="N1973" s="192">
        <v>0</v>
      </c>
    </row>
    <row r="1974" spans="14:14" ht="14.25" customHeight="1">
      <c r="N1974" s="192">
        <v>0</v>
      </c>
    </row>
    <row r="1975" spans="14:14" ht="14.25" customHeight="1">
      <c r="N1975" s="192">
        <v>0</v>
      </c>
    </row>
    <row r="1976" spans="14:14" ht="14.25" customHeight="1">
      <c r="N1976" s="192">
        <v>0</v>
      </c>
    </row>
    <row r="1977" spans="14:14" ht="14.25" customHeight="1">
      <c r="N1977" s="192">
        <v>0</v>
      </c>
    </row>
    <row r="1978" spans="14:14" ht="14.25" customHeight="1">
      <c r="N1978" s="192">
        <v>0</v>
      </c>
    </row>
    <row r="1979" spans="14:14" ht="14.25" customHeight="1">
      <c r="N1979" s="192">
        <v>0</v>
      </c>
    </row>
    <row r="1980" spans="14:14" ht="14.25" customHeight="1">
      <c r="N1980" s="192">
        <v>0</v>
      </c>
    </row>
    <row r="1981" spans="14:14" ht="14.25" customHeight="1">
      <c r="N1981" s="192">
        <v>0</v>
      </c>
    </row>
    <row r="1982" spans="14:14" ht="14.25" customHeight="1">
      <c r="N1982" s="192">
        <v>0</v>
      </c>
    </row>
    <row r="1983" spans="14:14" ht="14.25" customHeight="1">
      <c r="N1983" s="192">
        <v>0</v>
      </c>
    </row>
    <row r="1984" spans="14:14" ht="14.25" customHeight="1">
      <c r="N1984" s="192">
        <v>0</v>
      </c>
    </row>
    <row r="1985" spans="14:14" ht="14.25" customHeight="1">
      <c r="N1985" s="192">
        <v>0</v>
      </c>
    </row>
    <row r="1986" spans="14:14" ht="14.25" customHeight="1">
      <c r="N1986" s="192">
        <v>0</v>
      </c>
    </row>
    <row r="1987" spans="14:14" ht="14.25" customHeight="1">
      <c r="N1987" s="192">
        <v>0</v>
      </c>
    </row>
    <row r="1988" spans="14:14" ht="14.25" customHeight="1">
      <c r="N1988" s="192">
        <v>0</v>
      </c>
    </row>
    <row r="1989" spans="14:14" ht="14.25" customHeight="1">
      <c r="N1989" s="192">
        <v>0</v>
      </c>
    </row>
    <row r="1990" spans="14:14" ht="14.25" customHeight="1">
      <c r="N1990" s="192">
        <v>0</v>
      </c>
    </row>
    <row r="1991" spans="14:14" ht="14.25" customHeight="1">
      <c r="N1991" s="192">
        <v>0</v>
      </c>
    </row>
    <row r="1992" spans="14:14" ht="14.25" customHeight="1">
      <c r="N1992" s="192">
        <v>0</v>
      </c>
    </row>
    <row r="1993" spans="14:14" ht="14.25" customHeight="1">
      <c r="N1993" s="192">
        <v>0</v>
      </c>
    </row>
    <row r="1994" spans="14:14" ht="14.25" customHeight="1">
      <c r="N1994" s="192">
        <v>0</v>
      </c>
    </row>
    <row r="1995" spans="14:14" ht="14.25" customHeight="1">
      <c r="N1995" s="192">
        <v>0</v>
      </c>
    </row>
    <row r="1996" spans="14:14" ht="14.25" customHeight="1">
      <c r="N1996" s="192">
        <v>0</v>
      </c>
    </row>
    <row r="1997" spans="14:14" ht="14.25" customHeight="1">
      <c r="N1997" s="192">
        <v>0</v>
      </c>
    </row>
    <row r="1998" spans="14:14" ht="14.25" customHeight="1">
      <c r="N1998" s="192">
        <v>0</v>
      </c>
    </row>
    <row r="1999" spans="14:14" ht="14.25" customHeight="1">
      <c r="N1999" s="192">
        <v>0</v>
      </c>
    </row>
    <row r="2000" spans="14:14" ht="14.25" customHeight="1">
      <c r="N2000" s="192">
        <v>0</v>
      </c>
    </row>
    <row r="2001" spans="14:14" ht="14.25" customHeight="1">
      <c r="N2001" s="192">
        <v>0</v>
      </c>
    </row>
    <row r="2002" spans="14:14" ht="14.25" customHeight="1">
      <c r="N2002" s="192">
        <v>0</v>
      </c>
    </row>
    <row r="2003" spans="14:14" ht="14.25" customHeight="1">
      <c r="N2003" s="192">
        <v>0</v>
      </c>
    </row>
    <row r="2004" spans="14:14" ht="14.25" customHeight="1">
      <c r="N2004" s="192">
        <v>0</v>
      </c>
    </row>
    <row r="2005" spans="14:14" ht="14.25" customHeight="1">
      <c r="N2005" s="192">
        <v>0</v>
      </c>
    </row>
    <row r="2006" spans="14:14" ht="14.25" customHeight="1">
      <c r="N2006" s="192">
        <v>0</v>
      </c>
    </row>
    <row r="2007" spans="14:14" ht="14.25" customHeight="1">
      <c r="N2007" s="192">
        <v>0</v>
      </c>
    </row>
    <row r="2008" spans="14:14" ht="14.25" customHeight="1">
      <c r="N2008" s="192">
        <v>0</v>
      </c>
    </row>
    <row r="2009" spans="14:14" ht="14.25" customHeight="1">
      <c r="N2009" s="192">
        <v>0</v>
      </c>
    </row>
    <row r="2010" spans="14:14" ht="14.25" customHeight="1">
      <c r="N2010" s="192">
        <v>0</v>
      </c>
    </row>
    <row r="2011" spans="14:14" ht="14.25" customHeight="1">
      <c r="N2011" s="192">
        <v>0</v>
      </c>
    </row>
    <row r="2012" spans="14:14" ht="14.25" customHeight="1">
      <c r="N2012" s="192">
        <v>0</v>
      </c>
    </row>
    <row r="2013" spans="14:14" ht="14.25" customHeight="1">
      <c r="N2013" s="192">
        <v>0</v>
      </c>
    </row>
    <row r="2014" spans="14:14" ht="14.25" customHeight="1">
      <c r="N2014" s="192">
        <v>0</v>
      </c>
    </row>
    <row r="2015" spans="14:14" ht="14.25" customHeight="1">
      <c r="N2015" s="192">
        <v>0</v>
      </c>
    </row>
    <row r="2016" spans="14:14" ht="14.25" customHeight="1">
      <c r="N2016" s="192">
        <v>0</v>
      </c>
    </row>
    <row r="2017" spans="14:14" ht="14.25" customHeight="1">
      <c r="N2017" s="192">
        <v>0</v>
      </c>
    </row>
    <row r="2018" spans="14:14" ht="14.25" customHeight="1">
      <c r="N2018" s="192">
        <v>0</v>
      </c>
    </row>
    <row r="2019" spans="14:14" ht="14.25" customHeight="1">
      <c r="N2019" s="192">
        <v>0</v>
      </c>
    </row>
    <row r="2020" spans="14:14" ht="14.25" customHeight="1">
      <c r="N2020" s="192">
        <v>0</v>
      </c>
    </row>
    <row r="2021" spans="14:14" ht="14.25" customHeight="1">
      <c r="N2021" s="192">
        <v>0</v>
      </c>
    </row>
    <row r="2022" spans="14:14" ht="14.25" customHeight="1">
      <c r="N2022" s="192">
        <v>0</v>
      </c>
    </row>
    <row r="2023" spans="14:14" ht="14.25" customHeight="1">
      <c r="N2023" s="192">
        <v>0</v>
      </c>
    </row>
    <row r="2024" spans="14:14" ht="14.25" customHeight="1">
      <c r="N2024" s="192">
        <v>0</v>
      </c>
    </row>
    <row r="2025" spans="14:14" ht="14.25" customHeight="1">
      <c r="N2025" s="192">
        <v>0</v>
      </c>
    </row>
    <row r="2026" spans="14:14" ht="14.25" customHeight="1">
      <c r="N2026" s="192">
        <v>0</v>
      </c>
    </row>
    <row r="2027" spans="14:14" ht="14.25" customHeight="1">
      <c r="N2027" s="192">
        <v>0</v>
      </c>
    </row>
    <row r="2028" spans="14:14" ht="14.25" customHeight="1">
      <c r="N2028" s="192">
        <v>0</v>
      </c>
    </row>
    <row r="2029" spans="14:14" ht="14.25" customHeight="1">
      <c r="N2029" s="192">
        <v>0</v>
      </c>
    </row>
    <row r="2030" spans="14:14" ht="14.25" customHeight="1">
      <c r="N2030" s="192">
        <v>0</v>
      </c>
    </row>
    <row r="2031" spans="14:14" ht="14.25" customHeight="1">
      <c r="N2031" s="192">
        <v>0</v>
      </c>
    </row>
    <row r="2032" spans="14:14" ht="14.25" customHeight="1">
      <c r="N2032" s="192">
        <v>0</v>
      </c>
    </row>
    <row r="2033" spans="14:14" ht="14.25" customHeight="1">
      <c r="N2033" s="192">
        <v>0</v>
      </c>
    </row>
    <row r="2034" spans="14:14" ht="14.25" customHeight="1">
      <c r="N2034" s="192">
        <v>0</v>
      </c>
    </row>
    <row r="2035" spans="14:14" ht="14.25" customHeight="1">
      <c r="N2035" s="192">
        <v>0</v>
      </c>
    </row>
    <row r="2036" spans="14:14" ht="14.25" customHeight="1">
      <c r="N2036" s="192">
        <v>0</v>
      </c>
    </row>
    <row r="2037" spans="14:14" ht="14.25" customHeight="1">
      <c r="N2037" s="192">
        <v>0</v>
      </c>
    </row>
    <row r="2038" spans="14:14" ht="14.25" customHeight="1">
      <c r="N2038" s="192">
        <v>0</v>
      </c>
    </row>
    <row r="2039" spans="14:14" ht="14.25" customHeight="1">
      <c r="N2039" s="192">
        <v>0</v>
      </c>
    </row>
    <row r="2040" spans="14:14" ht="14.25" customHeight="1">
      <c r="N2040" s="192">
        <v>0</v>
      </c>
    </row>
    <row r="2041" spans="14:14" ht="14.25" customHeight="1">
      <c r="N2041" s="192">
        <v>0</v>
      </c>
    </row>
    <row r="2042" spans="14:14" ht="14.25" customHeight="1">
      <c r="N2042" s="192">
        <v>0</v>
      </c>
    </row>
    <row r="2043" spans="14:14" ht="14.25" customHeight="1">
      <c r="N2043" s="192">
        <v>0</v>
      </c>
    </row>
    <row r="2044" spans="14:14" ht="14.25" customHeight="1">
      <c r="N2044" s="192">
        <v>0</v>
      </c>
    </row>
    <row r="2045" spans="14:14" ht="14.25" customHeight="1">
      <c r="N2045" s="192">
        <v>0</v>
      </c>
    </row>
    <row r="2046" spans="14:14" ht="14.25" customHeight="1">
      <c r="N2046" s="192">
        <v>0</v>
      </c>
    </row>
    <row r="2047" spans="14:14" ht="14.25" customHeight="1">
      <c r="N2047" s="192">
        <v>0</v>
      </c>
    </row>
    <row r="2048" spans="14:14" ht="14.25" customHeight="1">
      <c r="N2048" s="192">
        <v>0</v>
      </c>
    </row>
    <row r="2049" spans="14:14" ht="14.25" customHeight="1">
      <c r="N2049" s="192">
        <v>0</v>
      </c>
    </row>
    <row r="2050" spans="14:14" ht="14.25" customHeight="1">
      <c r="N2050" s="192">
        <v>0</v>
      </c>
    </row>
    <row r="2051" spans="14:14" ht="14.25" customHeight="1">
      <c r="N2051" s="192">
        <v>0</v>
      </c>
    </row>
    <row r="2052" spans="14:14" ht="14.25" customHeight="1">
      <c r="N2052" s="192">
        <v>0</v>
      </c>
    </row>
    <row r="2053" spans="14:14" ht="14.25" customHeight="1">
      <c r="N2053" s="192">
        <v>0</v>
      </c>
    </row>
    <row r="2054" spans="14:14" ht="14.25" customHeight="1">
      <c r="N2054" s="192">
        <v>0</v>
      </c>
    </row>
    <row r="2055" spans="14:14" ht="14.25" customHeight="1">
      <c r="N2055" s="192">
        <v>0</v>
      </c>
    </row>
    <row r="2056" spans="14:14" ht="14.25" customHeight="1">
      <c r="N2056" s="192">
        <v>0</v>
      </c>
    </row>
    <row r="2057" spans="14:14" ht="14.25" customHeight="1">
      <c r="N2057" s="192">
        <v>0</v>
      </c>
    </row>
    <row r="2058" spans="14:14" ht="14.25" customHeight="1">
      <c r="N2058" s="192">
        <v>0</v>
      </c>
    </row>
    <row r="2059" spans="14:14" ht="14.25" customHeight="1">
      <c r="N2059" s="192">
        <v>0</v>
      </c>
    </row>
    <row r="2060" spans="14:14" ht="14.25" customHeight="1">
      <c r="N2060" s="192">
        <v>0</v>
      </c>
    </row>
    <row r="2061" spans="14:14" ht="14.25" customHeight="1">
      <c r="N2061" s="192">
        <v>0</v>
      </c>
    </row>
    <row r="2062" spans="14:14" ht="14.25" customHeight="1">
      <c r="N2062" s="192">
        <v>0</v>
      </c>
    </row>
    <row r="2063" spans="14:14" ht="14.25" customHeight="1">
      <c r="N2063" s="192">
        <v>0</v>
      </c>
    </row>
    <row r="2064" spans="14:14" ht="14.25" customHeight="1">
      <c r="N2064" s="192">
        <v>0</v>
      </c>
    </row>
    <row r="2065" spans="14:14" ht="14.25" customHeight="1">
      <c r="N2065" s="192">
        <v>0</v>
      </c>
    </row>
    <row r="2066" spans="14:14" ht="14.25" customHeight="1">
      <c r="N2066" s="192">
        <v>0</v>
      </c>
    </row>
    <row r="2067" spans="14:14" ht="14.25" customHeight="1">
      <c r="N2067" s="192">
        <v>0</v>
      </c>
    </row>
    <row r="2068" spans="14:14" ht="14.25" customHeight="1">
      <c r="N2068" s="192">
        <v>0</v>
      </c>
    </row>
    <row r="2069" spans="14:14" ht="14.25" customHeight="1">
      <c r="N2069" s="192">
        <v>0</v>
      </c>
    </row>
    <row r="2070" spans="14:14" ht="14.25" customHeight="1">
      <c r="N2070" s="192">
        <v>0</v>
      </c>
    </row>
    <row r="2071" spans="14:14" ht="14.25" customHeight="1">
      <c r="N2071" s="192">
        <v>0</v>
      </c>
    </row>
    <row r="2072" spans="14:14" ht="14.25" customHeight="1">
      <c r="N2072" s="192">
        <v>0</v>
      </c>
    </row>
    <row r="2073" spans="14:14" ht="14.25" customHeight="1">
      <c r="N2073" s="192">
        <v>0</v>
      </c>
    </row>
    <row r="2074" spans="14:14" ht="14.25" customHeight="1">
      <c r="N2074" s="192">
        <v>0</v>
      </c>
    </row>
    <row r="2075" spans="14:14" ht="14.25" customHeight="1">
      <c r="N2075" s="192">
        <v>0</v>
      </c>
    </row>
    <row r="2076" spans="14:14" ht="14.25" customHeight="1">
      <c r="N2076" s="192">
        <v>0</v>
      </c>
    </row>
    <row r="2077" spans="14:14" ht="14.25" customHeight="1">
      <c r="N2077" s="192">
        <v>0</v>
      </c>
    </row>
    <row r="2078" spans="14:14" ht="14.25" customHeight="1">
      <c r="N2078" s="192">
        <v>0</v>
      </c>
    </row>
    <row r="2079" spans="14:14" ht="14.25" customHeight="1">
      <c r="N2079" s="192">
        <v>0</v>
      </c>
    </row>
    <row r="2080" spans="14:14" ht="14.25" customHeight="1">
      <c r="N2080" s="192">
        <v>0</v>
      </c>
    </row>
    <row r="2081" spans="14:14" ht="14.25" customHeight="1">
      <c r="N2081" s="192">
        <v>0</v>
      </c>
    </row>
    <row r="2082" spans="14:14" ht="14.25" customHeight="1">
      <c r="N2082" s="192">
        <v>0</v>
      </c>
    </row>
    <row r="2083" spans="14:14" ht="14.25" customHeight="1">
      <c r="N2083" s="192">
        <v>0</v>
      </c>
    </row>
    <row r="2084" spans="14:14" ht="14.25" customHeight="1">
      <c r="N2084" s="192">
        <v>0</v>
      </c>
    </row>
    <row r="2085" spans="14:14" ht="14.25" customHeight="1">
      <c r="N2085" s="192">
        <v>0</v>
      </c>
    </row>
    <row r="2086" spans="14:14" ht="14.25" customHeight="1">
      <c r="N2086" s="192">
        <v>0</v>
      </c>
    </row>
    <row r="2087" spans="14:14" ht="14.25" customHeight="1">
      <c r="N2087" s="192">
        <v>0</v>
      </c>
    </row>
    <row r="2088" spans="14:14" ht="14.25" customHeight="1">
      <c r="N2088" s="192">
        <v>0</v>
      </c>
    </row>
    <row r="2089" spans="14:14" ht="14.25" customHeight="1">
      <c r="N2089" s="192">
        <v>0</v>
      </c>
    </row>
    <row r="2090" spans="14:14" ht="14.25" customHeight="1">
      <c r="N2090" s="192">
        <v>0</v>
      </c>
    </row>
    <row r="2091" spans="14:14" ht="14.25" customHeight="1">
      <c r="N2091" s="192">
        <v>0</v>
      </c>
    </row>
    <row r="2092" spans="14:14" ht="14.25" customHeight="1">
      <c r="N2092" s="192">
        <v>0</v>
      </c>
    </row>
    <row r="2093" spans="14:14" ht="14.25" customHeight="1">
      <c r="N2093" s="192">
        <v>0</v>
      </c>
    </row>
    <row r="2094" spans="14:14" ht="14.25" customHeight="1">
      <c r="N2094" s="192">
        <v>0</v>
      </c>
    </row>
    <row r="2095" spans="14:14" ht="14.25" customHeight="1">
      <c r="N2095" s="192">
        <v>0</v>
      </c>
    </row>
    <row r="2096" spans="14:14" ht="14.25" customHeight="1">
      <c r="N2096" s="192">
        <v>0</v>
      </c>
    </row>
    <row r="2097" spans="14:14" ht="14.25" customHeight="1">
      <c r="N2097" s="192">
        <v>0</v>
      </c>
    </row>
    <row r="2098" spans="14:14" ht="14.25" customHeight="1">
      <c r="N2098" s="192">
        <v>0</v>
      </c>
    </row>
    <row r="2099" spans="14:14" ht="14.25" customHeight="1">
      <c r="N2099" s="192">
        <v>0</v>
      </c>
    </row>
    <row r="2100" spans="14:14" ht="14.25" customHeight="1">
      <c r="N2100" s="192">
        <v>0</v>
      </c>
    </row>
    <row r="2101" spans="14:14" ht="14.25" customHeight="1">
      <c r="N2101" s="192">
        <v>0</v>
      </c>
    </row>
    <row r="2102" spans="14:14" ht="14.25" customHeight="1">
      <c r="N2102" s="192">
        <v>0</v>
      </c>
    </row>
    <row r="2103" spans="14:14" ht="14.25" customHeight="1">
      <c r="N2103" s="192">
        <v>0</v>
      </c>
    </row>
    <row r="2104" spans="14:14" ht="14.25" customHeight="1">
      <c r="N2104" s="192">
        <v>0</v>
      </c>
    </row>
    <row r="2105" spans="14:14" ht="14.25" customHeight="1">
      <c r="N2105" s="192">
        <v>0</v>
      </c>
    </row>
    <row r="2106" spans="14:14" ht="14.25" customHeight="1">
      <c r="N2106" s="192">
        <v>0</v>
      </c>
    </row>
    <row r="2107" spans="14:14" ht="14.25" customHeight="1">
      <c r="N2107" s="192">
        <v>0</v>
      </c>
    </row>
    <row r="2108" spans="14:14" ht="14.25" customHeight="1">
      <c r="N2108" s="192">
        <v>0</v>
      </c>
    </row>
    <row r="2109" spans="14:14" ht="14.25" customHeight="1">
      <c r="N2109" s="192">
        <v>0</v>
      </c>
    </row>
    <row r="2110" spans="14:14" ht="14.25" customHeight="1">
      <c r="N2110" s="192">
        <v>0</v>
      </c>
    </row>
    <row r="2111" spans="14:14" ht="14.25" customHeight="1">
      <c r="N2111" s="192">
        <v>0</v>
      </c>
    </row>
    <row r="2112" spans="14:14" ht="14.25" customHeight="1">
      <c r="N2112" s="192">
        <v>0</v>
      </c>
    </row>
    <row r="2113" spans="14:14" ht="14.25" customHeight="1">
      <c r="N2113" s="192">
        <v>0</v>
      </c>
    </row>
    <row r="2114" spans="14:14" ht="14.25" customHeight="1">
      <c r="N2114" s="192">
        <v>0</v>
      </c>
    </row>
    <row r="2115" spans="14:14" ht="14.25" customHeight="1">
      <c r="N2115" s="192">
        <v>0</v>
      </c>
    </row>
    <row r="2116" spans="14:14" ht="14.25" customHeight="1">
      <c r="N2116" s="192">
        <v>0</v>
      </c>
    </row>
    <row r="2117" spans="14:14" ht="14.25" customHeight="1">
      <c r="N2117" s="192">
        <v>0</v>
      </c>
    </row>
    <row r="2118" spans="14:14" ht="14.25" customHeight="1">
      <c r="N2118" s="192">
        <v>0</v>
      </c>
    </row>
    <row r="2119" spans="14:14" ht="14.25" customHeight="1">
      <c r="N2119" s="192">
        <v>0</v>
      </c>
    </row>
    <row r="2120" spans="14:14" ht="14.25" customHeight="1">
      <c r="N2120" s="192">
        <v>0</v>
      </c>
    </row>
    <row r="2121" spans="14:14" ht="14.25" customHeight="1">
      <c r="N2121" s="192">
        <v>0</v>
      </c>
    </row>
    <row r="2122" spans="14:14" ht="14.25" customHeight="1">
      <c r="N2122" s="192">
        <v>0</v>
      </c>
    </row>
    <row r="2123" spans="14:14" ht="14.25" customHeight="1">
      <c r="N2123" s="192">
        <v>0</v>
      </c>
    </row>
    <row r="2124" spans="14:14" ht="14.25" customHeight="1">
      <c r="N2124" s="192">
        <v>0</v>
      </c>
    </row>
    <row r="2125" spans="14:14" ht="14.25" customHeight="1">
      <c r="N2125" s="192">
        <v>0</v>
      </c>
    </row>
    <row r="2126" spans="14:14" ht="14.25" customHeight="1">
      <c r="N2126" s="192">
        <v>0</v>
      </c>
    </row>
    <row r="2127" spans="14:14" ht="14.25" customHeight="1">
      <c r="N2127" s="192">
        <v>0</v>
      </c>
    </row>
    <row r="2128" spans="14:14" ht="14.25" customHeight="1">
      <c r="N2128" s="192">
        <v>0</v>
      </c>
    </row>
    <row r="2129" spans="14:14" ht="14.25" customHeight="1">
      <c r="N2129" s="192">
        <v>0</v>
      </c>
    </row>
    <row r="2130" spans="14:14" ht="14.25" customHeight="1">
      <c r="N2130" s="192">
        <v>0</v>
      </c>
    </row>
    <row r="2131" spans="14:14" ht="14.25" customHeight="1">
      <c r="N2131" s="192">
        <v>0</v>
      </c>
    </row>
    <row r="2132" spans="14:14" ht="14.25" customHeight="1">
      <c r="N2132" s="192">
        <v>0</v>
      </c>
    </row>
    <row r="2133" spans="14:14" ht="14.25" customHeight="1">
      <c r="N2133" s="192">
        <v>0</v>
      </c>
    </row>
    <row r="2134" spans="14:14" ht="14.25" customHeight="1">
      <c r="N2134" s="192">
        <v>0</v>
      </c>
    </row>
    <row r="2135" spans="14:14" ht="14.25" customHeight="1">
      <c r="N2135" s="192">
        <v>0</v>
      </c>
    </row>
    <row r="2136" spans="14:14" ht="14.25" customHeight="1">
      <c r="N2136" s="192">
        <v>0</v>
      </c>
    </row>
    <row r="2137" spans="14:14" ht="14.25" customHeight="1">
      <c r="N2137" s="192">
        <v>0</v>
      </c>
    </row>
    <row r="2138" spans="14:14" ht="14.25" customHeight="1">
      <c r="N2138" s="192">
        <v>0</v>
      </c>
    </row>
    <row r="2139" spans="14:14" ht="14.25" customHeight="1">
      <c r="N2139" s="192">
        <v>0</v>
      </c>
    </row>
    <row r="2140" spans="14:14" ht="14.25" customHeight="1">
      <c r="N2140" s="192">
        <v>0</v>
      </c>
    </row>
    <row r="2141" spans="14:14" ht="14.25" customHeight="1">
      <c r="N2141" s="192">
        <v>0</v>
      </c>
    </row>
    <row r="2142" spans="14:14" ht="14.25" customHeight="1">
      <c r="N2142" s="192">
        <v>0</v>
      </c>
    </row>
    <row r="2143" spans="14:14" ht="14.25" customHeight="1">
      <c r="N2143" s="192">
        <v>0</v>
      </c>
    </row>
    <row r="2144" spans="14:14" ht="14.25" customHeight="1">
      <c r="N2144" s="192">
        <v>0</v>
      </c>
    </row>
    <row r="2145" spans="14:14" ht="14.25" customHeight="1">
      <c r="N2145" s="192">
        <v>0</v>
      </c>
    </row>
    <row r="2146" spans="14:14" ht="14.25" customHeight="1">
      <c r="N2146" s="192">
        <v>0</v>
      </c>
    </row>
    <row r="2147" spans="14:14" ht="14.25" customHeight="1">
      <c r="N2147" s="192">
        <v>0</v>
      </c>
    </row>
    <row r="2148" spans="14:14" ht="14.25" customHeight="1">
      <c r="N2148" s="192">
        <v>0</v>
      </c>
    </row>
    <row r="2149" spans="14:14" ht="14.25" customHeight="1">
      <c r="N2149" s="192">
        <v>0</v>
      </c>
    </row>
    <row r="2150" spans="14:14" ht="14.25" customHeight="1">
      <c r="N2150" s="192">
        <v>0</v>
      </c>
    </row>
    <row r="2151" spans="14:14" ht="14.25" customHeight="1">
      <c r="N2151" s="192">
        <v>0</v>
      </c>
    </row>
    <row r="2152" spans="14:14" ht="14.25" customHeight="1">
      <c r="N2152" s="192">
        <v>0</v>
      </c>
    </row>
    <row r="2153" spans="14:14" ht="14.25" customHeight="1">
      <c r="N2153" s="192">
        <v>0</v>
      </c>
    </row>
    <row r="2154" spans="14:14" ht="14.25" customHeight="1">
      <c r="N2154" s="192">
        <v>0</v>
      </c>
    </row>
    <row r="2155" spans="14:14" ht="14.25" customHeight="1">
      <c r="N2155" s="192">
        <v>0</v>
      </c>
    </row>
    <row r="2156" spans="14:14" ht="14.25" customHeight="1">
      <c r="N2156" s="192">
        <v>0</v>
      </c>
    </row>
    <row r="2157" spans="14:14" ht="14.25" customHeight="1">
      <c r="N2157" s="192">
        <v>0</v>
      </c>
    </row>
    <row r="2158" spans="14:14" ht="14.25" customHeight="1">
      <c r="N2158" s="192">
        <v>0</v>
      </c>
    </row>
    <row r="2159" spans="14:14" ht="14.25" customHeight="1">
      <c r="N2159" s="192">
        <v>0</v>
      </c>
    </row>
    <row r="2160" spans="14:14" ht="14.25" customHeight="1">
      <c r="N2160" s="192">
        <v>0</v>
      </c>
    </row>
    <row r="2161" spans="14:14" ht="14.25" customHeight="1">
      <c r="N2161" s="192">
        <v>0</v>
      </c>
    </row>
    <row r="2162" spans="14:14" ht="14.25" customHeight="1">
      <c r="N2162" s="192">
        <v>0</v>
      </c>
    </row>
    <row r="2163" spans="14:14" ht="14.25" customHeight="1">
      <c r="N2163" s="192">
        <v>0</v>
      </c>
    </row>
    <row r="2164" spans="14:14" ht="14.25" customHeight="1">
      <c r="N2164" s="192">
        <v>0</v>
      </c>
    </row>
    <row r="2165" spans="14:14" ht="14.25" customHeight="1">
      <c r="N2165" s="192">
        <v>0</v>
      </c>
    </row>
    <row r="2166" spans="14:14" ht="14.25" customHeight="1">
      <c r="N2166" s="192">
        <v>0</v>
      </c>
    </row>
    <row r="2167" spans="14:14" ht="14.25" customHeight="1">
      <c r="N2167" s="192">
        <v>0</v>
      </c>
    </row>
    <row r="2168" spans="14:14" ht="14.25" customHeight="1">
      <c r="N2168" s="192">
        <v>0</v>
      </c>
    </row>
    <row r="2169" spans="14:14" ht="14.25" customHeight="1">
      <c r="N2169" s="192">
        <v>0</v>
      </c>
    </row>
    <row r="2170" spans="14:14" ht="14.25" customHeight="1">
      <c r="N2170" s="192">
        <v>0</v>
      </c>
    </row>
    <row r="2171" spans="14:14" ht="14.25" customHeight="1">
      <c r="N2171" s="192">
        <v>0</v>
      </c>
    </row>
    <row r="2172" spans="14:14" ht="14.25" customHeight="1">
      <c r="N2172" s="192">
        <v>0</v>
      </c>
    </row>
    <row r="2173" spans="14:14" ht="14.25" customHeight="1">
      <c r="N2173" s="192">
        <v>0</v>
      </c>
    </row>
    <row r="2174" spans="14:14" ht="14.25" customHeight="1">
      <c r="N2174" s="192">
        <v>0</v>
      </c>
    </row>
    <row r="2175" spans="14:14" ht="14.25" customHeight="1">
      <c r="N2175" s="192">
        <v>0</v>
      </c>
    </row>
    <row r="2176" spans="14:14" ht="14.25" customHeight="1">
      <c r="N2176" s="192">
        <v>0</v>
      </c>
    </row>
    <row r="2177" spans="14:14" ht="14.25" customHeight="1">
      <c r="N2177" s="192">
        <v>0</v>
      </c>
    </row>
    <row r="2178" spans="14:14" ht="14.25" customHeight="1">
      <c r="N2178" s="192">
        <v>0</v>
      </c>
    </row>
    <row r="2179" spans="14:14" ht="14.25" customHeight="1">
      <c r="N2179" s="192">
        <v>0</v>
      </c>
    </row>
    <row r="2180" spans="14:14" ht="14.25" customHeight="1">
      <c r="N2180" s="192">
        <v>0</v>
      </c>
    </row>
    <row r="2181" spans="14:14" ht="14.25" customHeight="1">
      <c r="N2181" s="192">
        <v>0</v>
      </c>
    </row>
    <row r="2182" spans="14:14" ht="14.25" customHeight="1">
      <c r="N2182" s="192">
        <v>0</v>
      </c>
    </row>
    <row r="2183" spans="14:14" ht="14.25" customHeight="1">
      <c r="N2183" s="192">
        <v>0</v>
      </c>
    </row>
    <row r="2184" spans="14:14" ht="14.25" customHeight="1">
      <c r="N2184" s="192">
        <v>0</v>
      </c>
    </row>
    <row r="2185" spans="14:14" ht="14.25" customHeight="1">
      <c r="N2185" s="192">
        <v>0</v>
      </c>
    </row>
    <row r="2186" spans="14:14" ht="14.25" customHeight="1">
      <c r="N2186" s="192">
        <v>0</v>
      </c>
    </row>
    <row r="2187" spans="14:14" ht="14.25" customHeight="1">
      <c r="N2187" s="192">
        <v>0</v>
      </c>
    </row>
    <row r="2188" spans="14:14" ht="14.25" customHeight="1">
      <c r="N2188" s="192">
        <v>0</v>
      </c>
    </row>
    <row r="2189" spans="14:14" ht="14.25" customHeight="1">
      <c r="N2189" s="192">
        <v>0</v>
      </c>
    </row>
    <row r="2190" spans="14:14" ht="14.25" customHeight="1">
      <c r="N2190" s="192">
        <v>0</v>
      </c>
    </row>
    <row r="2191" spans="14:14" ht="14.25" customHeight="1">
      <c r="N2191" s="192">
        <v>0</v>
      </c>
    </row>
    <row r="2192" spans="14:14" ht="14.25" customHeight="1">
      <c r="N2192" s="192">
        <v>0</v>
      </c>
    </row>
    <row r="2193" spans="14:14" ht="14.25" customHeight="1">
      <c r="N2193" s="192">
        <v>0</v>
      </c>
    </row>
    <row r="2194" spans="14:14" ht="14.25" customHeight="1">
      <c r="N2194" s="192">
        <v>0</v>
      </c>
    </row>
    <row r="2195" spans="14:14" ht="14.25" customHeight="1">
      <c r="N2195" s="192">
        <v>0</v>
      </c>
    </row>
    <row r="2196" spans="14:14" ht="14.25" customHeight="1">
      <c r="N2196" s="192">
        <v>0</v>
      </c>
    </row>
    <row r="2197" spans="14:14" ht="14.25" customHeight="1">
      <c r="N2197" s="192">
        <v>0</v>
      </c>
    </row>
    <row r="2198" spans="14:14" ht="14.25" customHeight="1">
      <c r="N2198" s="192">
        <v>0</v>
      </c>
    </row>
    <row r="2199" spans="14:14" ht="14.25" customHeight="1">
      <c r="N2199" s="192">
        <v>0</v>
      </c>
    </row>
    <row r="2200" spans="14:14" ht="14.25" customHeight="1">
      <c r="N2200" s="192">
        <v>0</v>
      </c>
    </row>
    <row r="2201" spans="14:14" ht="14.25" customHeight="1">
      <c r="N2201" s="192">
        <v>0</v>
      </c>
    </row>
    <row r="2202" spans="14:14" ht="14.25" customHeight="1">
      <c r="N2202" s="192">
        <v>0</v>
      </c>
    </row>
    <row r="2203" spans="14:14" ht="14.25" customHeight="1">
      <c r="N2203" s="192">
        <v>0</v>
      </c>
    </row>
    <row r="2204" spans="14:14" ht="14.25" customHeight="1">
      <c r="N2204" s="192">
        <v>0</v>
      </c>
    </row>
    <row r="2205" spans="14:14" ht="14.25" customHeight="1">
      <c r="N2205" s="192">
        <v>0</v>
      </c>
    </row>
    <row r="2206" spans="14:14" ht="14.25" customHeight="1">
      <c r="N2206" s="192">
        <v>0</v>
      </c>
    </row>
    <row r="2207" spans="14:14" ht="14.25" customHeight="1">
      <c r="N2207" s="192">
        <v>0</v>
      </c>
    </row>
    <row r="2208" spans="14:14" ht="14.25" customHeight="1">
      <c r="N2208" s="192">
        <v>0</v>
      </c>
    </row>
    <row r="2209" spans="14:14" ht="14.25" customHeight="1">
      <c r="N2209" s="192">
        <v>0</v>
      </c>
    </row>
    <row r="2210" spans="14:14" ht="14.25" customHeight="1">
      <c r="N2210" s="192">
        <v>0</v>
      </c>
    </row>
    <row r="2211" spans="14:14" ht="14.25" customHeight="1">
      <c r="N2211" s="192">
        <v>0</v>
      </c>
    </row>
    <row r="2212" spans="14:14" ht="14.25" customHeight="1">
      <c r="N2212" s="192">
        <v>0</v>
      </c>
    </row>
    <row r="2213" spans="14:14" ht="14.25" customHeight="1">
      <c r="N2213" s="192">
        <v>0</v>
      </c>
    </row>
    <row r="2214" spans="14:14" ht="14.25" customHeight="1">
      <c r="N2214" s="192">
        <v>0</v>
      </c>
    </row>
    <row r="2215" spans="14:14" ht="14.25" customHeight="1">
      <c r="N2215" s="192">
        <v>0</v>
      </c>
    </row>
    <row r="2216" spans="14:14" ht="14.25" customHeight="1">
      <c r="N2216" s="192">
        <v>0</v>
      </c>
    </row>
    <row r="2217" spans="14:14" ht="14.25" customHeight="1">
      <c r="N2217" s="192">
        <v>0</v>
      </c>
    </row>
    <row r="2218" spans="14:14" ht="14.25" customHeight="1">
      <c r="N2218" s="192">
        <v>0</v>
      </c>
    </row>
    <row r="2219" spans="14:14" ht="14.25" customHeight="1">
      <c r="N2219" s="192">
        <v>0</v>
      </c>
    </row>
    <row r="2220" spans="14:14" ht="14.25" customHeight="1">
      <c r="N2220" s="192">
        <v>0</v>
      </c>
    </row>
    <row r="2221" spans="14:14" ht="14.25" customHeight="1">
      <c r="N2221" s="192">
        <v>0</v>
      </c>
    </row>
    <row r="2222" spans="14:14" ht="14.25" customHeight="1">
      <c r="N2222" s="192">
        <v>0</v>
      </c>
    </row>
    <row r="2223" spans="14:14" ht="14.25" customHeight="1">
      <c r="N2223" s="192">
        <v>0</v>
      </c>
    </row>
    <row r="2224" spans="14:14" ht="14.25" customHeight="1">
      <c r="N2224" s="192">
        <v>0</v>
      </c>
    </row>
    <row r="2225" spans="14:14" ht="14.25" customHeight="1">
      <c r="N2225" s="192">
        <v>0</v>
      </c>
    </row>
    <row r="2226" spans="14:14" ht="14.25" customHeight="1">
      <c r="N2226" s="192">
        <v>0</v>
      </c>
    </row>
    <row r="2227" spans="14:14" ht="14.25" customHeight="1">
      <c r="N2227" s="192">
        <v>0</v>
      </c>
    </row>
    <row r="2228" spans="14:14" ht="14.25" customHeight="1">
      <c r="N2228" s="192">
        <v>0</v>
      </c>
    </row>
    <row r="2229" spans="14:14" ht="14.25" customHeight="1">
      <c r="N2229" s="192">
        <v>0</v>
      </c>
    </row>
    <row r="2230" spans="14:14" ht="14.25" customHeight="1">
      <c r="N2230" s="192">
        <v>0</v>
      </c>
    </row>
    <row r="2231" spans="14:14" ht="14.25" customHeight="1">
      <c r="N2231" s="192">
        <v>0</v>
      </c>
    </row>
    <row r="2232" spans="14:14" ht="14.25" customHeight="1">
      <c r="N2232" s="192">
        <v>0</v>
      </c>
    </row>
    <row r="2233" spans="14:14" ht="14.25" customHeight="1">
      <c r="N2233" s="192">
        <v>0</v>
      </c>
    </row>
    <row r="2234" spans="14:14" ht="14.25" customHeight="1">
      <c r="N2234" s="192">
        <v>0</v>
      </c>
    </row>
    <row r="2235" spans="14:14" ht="14.25" customHeight="1">
      <c r="N2235" s="192">
        <v>0</v>
      </c>
    </row>
    <row r="2236" spans="14:14" ht="14.25" customHeight="1">
      <c r="N2236" s="192">
        <v>0</v>
      </c>
    </row>
    <row r="2237" spans="14:14" ht="14.25" customHeight="1">
      <c r="N2237" s="192">
        <v>0</v>
      </c>
    </row>
    <row r="2238" spans="14:14" ht="14.25" customHeight="1">
      <c r="N2238" s="192">
        <v>0</v>
      </c>
    </row>
    <row r="2239" spans="14:14" ht="14.25" customHeight="1">
      <c r="N2239" s="192">
        <v>0</v>
      </c>
    </row>
    <row r="2240" spans="14:14" ht="14.25" customHeight="1">
      <c r="N2240" s="192">
        <v>0</v>
      </c>
    </row>
    <row r="2241" spans="14:14" ht="14.25" customHeight="1">
      <c r="N2241" s="192">
        <v>0</v>
      </c>
    </row>
    <row r="2242" spans="14:14" ht="14.25" customHeight="1">
      <c r="N2242" s="192">
        <v>0</v>
      </c>
    </row>
    <row r="2243" spans="14:14" ht="14.25" customHeight="1">
      <c r="N2243" s="192">
        <v>0</v>
      </c>
    </row>
    <row r="2244" spans="14:14" ht="14.25" customHeight="1">
      <c r="N2244" s="192">
        <v>0</v>
      </c>
    </row>
    <row r="2245" spans="14:14" ht="14.25" customHeight="1">
      <c r="N2245" s="192">
        <v>0</v>
      </c>
    </row>
    <row r="2246" spans="14:14" ht="14.25" customHeight="1">
      <c r="N2246" s="192">
        <v>0</v>
      </c>
    </row>
    <row r="2247" spans="14:14" ht="14.25" customHeight="1">
      <c r="N2247" s="192">
        <v>0</v>
      </c>
    </row>
    <row r="2248" spans="14:14" ht="14.25" customHeight="1">
      <c r="N2248" s="192">
        <v>0</v>
      </c>
    </row>
    <row r="2249" spans="14:14" ht="14.25" customHeight="1">
      <c r="N2249" s="192">
        <v>0</v>
      </c>
    </row>
    <row r="2250" spans="14:14" ht="14.25" customHeight="1">
      <c r="N2250" s="192">
        <v>0</v>
      </c>
    </row>
    <row r="2251" spans="14:14" ht="14.25" customHeight="1">
      <c r="N2251" s="192">
        <v>0</v>
      </c>
    </row>
    <row r="2252" spans="14:14" ht="14.25" customHeight="1">
      <c r="N2252" s="192">
        <v>0</v>
      </c>
    </row>
    <row r="2253" spans="14:14" ht="14.25" customHeight="1">
      <c r="N2253" s="192">
        <v>0</v>
      </c>
    </row>
    <row r="2254" spans="14:14" ht="14.25" customHeight="1">
      <c r="N2254" s="192">
        <v>0</v>
      </c>
    </row>
    <row r="2255" spans="14:14" ht="14.25" customHeight="1">
      <c r="N2255" s="192">
        <v>0</v>
      </c>
    </row>
    <row r="2256" spans="14:14" ht="14.25" customHeight="1">
      <c r="N2256" s="192">
        <v>0</v>
      </c>
    </row>
    <row r="2257" spans="14:14" ht="14.25" customHeight="1">
      <c r="N2257" s="192">
        <v>0</v>
      </c>
    </row>
    <row r="2258" spans="14:14" ht="14.25" customHeight="1">
      <c r="N2258" s="192">
        <v>0</v>
      </c>
    </row>
    <row r="2259" spans="14:14" ht="14.25" customHeight="1">
      <c r="N2259" s="192">
        <v>0</v>
      </c>
    </row>
    <row r="2260" spans="14:14" ht="14.25" customHeight="1">
      <c r="N2260" s="192">
        <v>0</v>
      </c>
    </row>
    <row r="2261" spans="14:14" ht="14.25" customHeight="1">
      <c r="N2261" s="192">
        <v>0</v>
      </c>
    </row>
    <row r="2262" spans="14:14" ht="14.25" customHeight="1">
      <c r="N2262" s="192">
        <v>0</v>
      </c>
    </row>
    <row r="2263" spans="14:14" ht="14.25" customHeight="1">
      <c r="N2263" s="192">
        <v>0</v>
      </c>
    </row>
    <row r="2264" spans="14:14" ht="14.25" customHeight="1">
      <c r="N2264" s="192">
        <v>0</v>
      </c>
    </row>
    <row r="2265" spans="14:14" ht="14.25" customHeight="1">
      <c r="N2265" s="192">
        <v>0</v>
      </c>
    </row>
    <row r="2266" spans="14:14" ht="14.25" customHeight="1">
      <c r="N2266" s="192">
        <v>0</v>
      </c>
    </row>
    <row r="2267" spans="14:14" ht="14.25" customHeight="1">
      <c r="N2267" s="192">
        <v>0</v>
      </c>
    </row>
    <row r="2268" spans="14:14" ht="14.25" customHeight="1">
      <c r="N2268" s="192">
        <v>0</v>
      </c>
    </row>
    <row r="2269" spans="14:14" ht="14.25" customHeight="1">
      <c r="N2269" s="192">
        <v>0</v>
      </c>
    </row>
    <row r="2270" spans="14:14" ht="14.25" customHeight="1">
      <c r="N2270" s="192">
        <v>0</v>
      </c>
    </row>
    <row r="2271" spans="14:14" ht="14.25" customHeight="1">
      <c r="N2271" s="192">
        <v>0</v>
      </c>
    </row>
    <row r="2272" spans="14:14" ht="14.25" customHeight="1">
      <c r="N2272" s="192">
        <v>0</v>
      </c>
    </row>
    <row r="2273" spans="14:14" ht="14.25" customHeight="1">
      <c r="N2273" s="192">
        <v>0</v>
      </c>
    </row>
    <row r="2274" spans="14:14" ht="14.25" customHeight="1">
      <c r="N2274" s="192">
        <v>0</v>
      </c>
    </row>
    <row r="2275" spans="14:14" ht="14.25" customHeight="1">
      <c r="N2275" s="192">
        <v>0</v>
      </c>
    </row>
    <row r="2276" spans="14:14" ht="14.25" customHeight="1">
      <c r="N2276" s="192">
        <v>0</v>
      </c>
    </row>
    <row r="2277" spans="14:14" ht="14.25" customHeight="1">
      <c r="N2277" s="192">
        <v>0</v>
      </c>
    </row>
    <row r="2278" spans="14:14" ht="14.25" customHeight="1">
      <c r="N2278" s="192">
        <v>0</v>
      </c>
    </row>
    <row r="2279" spans="14:14" ht="14.25" customHeight="1">
      <c r="N2279" s="192">
        <v>0</v>
      </c>
    </row>
    <row r="2280" spans="14:14" ht="14.25" customHeight="1">
      <c r="N2280" s="192">
        <v>0</v>
      </c>
    </row>
    <row r="2281" spans="14:14" ht="14.25" customHeight="1">
      <c r="N2281" s="192">
        <v>0</v>
      </c>
    </row>
    <row r="2282" spans="14:14" ht="14.25" customHeight="1">
      <c r="N2282" s="192">
        <v>0</v>
      </c>
    </row>
    <row r="2283" spans="14:14" ht="14.25" customHeight="1">
      <c r="N2283" s="192">
        <v>0</v>
      </c>
    </row>
    <row r="2284" spans="14:14" ht="14.25" customHeight="1">
      <c r="N2284" s="192">
        <v>0</v>
      </c>
    </row>
    <row r="2285" spans="14:14" ht="14.25" customHeight="1">
      <c r="N2285" s="192">
        <v>0</v>
      </c>
    </row>
    <row r="2286" spans="14:14" ht="14.25" customHeight="1">
      <c r="N2286" s="192">
        <v>0</v>
      </c>
    </row>
    <row r="2287" spans="14:14" ht="14.25" customHeight="1">
      <c r="N2287" s="192">
        <v>0</v>
      </c>
    </row>
    <row r="2288" spans="14:14" ht="14.25" customHeight="1">
      <c r="N2288" s="192">
        <v>0</v>
      </c>
    </row>
    <row r="2289" spans="14:14" ht="14.25" customHeight="1">
      <c r="N2289" s="192">
        <v>0</v>
      </c>
    </row>
    <row r="2290" spans="14:14" ht="14.25" customHeight="1">
      <c r="N2290" s="192">
        <v>0</v>
      </c>
    </row>
    <row r="2291" spans="14:14" ht="14.25" customHeight="1">
      <c r="N2291" s="192">
        <v>0</v>
      </c>
    </row>
    <row r="2292" spans="14:14" ht="14.25" customHeight="1">
      <c r="N2292" s="192">
        <v>0</v>
      </c>
    </row>
    <row r="2293" spans="14:14" ht="14.25" customHeight="1">
      <c r="N2293" s="192">
        <v>0</v>
      </c>
    </row>
    <row r="2294" spans="14:14" ht="14.25" customHeight="1">
      <c r="N2294" s="192">
        <v>0</v>
      </c>
    </row>
    <row r="2295" spans="14:14" ht="14.25" customHeight="1">
      <c r="N2295" s="192">
        <v>0</v>
      </c>
    </row>
    <row r="2296" spans="14:14" ht="14.25" customHeight="1">
      <c r="N2296" s="192">
        <v>0</v>
      </c>
    </row>
    <row r="2297" spans="14:14" ht="14.25" customHeight="1">
      <c r="N2297" s="192">
        <v>0</v>
      </c>
    </row>
    <row r="2298" spans="14:14" ht="14.25" customHeight="1">
      <c r="N2298" s="192">
        <v>0</v>
      </c>
    </row>
    <row r="2299" spans="14:14" ht="14.25" customHeight="1">
      <c r="N2299" s="192">
        <v>0</v>
      </c>
    </row>
    <row r="2300" spans="14:14" ht="14.25" customHeight="1">
      <c r="N2300" s="192">
        <v>0</v>
      </c>
    </row>
    <row r="2301" spans="14:14" ht="14.25" customHeight="1">
      <c r="N2301" s="192">
        <v>0</v>
      </c>
    </row>
    <row r="2302" spans="14:14" ht="14.25" customHeight="1">
      <c r="N2302" s="192">
        <v>0</v>
      </c>
    </row>
    <row r="2303" spans="14:14" ht="14.25" customHeight="1">
      <c r="N2303" s="192">
        <v>0</v>
      </c>
    </row>
    <row r="2304" spans="14:14" ht="14.25" customHeight="1">
      <c r="N2304" s="192">
        <v>0</v>
      </c>
    </row>
    <row r="2305" spans="14:14" ht="14.25" customHeight="1">
      <c r="N2305" s="192">
        <v>0</v>
      </c>
    </row>
    <row r="2306" spans="14:14" ht="14.25" customHeight="1">
      <c r="N2306" s="192">
        <v>0</v>
      </c>
    </row>
    <row r="2307" spans="14:14" ht="14.25" customHeight="1">
      <c r="N2307" s="192">
        <v>0</v>
      </c>
    </row>
    <row r="2308" spans="14:14" ht="14.25" customHeight="1">
      <c r="N2308" s="192">
        <v>0</v>
      </c>
    </row>
    <row r="2309" spans="14:14" ht="14.25" customHeight="1">
      <c r="N2309" s="192">
        <v>0</v>
      </c>
    </row>
    <row r="2310" spans="14:14" ht="14.25" customHeight="1">
      <c r="N2310" s="192">
        <v>0</v>
      </c>
    </row>
    <row r="2311" spans="14:14" ht="14.25" customHeight="1">
      <c r="N2311" s="192">
        <v>0</v>
      </c>
    </row>
    <row r="2312" spans="14:14" ht="14.25" customHeight="1">
      <c r="N2312" s="192">
        <v>0</v>
      </c>
    </row>
    <row r="2313" spans="14:14" ht="14.25" customHeight="1">
      <c r="N2313" s="192">
        <v>0</v>
      </c>
    </row>
    <row r="2314" spans="14:14" ht="14.25" customHeight="1">
      <c r="N2314" s="192">
        <v>0</v>
      </c>
    </row>
    <row r="2315" spans="14:14" ht="14.25" customHeight="1">
      <c r="N2315" s="192">
        <v>0</v>
      </c>
    </row>
    <row r="2316" spans="14:14" ht="14.25" customHeight="1">
      <c r="N2316" s="192">
        <v>0</v>
      </c>
    </row>
    <row r="2317" spans="14:14" ht="14.25" customHeight="1">
      <c r="N2317" s="192">
        <v>0</v>
      </c>
    </row>
    <row r="2318" spans="14:14" ht="14.25" customHeight="1">
      <c r="N2318" s="192">
        <v>0</v>
      </c>
    </row>
    <row r="2319" spans="14:14" ht="14.25" customHeight="1">
      <c r="N2319" s="192">
        <v>0</v>
      </c>
    </row>
    <row r="2320" spans="14:14" ht="14.25" customHeight="1">
      <c r="N2320" s="192">
        <v>0</v>
      </c>
    </row>
    <row r="2321" spans="14:14" ht="14.25" customHeight="1">
      <c r="N2321" s="192">
        <v>0</v>
      </c>
    </row>
    <row r="2322" spans="14:14" ht="14.25" customHeight="1">
      <c r="N2322" s="192">
        <v>0</v>
      </c>
    </row>
    <row r="2323" spans="14:14" ht="14.25" customHeight="1">
      <c r="N2323" s="192">
        <v>0</v>
      </c>
    </row>
    <row r="2324" spans="14:14" ht="14.25" customHeight="1">
      <c r="N2324" s="192">
        <v>0</v>
      </c>
    </row>
    <row r="2325" spans="14:14" ht="14.25" customHeight="1">
      <c r="N2325" s="192">
        <v>0</v>
      </c>
    </row>
    <row r="2326" spans="14:14" ht="14.25" customHeight="1">
      <c r="N2326" s="192">
        <v>0</v>
      </c>
    </row>
    <row r="2327" spans="14:14" ht="14.25" customHeight="1">
      <c r="N2327" s="192">
        <v>0</v>
      </c>
    </row>
    <row r="2328" spans="14:14" ht="14.25" customHeight="1">
      <c r="N2328" s="192">
        <v>0</v>
      </c>
    </row>
    <row r="2329" spans="14:14" ht="14.25" customHeight="1">
      <c r="N2329" s="192">
        <v>0</v>
      </c>
    </row>
    <row r="2330" spans="14:14" ht="14.25" customHeight="1">
      <c r="N2330" s="192">
        <v>0</v>
      </c>
    </row>
    <row r="2331" spans="14:14" ht="14.25" customHeight="1">
      <c r="N2331" s="192">
        <v>0</v>
      </c>
    </row>
    <row r="2332" spans="14:14" ht="14.25" customHeight="1">
      <c r="N2332" s="192">
        <v>0</v>
      </c>
    </row>
    <row r="2333" spans="14:14" ht="14.25" customHeight="1">
      <c r="N2333" s="192">
        <v>0</v>
      </c>
    </row>
    <row r="2334" spans="14:14" ht="14.25" customHeight="1">
      <c r="N2334" s="192">
        <v>0</v>
      </c>
    </row>
    <row r="2335" spans="14:14" ht="14.25" customHeight="1">
      <c r="N2335" s="192">
        <v>0</v>
      </c>
    </row>
    <row r="2336" spans="14:14" ht="14.25" customHeight="1">
      <c r="N2336" s="192">
        <v>0</v>
      </c>
    </row>
    <row r="2337" spans="14:14" ht="14.25" customHeight="1">
      <c r="N2337" s="192">
        <v>0</v>
      </c>
    </row>
    <row r="2338" spans="14:14" ht="14.25" customHeight="1">
      <c r="N2338" s="192">
        <v>0</v>
      </c>
    </row>
    <row r="2339" spans="14:14" ht="14.25" customHeight="1">
      <c r="N2339" s="192">
        <v>0</v>
      </c>
    </row>
    <row r="2340" spans="14:14" ht="14.25" customHeight="1">
      <c r="N2340" s="192">
        <v>0</v>
      </c>
    </row>
    <row r="2341" spans="14:14" ht="14.25" customHeight="1">
      <c r="N2341" s="192">
        <v>0</v>
      </c>
    </row>
    <row r="2342" spans="14:14" ht="14.25" customHeight="1">
      <c r="N2342" s="192">
        <v>0</v>
      </c>
    </row>
    <row r="2343" spans="14:14" ht="14.25" customHeight="1">
      <c r="N2343" s="192">
        <v>0</v>
      </c>
    </row>
    <row r="2344" spans="14:14" ht="14.25" customHeight="1">
      <c r="N2344" s="192">
        <v>0</v>
      </c>
    </row>
    <row r="2345" spans="14:14" ht="14.25" customHeight="1">
      <c r="N2345" s="192">
        <v>0</v>
      </c>
    </row>
    <row r="2346" spans="14:14" ht="14.25" customHeight="1">
      <c r="N2346" s="192">
        <v>0</v>
      </c>
    </row>
    <row r="2347" spans="14:14" ht="14.25" customHeight="1">
      <c r="N2347" s="192">
        <v>0</v>
      </c>
    </row>
    <row r="2348" spans="14:14" ht="14.25" customHeight="1">
      <c r="N2348" s="192">
        <v>0</v>
      </c>
    </row>
    <row r="2349" spans="14:14" ht="14.25" customHeight="1">
      <c r="N2349" s="192">
        <v>0</v>
      </c>
    </row>
    <row r="2350" spans="14:14" ht="14.25" customHeight="1">
      <c r="N2350" s="192">
        <v>0</v>
      </c>
    </row>
    <row r="2351" spans="14:14" ht="14.25" customHeight="1">
      <c r="N2351" s="192">
        <v>0</v>
      </c>
    </row>
    <row r="2352" spans="14:14" ht="14.25" customHeight="1">
      <c r="N2352" s="192">
        <v>0</v>
      </c>
    </row>
    <row r="2353" spans="14:14" ht="14.25" customHeight="1">
      <c r="N2353" s="192">
        <v>0</v>
      </c>
    </row>
    <row r="2354" spans="14:14" ht="14.25" customHeight="1">
      <c r="N2354" s="192">
        <v>0</v>
      </c>
    </row>
    <row r="2355" spans="14:14" ht="14.25" customHeight="1">
      <c r="N2355" s="192">
        <v>0</v>
      </c>
    </row>
    <row r="2356" spans="14:14" ht="14.25" customHeight="1">
      <c r="N2356" s="192">
        <v>0</v>
      </c>
    </row>
    <row r="2357" spans="14:14" ht="14.25" customHeight="1">
      <c r="N2357" s="192">
        <v>0</v>
      </c>
    </row>
    <row r="2358" spans="14:14" ht="14.25" customHeight="1">
      <c r="N2358" s="192">
        <v>0</v>
      </c>
    </row>
    <row r="2359" spans="14:14" ht="14.25" customHeight="1">
      <c r="N2359" s="192">
        <v>0</v>
      </c>
    </row>
    <row r="2360" spans="14:14" ht="14.25" customHeight="1">
      <c r="N2360" s="192">
        <v>0</v>
      </c>
    </row>
    <row r="2361" spans="14:14" ht="14.25" customHeight="1">
      <c r="N2361" s="192">
        <v>0</v>
      </c>
    </row>
    <row r="2362" spans="14:14" ht="14.25" customHeight="1">
      <c r="N2362" s="192">
        <v>0</v>
      </c>
    </row>
    <row r="2363" spans="14:14" ht="14.25" customHeight="1">
      <c r="N2363" s="192">
        <v>0</v>
      </c>
    </row>
    <row r="2364" spans="14:14" ht="14.25" customHeight="1">
      <c r="N2364" s="192">
        <v>0</v>
      </c>
    </row>
    <row r="2365" spans="14:14" ht="14.25" customHeight="1">
      <c r="N2365" s="192">
        <v>0</v>
      </c>
    </row>
    <row r="2366" spans="14:14" ht="14.25" customHeight="1">
      <c r="N2366" s="192">
        <v>0</v>
      </c>
    </row>
    <row r="2367" spans="14:14" ht="14.25" customHeight="1">
      <c r="N2367" s="192">
        <v>0</v>
      </c>
    </row>
    <row r="2368" spans="14:14" ht="14.25" customHeight="1">
      <c r="N2368" s="192">
        <v>0</v>
      </c>
    </row>
    <row r="2369" spans="14:14" ht="14.25" customHeight="1">
      <c r="N2369" s="192">
        <v>0</v>
      </c>
    </row>
    <row r="2370" spans="14:14" ht="14.25" customHeight="1">
      <c r="N2370" s="192">
        <v>0</v>
      </c>
    </row>
    <row r="2371" spans="14:14" ht="14.25" customHeight="1">
      <c r="N2371" s="192">
        <v>0</v>
      </c>
    </row>
    <row r="2372" spans="14:14" ht="14.25" customHeight="1">
      <c r="N2372" s="192">
        <v>0</v>
      </c>
    </row>
    <row r="2373" spans="14:14" ht="14.25" customHeight="1">
      <c r="N2373" s="192">
        <v>0</v>
      </c>
    </row>
    <row r="2374" spans="14:14" ht="14.25" customHeight="1">
      <c r="N2374" s="192">
        <v>0</v>
      </c>
    </row>
    <row r="2375" spans="14:14" ht="14.25" customHeight="1">
      <c r="N2375" s="192">
        <v>0</v>
      </c>
    </row>
    <row r="2376" spans="14:14" ht="14.25" customHeight="1">
      <c r="N2376" s="192">
        <v>0</v>
      </c>
    </row>
    <row r="2377" spans="14:14" ht="14.25" customHeight="1">
      <c r="N2377" s="192">
        <v>0</v>
      </c>
    </row>
    <row r="2378" spans="14:14" ht="14.25" customHeight="1">
      <c r="N2378" s="192">
        <v>0</v>
      </c>
    </row>
    <row r="2379" spans="14:14" ht="14.25" customHeight="1">
      <c r="N2379" s="192">
        <v>0</v>
      </c>
    </row>
    <row r="2380" spans="14:14" ht="14.25" customHeight="1">
      <c r="N2380" s="192">
        <v>0</v>
      </c>
    </row>
    <row r="2381" spans="14:14" ht="14.25" customHeight="1">
      <c r="N2381" s="192">
        <v>0</v>
      </c>
    </row>
    <row r="2382" spans="14:14" ht="14.25" customHeight="1">
      <c r="N2382" s="192">
        <v>0</v>
      </c>
    </row>
    <row r="2383" spans="14:14" ht="14.25" customHeight="1">
      <c r="N2383" s="192">
        <v>0</v>
      </c>
    </row>
    <row r="2384" spans="14:14" ht="14.25" customHeight="1">
      <c r="N2384" s="192">
        <v>0</v>
      </c>
    </row>
    <row r="2385" spans="14:14" ht="14.25" customHeight="1">
      <c r="N2385" s="192">
        <v>0</v>
      </c>
    </row>
    <row r="2386" spans="14:14" ht="14.25" customHeight="1">
      <c r="N2386" s="192">
        <v>0</v>
      </c>
    </row>
    <row r="2387" spans="14:14" ht="14.25" customHeight="1">
      <c r="N2387" s="192">
        <v>0</v>
      </c>
    </row>
    <row r="2388" spans="14:14" ht="14.25" customHeight="1">
      <c r="N2388" s="192">
        <v>0</v>
      </c>
    </row>
    <row r="2389" spans="14:14" ht="14.25" customHeight="1">
      <c r="N2389" s="192">
        <v>0</v>
      </c>
    </row>
    <row r="2390" spans="14:14" ht="14.25" customHeight="1">
      <c r="N2390" s="192">
        <v>0</v>
      </c>
    </row>
    <row r="2391" spans="14:14" ht="14.25" customHeight="1">
      <c r="N2391" s="192">
        <v>0</v>
      </c>
    </row>
    <row r="2392" spans="14:14" ht="14.25" customHeight="1">
      <c r="N2392" s="192">
        <v>0</v>
      </c>
    </row>
    <row r="2393" spans="14:14" ht="14.25" customHeight="1">
      <c r="N2393" s="192">
        <v>0</v>
      </c>
    </row>
    <row r="2394" spans="14:14" ht="14.25" customHeight="1">
      <c r="N2394" s="192">
        <v>0</v>
      </c>
    </row>
    <row r="2395" spans="14:14" ht="14.25" customHeight="1">
      <c r="N2395" s="192">
        <v>0</v>
      </c>
    </row>
    <row r="2396" spans="14:14" ht="14.25" customHeight="1">
      <c r="N2396" s="192">
        <v>0</v>
      </c>
    </row>
    <row r="2397" spans="14:14" ht="14.25" customHeight="1">
      <c r="N2397" s="192">
        <v>0</v>
      </c>
    </row>
    <row r="2398" spans="14:14" ht="14.25" customHeight="1">
      <c r="N2398" s="192">
        <v>0</v>
      </c>
    </row>
    <row r="2399" spans="14:14" ht="14.25" customHeight="1">
      <c r="N2399" s="192">
        <v>0</v>
      </c>
    </row>
    <row r="2400" spans="14:14" ht="14.25" customHeight="1">
      <c r="N2400" s="192">
        <v>0</v>
      </c>
    </row>
    <row r="2401" spans="14:14" ht="14.25" customHeight="1">
      <c r="N2401" s="192">
        <v>0</v>
      </c>
    </row>
    <row r="2402" spans="14:14" ht="14.25" customHeight="1">
      <c r="N2402" s="192">
        <v>0</v>
      </c>
    </row>
    <row r="2403" spans="14:14" ht="14.25" customHeight="1">
      <c r="N2403" s="192">
        <v>0</v>
      </c>
    </row>
    <row r="2404" spans="14:14" ht="14.25" customHeight="1">
      <c r="N2404" s="192">
        <v>0</v>
      </c>
    </row>
    <row r="2405" spans="14:14" ht="14.25" customHeight="1">
      <c r="N2405" s="192">
        <v>0</v>
      </c>
    </row>
    <row r="2406" spans="14:14" ht="14.25" customHeight="1">
      <c r="N2406" s="192">
        <v>0</v>
      </c>
    </row>
    <row r="2407" spans="14:14" ht="14.25" customHeight="1">
      <c r="N2407" s="192">
        <v>0</v>
      </c>
    </row>
    <row r="2408" spans="14:14" ht="14.25" customHeight="1">
      <c r="N2408" s="192">
        <v>0</v>
      </c>
    </row>
    <row r="2409" spans="14:14" ht="14.25" customHeight="1">
      <c r="N2409" s="192">
        <v>0</v>
      </c>
    </row>
    <row r="2410" spans="14:14" ht="14.25" customHeight="1">
      <c r="N2410" s="192">
        <v>0</v>
      </c>
    </row>
    <row r="2411" spans="14:14" ht="14.25" customHeight="1">
      <c r="N2411" s="192">
        <v>0</v>
      </c>
    </row>
    <row r="2412" spans="14:14" ht="14.25" customHeight="1">
      <c r="N2412" s="192">
        <v>0</v>
      </c>
    </row>
    <row r="2413" spans="14:14" ht="14.25" customHeight="1">
      <c r="N2413" s="192">
        <v>0</v>
      </c>
    </row>
    <row r="2414" spans="14:14" ht="14.25" customHeight="1">
      <c r="N2414" s="192">
        <v>0</v>
      </c>
    </row>
    <row r="2415" spans="14:14" ht="14.25" customHeight="1">
      <c r="N2415" s="192">
        <v>0</v>
      </c>
    </row>
    <row r="2416" spans="14:14" ht="14.25" customHeight="1">
      <c r="N2416" s="192">
        <v>0</v>
      </c>
    </row>
    <row r="2417" spans="14:14" ht="14.25" customHeight="1">
      <c r="N2417" s="192">
        <v>0</v>
      </c>
    </row>
    <row r="2418" spans="14:14" ht="14.25" customHeight="1">
      <c r="N2418" s="192">
        <v>0</v>
      </c>
    </row>
    <row r="2419" spans="14:14" ht="14.25" customHeight="1">
      <c r="N2419" s="192">
        <v>0</v>
      </c>
    </row>
    <row r="2420" spans="14:14" ht="14.25" customHeight="1">
      <c r="N2420" s="192">
        <v>0</v>
      </c>
    </row>
    <row r="2421" spans="14:14" ht="14.25" customHeight="1">
      <c r="N2421" s="192">
        <v>0</v>
      </c>
    </row>
    <row r="2422" spans="14:14" ht="14.25" customHeight="1">
      <c r="N2422" s="192">
        <v>0</v>
      </c>
    </row>
    <row r="2423" spans="14:14" ht="14.25" customHeight="1">
      <c r="N2423" s="192">
        <v>0</v>
      </c>
    </row>
    <row r="2424" spans="14:14" ht="14.25" customHeight="1">
      <c r="N2424" s="192">
        <v>0</v>
      </c>
    </row>
    <row r="2425" spans="14:14" ht="14.25" customHeight="1">
      <c r="N2425" s="192">
        <v>0</v>
      </c>
    </row>
    <row r="2426" spans="14:14" ht="14.25" customHeight="1">
      <c r="N2426" s="192">
        <v>0</v>
      </c>
    </row>
    <row r="2427" spans="14:14" ht="14.25" customHeight="1">
      <c r="N2427" s="192">
        <v>0</v>
      </c>
    </row>
    <row r="2428" spans="14:14" ht="14.25" customHeight="1">
      <c r="N2428" s="192">
        <v>0</v>
      </c>
    </row>
    <row r="2429" spans="14:14" ht="14.25" customHeight="1">
      <c r="N2429" s="192">
        <v>0</v>
      </c>
    </row>
    <row r="2430" spans="14:14" ht="14.25" customHeight="1">
      <c r="N2430" s="192">
        <v>0</v>
      </c>
    </row>
    <row r="2431" spans="14:14" ht="14.25" customHeight="1">
      <c r="N2431" s="192">
        <v>0</v>
      </c>
    </row>
    <row r="2432" spans="14:14" ht="14.25" customHeight="1">
      <c r="N2432" s="192">
        <v>0</v>
      </c>
    </row>
    <row r="2433" spans="14:14" ht="14.25" customHeight="1">
      <c r="N2433" s="192">
        <v>0</v>
      </c>
    </row>
    <row r="2434" spans="14:14" ht="14.25" customHeight="1">
      <c r="N2434" s="192">
        <v>0</v>
      </c>
    </row>
    <row r="2435" spans="14:14" ht="14.25" customHeight="1">
      <c r="N2435" s="192">
        <v>0</v>
      </c>
    </row>
    <row r="2436" spans="14:14" ht="14.25" customHeight="1">
      <c r="N2436" s="192">
        <v>0</v>
      </c>
    </row>
    <row r="2437" spans="14:14" ht="14.25" customHeight="1">
      <c r="N2437" s="192">
        <v>0</v>
      </c>
    </row>
    <row r="2438" spans="14:14" ht="14.25" customHeight="1">
      <c r="N2438" s="192">
        <v>0</v>
      </c>
    </row>
    <row r="2439" spans="14:14" ht="14.25" customHeight="1">
      <c r="N2439" s="192">
        <v>0</v>
      </c>
    </row>
    <row r="2440" spans="14:14" ht="14.25" customHeight="1">
      <c r="N2440" s="192">
        <v>0</v>
      </c>
    </row>
    <row r="2441" spans="14:14" ht="14.25" customHeight="1">
      <c r="N2441" s="192">
        <v>0</v>
      </c>
    </row>
    <row r="2442" spans="14:14" ht="14.25" customHeight="1">
      <c r="N2442" s="192">
        <v>0</v>
      </c>
    </row>
    <row r="2443" spans="14:14" ht="14.25" customHeight="1">
      <c r="N2443" s="192">
        <v>0</v>
      </c>
    </row>
    <row r="2444" spans="14:14" ht="14.25" customHeight="1">
      <c r="N2444" s="192">
        <v>0</v>
      </c>
    </row>
    <row r="2445" spans="14:14" ht="14.25" customHeight="1">
      <c r="N2445" s="192">
        <v>0</v>
      </c>
    </row>
    <row r="2446" spans="14:14" ht="14.25" customHeight="1">
      <c r="N2446" s="192">
        <v>0</v>
      </c>
    </row>
    <row r="2447" spans="14:14" ht="14.25" customHeight="1">
      <c r="N2447" s="192">
        <v>0</v>
      </c>
    </row>
    <row r="2448" spans="14:14" ht="14.25" customHeight="1">
      <c r="N2448" s="192">
        <v>0</v>
      </c>
    </row>
    <row r="2449" spans="14:14" ht="14.25" customHeight="1">
      <c r="N2449" s="192">
        <v>0</v>
      </c>
    </row>
    <row r="2450" spans="14:14" ht="14.25" customHeight="1">
      <c r="N2450" s="192">
        <v>0</v>
      </c>
    </row>
    <row r="2451" spans="14:14" ht="14.25" customHeight="1">
      <c r="N2451" s="192">
        <v>0</v>
      </c>
    </row>
    <row r="2452" spans="14:14" ht="14.25" customHeight="1">
      <c r="N2452" s="192">
        <v>0</v>
      </c>
    </row>
    <row r="2453" spans="14:14" ht="14.25" customHeight="1">
      <c r="N2453" s="192">
        <v>0</v>
      </c>
    </row>
    <row r="2454" spans="14:14" ht="14.25" customHeight="1">
      <c r="N2454" s="192">
        <v>0</v>
      </c>
    </row>
    <row r="2455" spans="14:14" ht="14.25" customHeight="1">
      <c r="N2455" s="192">
        <v>0</v>
      </c>
    </row>
    <row r="2456" spans="14:14" ht="14.25" customHeight="1">
      <c r="N2456" s="192">
        <v>0</v>
      </c>
    </row>
    <row r="2457" spans="14:14" ht="14.25" customHeight="1">
      <c r="N2457" s="192">
        <v>0</v>
      </c>
    </row>
    <row r="2458" spans="14:14" ht="14.25" customHeight="1">
      <c r="N2458" s="192">
        <v>0</v>
      </c>
    </row>
    <row r="2459" spans="14:14" ht="14.25" customHeight="1">
      <c r="N2459" s="192">
        <v>0</v>
      </c>
    </row>
    <row r="2460" spans="14:14" ht="14.25" customHeight="1">
      <c r="N2460" s="192">
        <v>0</v>
      </c>
    </row>
    <row r="2461" spans="14:14" ht="14.25" customHeight="1">
      <c r="N2461" s="192">
        <v>0</v>
      </c>
    </row>
    <row r="2462" spans="14:14" ht="14.25" customHeight="1">
      <c r="N2462" s="192">
        <v>0</v>
      </c>
    </row>
    <row r="2463" spans="14:14" ht="14.25" customHeight="1">
      <c r="N2463" s="192">
        <v>0</v>
      </c>
    </row>
    <row r="2464" spans="14:14" ht="14.25" customHeight="1">
      <c r="N2464" s="192">
        <v>0</v>
      </c>
    </row>
    <row r="2465" spans="14:14" ht="14.25" customHeight="1">
      <c r="N2465" s="192">
        <v>0</v>
      </c>
    </row>
    <row r="2466" spans="14:14" ht="14.25" customHeight="1">
      <c r="N2466" s="192">
        <v>0</v>
      </c>
    </row>
    <row r="2467" spans="14:14" ht="14.25" customHeight="1">
      <c r="N2467" s="192">
        <v>0</v>
      </c>
    </row>
    <row r="2468" spans="14:14" ht="14.25" customHeight="1">
      <c r="N2468" s="192">
        <v>0</v>
      </c>
    </row>
    <row r="2469" spans="14:14" ht="14.25" customHeight="1">
      <c r="N2469" s="192">
        <v>0</v>
      </c>
    </row>
    <row r="2470" spans="14:14" ht="14.25" customHeight="1">
      <c r="N2470" s="192">
        <v>0</v>
      </c>
    </row>
    <row r="2471" spans="14:14" ht="14.25" customHeight="1">
      <c r="N2471" s="192">
        <v>0</v>
      </c>
    </row>
    <row r="2472" spans="14:14" ht="14.25" customHeight="1">
      <c r="N2472" s="192">
        <v>0</v>
      </c>
    </row>
    <row r="2473" spans="14:14" ht="14.25" customHeight="1">
      <c r="N2473" s="192">
        <v>0</v>
      </c>
    </row>
    <row r="2474" spans="14:14" ht="14.25" customHeight="1">
      <c r="N2474" s="192">
        <v>0</v>
      </c>
    </row>
    <row r="2475" spans="14:14" ht="14.25" customHeight="1">
      <c r="N2475" s="192">
        <v>0</v>
      </c>
    </row>
    <row r="2476" spans="14:14" ht="14.25" customHeight="1">
      <c r="N2476" s="192">
        <v>0</v>
      </c>
    </row>
    <row r="2477" spans="14:14" ht="14.25" customHeight="1">
      <c r="N2477" s="192">
        <v>0</v>
      </c>
    </row>
    <row r="2478" spans="14:14" ht="14.25" customHeight="1">
      <c r="N2478" s="192">
        <v>0</v>
      </c>
    </row>
    <row r="2479" spans="14:14" ht="14.25" customHeight="1">
      <c r="N2479" s="192">
        <v>0</v>
      </c>
    </row>
    <row r="2480" spans="14:14" ht="14.25" customHeight="1">
      <c r="N2480" s="192">
        <v>0</v>
      </c>
    </row>
    <row r="2481" spans="14:14" ht="14.25" customHeight="1">
      <c r="N2481" s="192">
        <v>0</v>
      </c>
    </row>
    <row r="2482" spans="14:14" ht="14.25" customHeight="1">
      <c r="N2482" s="192">
        <v>0</v>
      </c>
    </row>
    <row r="2483" spans="14:14" ht="14.25" customHeight="1">
      <c r="N2483" s="192">
        <v>0</v>
      </c>
    </row>
    <row r="2484" spans="14:14" ht="14.25" customHeight="1">
      <c r="N2484" s="192">
        <v>0</v>
      </c>
    </row>
    <row r="2485" spans="14:14" ht="14.25" customHeight="1">
      <c r="N2485" s="192">
        <v>0</v>
      </c>
    </row>
    <row r="2486" spans="14:14" ht="14.25" customHeight="1">
      <c r="N2486" s="192">
        <v>0</v>
      </c>
    </row>
    <row r="2487" spans="14:14" ht="14.25" customHeight="1">
      <c r="N2487" s="192">
        <v>0</v>
      </c>
    </row>
    <row r="2488" spans="14:14" ht="14.25" customHeight="1">
      <c r="N2488" s="192">
        <v>0</v>
      </c>
    </row>
    <row r="2489" spans="14:14" ht="14.25" customHeight="1">
      <c r="N2489" s="192">
        <v>0</v>
      </c>
    </row>
    <row r="2490" spans="14:14" ht="14.25" customHeight="1">
      <c r="N2490" s="192">
        <v>0</v>
      </c>
    </row>
    <row r="2491" spans="14:14" ht="14.25" customHeight="1">
      <c r="N2491" s="192">
        <v>0</v>
      </c>
    </row>
    <row r="2492" spans="14:14" ht="14.25" customHeight="1">
      <c r="N2492" s="192">
        <v>0</v>
      </c>
    </row>
    <row r="2493" spans="14:14" ht="14.25" customHeight="1">
      <c r="N2493" s="192">
        <v>0</v>
      </c>
    </row>
    <row r="2494" spans="14:14" ht="14.25" customHeight="1">
      <c r="N2494" s="192">
        <v>0</v>
      </c>
    </row>
    <row r="2495" spans="14:14" ht="14.25" customHeight="1">
      <c r="N2495" s="192">
        <v>0</v>
      </c>
    </row>
    <row r="2496" spans="14:14" ht="14.25" customHeight="1">
      <c r="N2496" s="192">
        <v>0</v>
      </c>
    </row>
    <row r="2497" spans="14:14" ht="14.25" customHeight="1">
      <c r="N2497" s="192">
        <v>0</v>
      </c>
    </row>
    <row r="2498" spans="14:14" ht="14.25" customHeight="1">
      <c r="N2498" s="192">
        <v>0</v>
      </c>
    </row>
    <row r="2499" spans="14:14" ht="14.25" customHeight="1">
      <c r="N2499" s="192">
        <v>0</v>
      </c>
    </row>
    <row r="2500" spans="14:14" ht="14.25" customHeight="1">
      <c r="N2500" s="192">
        <v>0</v>
      </c>
    </row>
    <row r="2501" spans="14:14" ht="14.25" customHeight="1">
      <c r="N2501" s="192">
        <v>0</v>
      </c>
    </row>
    <row r="2502" spans="14:14" ht="14.25" customHeight="1">
      <c r="N2502" s="192">
        <v>0</v>
      </c>
    </row>
    <row r="2503" spans="14:14" ht="14.25" customHeight="1">
      <c r="N2503" s="192">
        <v>0</v>
      </c>
    </row>
    <row r="2504" spans="14:14" ht="14.25" customHeight="1">
      <c r="N2504" s="192">
        <v>0</v>
      </c>
    </row>
    <row r="2505" spans="14:14" ht="14.25" customHeight="1">
      <c r="N2505" s="192">
        <v>0</v>
      </c>
    </row>
    <row r="2506" spans="14:14" ht="14.25" customHeight="1">
      <c r="N2506" s="192">
        <v>0</v>
      </c>
    </row>
    <row r="2507" spans="14:14" ht="14.25" customHeight="1">
      <c r="N2507" s="192">
        <v>0</v>
      </c>
    </row>
    <row r="2508" spans="14:14" ht="14.25" customHeight="1">
      <c r="N2508" s="192">
        <v>0</v>
      </c>
    </row>
    <row r="2509" spans="14:14" ht="14.25" customHeight="1">
      <c r="N2509" s="192">
        <v>0</v>
      </c>
    </row>
    <row r="2510" spans="14:14" ht="14.25" customHeight="1">
      <c r="N2510" s="192">
        <v>0</v>
      </c>
    </row>
    <row r="2511" spans="14:14" ht="14.25" customHeight="1">
      <c r="N2511" s="192">
        <v>0</v>
      </c>
    </row>
    <row r="2512" spans="14:14" ht="14.25" customHeight="1">
      <c r="N2512" s="192">
        <v>0</v>
      </c>
    </row>
    <row r="2513" spans="14:14" ht="14.25" customHeight="1">
      <c r="N2513" s="192">
        <v>0</v>
      </c>
    </row>
    <row r="2514" spans="14:14" ht="14.25" customHeight="1">
      <c r="N2514" s="192">
        <v>0</v>
      </c>
    </row>
    <row r="2515" spans="14:14" ht="14.25" customHeight="1">
      <c r="N2515" s="192">
        <v>0</v>
      </c>
    </row>
    <row r="2516" spans="14:14" ht="14.25" customHeight="1">
      <c r="N2516" s="192">
        <v>0</v>
      </c>
    </row>
    <row r="2517" spans="14:14" ht="14.25" customHeight="1">
      <c r="N2517" s="192">
        <v>0</v>
      </c>
    </row>
    <row r="2518" spans="14:14" ht="14.25" customHeight="1">
      <c r="N2518" s="192">
        <v>0</v>
      </c>
    </row>
    <row r="2519" spans="14:14" ht="14.25" customHeight="1">
      <c r="N2519" s="192">
        <v>0</v>
      </c>
    </row>
    <row r="2520" spans="14:14" ht="14.25" customHeight="1">
      <c r="N2520" s="192">
        <v>0</v>
      </c>
    </row>
    <row r="2521" spans="14:14" ht="14.25" customHeight="1">
      <c r="N2521" s="192">
        <v>0</v>
      </c>
    </row>
    <row r="2522" spans="14:14" ht="14.25" customHeight="1">
      <c r="N2522" s="192">
        <v>0</v>
      </c>
    </row>
    <row r="2523" spans="14:14" ht="14.25" customHeight="1">
      <c r="N2523" s="192">
        <v>0</v>
      </c>
    </row>
    <row r="2524" spans="14:14" ht="14.25" customHeight="1">
      <c r="N2524" s="192">
        <v>0</v>
      </c>
    </row>
    <row r="2525" spans="14:14" ht="14.25" customHeight="1">
      <c r="N2525" s="192">
        <v>0</v>
      </c>
    </row>
    <row r="2526" spans="14:14" ht="14.25" customHeight="1">
      <c r="N2526" s="192">
        <v>0</v>
      </c>
    </row>
    <row r="2527" spans="14:14" ht="14.25" customHeight="1">
      <c r="N2527" s="192">
        <v>0</v>
      </c>
    </row>
    <row r="2528" spans="14:14" ht="14.25" customHeight="1">
      <c r="N2528" s="192">
        <v>0</v>
      </c>
    </row>
    <row r="2529" spans="14:14" ht="14.25" customHeight="1">
      <c r="N2529" s="192">
        <v>0</v>
      </c>
    </row>
    <row r="2530" spans="14:14" ht="14.25" customHeight="1">
      <c r="N2530" s="192">
        <v>0</v>
      </c>
    </row>
    <row r="2531" spans="14:14" ht="14.25" customHeight="1">
      <c r="N2531" s="192">
        <v>0</v>
      </c>
    </row>
    <row r="2532" spans="14:14" ht="14.25" customHeight="1">
      <c r="N2532" s="192">
        <v>0</v>
      </c>
    </row>
    <row r="2533" spans="14:14" ht="14.25" customHeight="1">
      <c r="N2533" s="192">
        <v>0</v>
      </c>
    </row>
    <row r="2534" spans="14:14" ht="14.25" customHeight="1">
      <c r="N2534" s="192">
        <v>0</v>
      </c>
    </row>
    <row r="2535" spans="14:14" ht="14.25" customHeight="1">
      <c r="N2535" s="192">
        <v>0</v>
      </c>
    </row>
    <row r="2536" spans="14:14" ht="14.25" customHeight="1">
      <c r="N2536" s="192">
        <v>0</v>
      </c>
    </row>
    <row r="2537" spans="14:14" ht="14.25" customHeight="1">
      <c r="N2537" s="192">
        <v>0</v>
      </c>
    </row>
    <row r="2538" spans="14:14" ht="14.25" customHeight="1">
      <c r="N2538" s="192">
        <v>0</v>
      </c>
    </row>
    <row r="2539" spans="14:14" ht="14.25" customHeight="1">
      <c r="N2539" s="192">
        <v>0</v>
      </c>
    </row>
    <row r="2540" spans="14:14" ht="14.25" customHeight="1">
      <c r="N2540" s="192">
        <v>0</v>
      </c>
    </row>
    <row r="2541" spans="14:14" ht="14.25" customHeight="1">
      <c r="N2541" s="192">
        <v>0</v>
      </c>
    </row>
    <row r="2542" spans="14:14" ht="14.25" customHeight="1">
      <c r="N2542" s="192">
        <v>0</v>
      </c>
    </row>
    <row r="2543" spans="14:14" ht="14.25" customHeight="1">
      <c r="N2543" s="192">
        <v>0</v>
      </c>
    </row>
    <row r="2544" spans="14:14" ht="14.25" customHeight="1">
      <c r="N2544" s="192">
        <v>0</v>
      </c>
    </row>
    <row r="2545" spans="14:14" ht="14.25" customHeight="1">
      <c r="N2545" s="192">
        <v>0</v>
      </c>
    </row>
    <row r="2546" spans="14:14" ht="14.25" customHeight="1">
      <c r="N2546" s="192">
        <v>0</v>
      </c>
    </row>
    <row r="2547" spans="14:14" ht="14.25" customHeight="1">
      <c r="N2547" s="192">
        <v>0</v>
      </c>
    </row>
    <row r="2548" spans="14:14" ht="14.25" customHeight="1">
      <c r="N2548" s="192">
        <v>0</v>
      </c>
    </row>
    <row r="2549" spans="14:14" ht="14.25" customHeight="1">
      <c r="N2549" s="192">
        <v>0</v>
      </c>
    </row>
    <row r="2550" spans="14:14" ht="14.25" customHeight="1">
      <c r="N2550" s="192">
        <v>0</v>
      </c>
    </row>
    <row r="2551" spans="14:14" ht="14.25" customHeight="1">
      <c r="N2551" s="192">
        <v>0</v>
      </c>
    </row>
    <row r="2552" spans="14:14" ht="14.25" customHeight="1">
      <c r="N2552" s="192">
        <v>0</v>
      </c>
    </row>
    <row r="2553" spans="14:14" ht="14.25" customHeight="1">
      <c r="N2553" s="192">
        <v>0</v>
      </c>
    </row>
    <row r="2554" spans="14:14" ht="14.25" customHeight="1">
      <c r="N2554" s="192">
        <v>0</v>
      </c>
    </row>
    <row r="2555" spans="14:14" ht="14.25" customHeight="1">
      <c r="N2555" s="192">
        <v>0</v>
      </c>
    </row>
    <row r="2556" spans="14:14" ht="14.25" customHeight="1">
      <c r="N2556" s="192">
        <v>0</v>
      </c>
    </row>
    <row r="2557" spans="14:14" ht="14.25" customHeight="1">
      <c r="N2557" s="192">
        <v>0</v>
      </c>
    </row>
    <row r="2558" spans="14:14" ht="14.25" customHeight="1">
      <c r="N2558" s="192">
        <v>0</v>
      </c>
    </row>
    <row r="2559" spans="14:14" ht="14.25" customHeight="1">
      <c r="N2559" s="192">
        <v>0</v>
      </c>
    </row>
    <row r="2560" spans="14:14" ht="14.25" customHeight="1">
      <c r="N2560" s="192">
        <v>0</v>
      </c>
    </row>
    <row r="2561" spans="14:14" ht="14.25" customHeight="1">
      <c r="N2561" s="192">
        <v>0</v>
      </c>
    </row>
    <row r="2562" spans="14:14" ht="14.25" customHeight="1">
      <c r="N2562" s="192">
        <v>0</v>
      </c>
    </row>
    <row r="2563" spans="14:14" ht="14.25" customHeight="1">
      <c r="N2563" s="192">
        <v>0</v>
      </c>
    </row>
    <row r="2564" spans="14:14" ht="14.25" customHeight="1">
      <c r="N2564" s="192">
        <v>0</v>
      </c>
    </row>
    <row r="2565" spans="14:14" ht="14.25" customHeight="1">
      <c r="N2565" s="192">
        <v>0</v>
      </c>
    </row>
    <row r="2566" spans="14:14" ht="14.25" customHeight="1">
      <c r="N2566" s="192">
        <v>0</v>
      </c>
    </row>
    <row r="2567" spans="14:14" ht="14.25" customHeight="1">
      <c r="N2567" s="192">
        <v>0</v>
      </c>
    </row>
    <row r="2568" spans="14:14" ht="14.25" customHeight="1">
      <c r="N2568" s="192">
        <v>0</v>
      </c>
    </row>
    <row r="2569" spans="14:14" ht="14.25" customHeight="1">
      <c r="N2569" s="192">
        <v>0</v>
      </c>
    </row>
    <row r="2570" spans="14:14" ht="14.25" customHeight="1">
      <c r="N2570" s="192">
        <v>0</v>
      </c>
    </row>
    <row r="2571" spans="14:14" ht="14.25" customHeight="1">
      <c r="N2571" s="192">
        <v>0</v>
      </c>
    </row>
    <row r="2572" spans="14:14" ht="14.25" customHeight="1">
      <c r="N2572" s="192">
        <v>0</v>
      </c>
    </row>
    <row r="2573" spans="14:14" ht="14.25" customHeight="1">
      <c r="N2573" s="192">
        <v>0</v>
      </c>
    </row>
    <row r="2574" spans="14:14" ht="14.25" customHeight="1">
      <c r="N2574" s="192">
        <v>0</v>
      </c>
    </row>
    <row r="2575" spans="14:14" ht="14.25" customHeight="1">
      <c r="N2575" s="192">
        <v>0</v>
      </c>
    </row>
    <row r="2576" spans="14:14" ht="14.25" customHeight="1">
      <c r="N2576" s="192">
        <v>0</v>
      </c>
    </row>
    <row r="2577" spans="14:14" ht="14.25" customHeight="1">
      <c r="N2577" s="192">
        <v>0</v>
      </c>
    </row>
    <row r="2578" spans="14:14" ht="14.25" customHeight="1">
      <c r="N2578" s="192">
        <v>0</v>
      </c>
    </row>
    <row r="2579" spans="14:14" ht="14.25" customHeight="1">
      <c r="N2579" s="192">
        <v>0</v>
      </c>
    </row>
    <row r="2580" spans="14:14" ht="14.25" customHeight="1">
      <c r="N2580" s="192">
        <v>0</v>
      </c>
    </row>
    <row r="2581" spans="14:14" ht="14.25" customHeight="1">
      <c r="N2581" s="192">
        <v>0</v>
      </c>
    </row>
    <row r="2582" spans="14:14" ht="14.25" customHeight="1">
      <c r="N2582" s="192">
        <v>0</v>
      </c>
    </row>
    <row r="2583" spans="14:14" ht="14.25" customHeight="1">
      <c r="N2583" s="192">
        <v>0</v>
      </c>
    </row>
    <row r="2584" spans="14:14" ht="14.25" customHeight="1">
      <c r="N2584" s="192">
        <v>0</v>
      </c>
    </row>
    <row r="2585" spans="14:14" ht="14.25" customHeight="1">
      <c r="N2585" s="192">
        <v>0</v>
      </c>
    </row>
    <row r="2586" spans="14:14" ht="14.25" customHeight="1">
      <c r="N2586" s="192">
        <v>0</v>
      </c>
    </row>
    <row r="2587" spans="14:14" ht="14.25" customHeight="1">
      <c r="N2587" s="192">
        <v>0</v>
      </c>
    </row>
    <row r="2588" spans="14:14" ht="14.25" customHeight="1">
      <c r="N2588" s="192">
        <v>0</v>
      </c>
    </row>
    <row r="2589" spans="14:14" ht="14.25" customHeight="1">
      <c r="N2589" s="192">
        <v>0</v>
      </c>
    </row>
    <row r="2590" spans="14:14" ht="14.25" customHeight="1">
      <c r="N2590" s="192">
        <v>0</v>
      </c>
    </row>
    <row r="2591" spans="14:14" ht="14.25" customHeight="1">
      <c r="N2591" s="192">
        <v>0</v>
      </c>
    </row>
    <row r="2592" spans="14:14" ht="14.25" customHeight="1">
      <c r="N2592" s="192">
        <v>0</v>
      </c>
    </row>
    <row r="2593" spans="14:14" ht="14.25" customHeight="1">
      <c r="N2593" s="192">
        <v>0</v>
      </c>
    </row>
    <row r="2594" spans="14:14" ht="14.25" customHeight="1">
      <c r="N2594" s="192">
        <v>0</v>
      </c>
    </row>
    <row r="2595" spans="14:14" ht="14.25" customHeight="1">
      <c r="N2595" s="192">
        <v>0</v>
      </c>
    </row>
    <row r="2596" spans="14:14" ht="14.25" customHeight="1">
      <c r="N2596" s="192">
        <v>0</v>
      </c>
    </row>
    <row r="2597" spans="14:14" ht="14.25" customHeight="1">
      <c r="N2597" s="192">
        <v>0</v>
      </c>
    </row>
    <row r="2598" spans="14:14" ht="14.25" customHeight="1">
      <c r="N2598" s="192">
        <v>0</v>
      </c>
    </row>
    <row r="2599" spans="14:14" ht="14.25" customHeight="1">
      <c r="N2599" s="192">
        <v>0</v>
      </c>
    </row>
    <row r="2600" spans="14:14" ht="14.25" customHeight="1">
      <c r="N2600" s="192">
        <v>0</v>
      </c>
    </row>
    <row r="2601" spans="14:14" ht="14.25" customHeight="1">
      <c r="N2601" s="192">
        <v>0</v>
      </c>
    </row>
    <row r="2602" spans="14:14" ht="14.25" customHeight="1">
      <c r="N2602" s="192">
        <v>0</v>
      </c>
    </row>
    <row r="2603" spans="14:14" ht="14.25" customHeight="1">
      <c r="N2603" s="192">
        <v>0</v>
      </c>
    </row>
    <row r="2604" spans="14:14" ht="14.25" customHeight="1">
      <c r="N2604" s="192">
        <v>0</v>
      </c>
    </row>
    <row r="2605" spans="14:14" ht="14.25" customHeight="1">
      <c r="N2605" s="192">
        <v>0</v>
      </c>
    </row>
    <row r="2606" spans="14:14" ht="14.25" customHeight="1">
      <c r="N2606" s="192">
        <v>0</v>
      </c>
    </row>
    <row r="2607" spans="14:14" ht="14.25" customHeight="1">
      <c r="N2607" s="192">
        <v>0</v>
      </c>
    </row>
    <row r="2608" spans="14:14" ht="14.25" customHeight="1">
      <c r="N2608" s="192">
        <v>0</v>
      </c>
    </row>
    <row r="2609" spans="14:14" ht="14.25" customHeight="1">
      <c r="N2609" s="192">
        <v>0</v>
      </c>
    </row>
    <row r="2610" spans="14:14" ht="14.25" customHeight="1">
      <c r="N2610" s="192">
        <v>0</v>
      </c>
    </row>
    <row r="2611" spans="14:14" ht="14.25" customHeight="1">
      <c r="N2611" s="192">
        <v>0</v>
      </c>
    </row>
    <row r="2612" spans="14:14" ht="14.25" customHeight="1">
      <c r="N2612" s="192">
        <v>0</v>
      </c>
    </row>
    <row r="2613" spans="14:14" ht="14.25" customHeight="1">
      <c r="N2613" s="192">
        <v>0</v>
      </c>
    </row>
    <row r="2614" spans="14:14" ht="14.25" customHeight="1">
      <c r="N2614" s="192">
        <v>0</v>
      </c>
    </row>
    <row r="2615" spans="14:14" ht="14.25" customHeight="1">
      <c r="N2615" s="192">
        <v>0</v>
      </c>
    </row>
    <row r="2616" spans="14:14" ht="14.25" customHeight="1">
      <c r="N2616" s="192">
        <v>0</v>
      </c>
    </row>
    <row r="2617" spans="14:14" ht="14.25" customHeight="1">
      <c r="N2617" s="192">
        <v>0</v>
      </c>
    </row>
    <row r="2618" spans="14:14" ht="14.25" customHeight="1">
      <c r="N2618" s="192">
        <v>0</v>
      </c>
    </row>
    <row r="2619" spans="14:14" ht="14.25" customHeight="1">
      <c r="N2619" s="192">
        <v>0</v>
      </c>
    </row>
    <row r="2620" spans="14:14" ht="14.25" customHeight="1">
      <c r="N2620" s="192">
        <v>0</v>
      </c>
    </row>
    <row r="2621" spans="14:14" ht="14.25" customHeight="1">
      <c r="N2621" s="192">
        <v>0</v>
      </c>
    </row>
    <row r="2622" spans="14:14" ht="14.25" customHeight="1">
      <c r="N2622" s="192">
        <v>0</v>
      </c>
    </row>
    <row r="2623" spans="14:14" ht="14.25" customHeight="1">
      <c r="N2623" s="192">
        <v>0</v>
      </c>
    </row>
    <row r="2624" spans="14:14" ht="14.25" customHeight="1">
      <c r="N2624" s="192">
        <v>0</v>
      </c>
    </row>
    <row r="2625" spans="14:14" ht="14.25" customHeight="1">
      <c r="N2625" s="192">
        <v>0</v>
      </c>
    </row>
    <row r="2626" spans="14:14" ht="14.25" customHeight="1">
      <c r="N2626" s="192">
        <v>0</v>
      </c>
    </row>
    <row r="2627" spans="14:14" ht="14.25" customHeight="1">
      <c r="N2627" s="192">
        <v>0</v>
      </c>
    </row>
    <row r="2628" spans="14:14" ht="14.25" customHeight="1">
      <c r="N2628" s="192">
        <v>0</v>
      </c>
    </row>
    <row r="2629" spans="14:14" ht="14.25" customHeight="1">
      <c r="N2629" s="192">
        <v>0</v>
      </c>
    </row>
    <row r="2630" spans="14:14" ht="14.25" customHeight="1">
      <c r="N2630" s="192">
        <v>0</v>
      </c>
    </row>
    <row r="2631" spans="14:14" ht="14.25" customHeight="1">
      <c r="N2631" s="192">
        <v>0</v>
      </c>
    </row>
    <row r="2632" spans="14:14" ht="14.25" customHeight="1">
      <c r="N2632" s="192">
        <v>0</v>
      </c>
    </row>
    <row r="2633" spans="14:14" ht="14.25" customHeight="1">
      <c r="N2633" s="192">
        <v>0</v>
      </c>
    </row>
    <row r="2634" spans="14:14" ht="14.25" customHeight="1">
      <c r="N2634" s="192">
        <v>0</v>
      </c>
    </row>
    <row r="2635" spans="14:14" ht="14.25" customHeight="1">
      <c r="N2635" s="192">
        <v>0</v>
      </c>
    </row>
    <row r="2636" spans="14:14" ht="14.25" customHeight="1">
      <c r="N2636" s="192">
        <v>0</v>
      </c>
    </row>
    <row r="2637" spans="14:14" ht="14.25" customHeight="1">
      <c r="N2637" s="192">
        <v>0</v>
      </c>
    </row>
    <row r="2638" spans="14:14" ht="14.25" customHeight="1">
      <c r="N2638" s="192">
        <v>0</v>
      </c>
    </row>
    <row r="2639" spans="14:14" ht="14.25" customHeight="1">
      <c r="N2639" s="192">
        <v>0</v>
      </c>
    </row>
    <row r="2640" spans="14:14" ht="14.25" customHeight="1">
      <c r="N2640" s="192">
        <v>0</v>
      </c>
    </row>
    <row r="2641" spans="14:14" ht="14.25" customHeight="1">
      <c r="N2641" s="192">
        <v>0</v>
      </c>
    </row>
    <row r="2642" spans="14:14" ht="14.25" customHeight="1">
      <c r="N2642" s="192">
        <v>0</v>
      </c>
    </row>
    <row r="2643" spans="14:14" ht="14.25" customHeight="1">
      <c r="N2643" s="192">
        <v>0</v>
      </c>
    </row>
    <row r="2644" spans="14:14" ht="14.25" customHeight="1">
      <c r="N2644" s="192">
        <v>0</v>
      </c>
    </row>
    <row r="2645" spans="14:14" ht="14.25" customHeight="1">
      <c r="N2645" s="192">
        <v>0</v>
      </c>
    </row>
    <row r="2646" spans="14:14" ht="14.25" customHeight="1">
      <c r="N2646" s="192">
        <v>0</v>
      </c>
    </row>
    <row r="2647" spans="14:14" ht="14.25" customHeight="1">
      <c r="N2647" s="192">
        <v>0</v>
      </c>
    </row>
    <row r="2648" spans="14:14" ht="14.25" customHeight="1">
      <c r="N2648" s="192">
        <v>0</v>
      </c>
    </row>
    <row r="2649" spans="14:14" ht="14.25" customHeight="1">
      <c r="N2649" s="192">
        <v>0</v>
      </c>
    </row>
    <row r="2650" spans="14:14" ht="14.25" customHeight="1">
      <c r="N2650" s="192">
        <v>0</v>
      </c>
    </row>
    <row r="2651" spans="14:14" ht="14.25" customHeight="1">
      <c r="N2651" s="192">
        <v>0</v>
      </c>
    </row>
    <row r="2652" spans="14:14" ht="14.25" customHeight="1">
      <c r="N2652" s="192">
        <v>0</v>
      </c>
    </row>
    <row r="2653" spans="14:14" ht="14.25" customHeight="1">
      <c r="N2653" s="192">
        <v>0</v>
      </c>
    </row>
    <row r="2654" spans="14:14" ht="14.25" customHeight="1">
      <c r="N2654" s="192">
        <v>0</v>
      </c>
    </row>
    <row r="2655" spans="14:14" ht="14.25" customHeight="1">
      <c r="N2655" s="192">
        <v>0</v>
      </c>
    </row>
    <row r="2656" spans="14:14" ht="14.25" customHeight="1">
      <c r="N2656" s="192">
        <v>0</v>
      </c>
    </row>
    <row r="2657" spans="14:14" ht="14.25" customHeight="1">
      <c r="N2657" s="192">
        <v>0</v>
      </c>
    </row>
    <row r="2658" spans="14:14" ht="14.25" customHeight="1">
      <c r="N2658" s="192">
        <v>0</v>
      </c>
    </row>
    <row r="2659" spans="14:14" ht="14.25" customHeight="1">
      <c r="N2659" s="192">
        <v>0</v>
      </c>
    </row>
    <row r="2660" spans="14:14" ht="14.25" customHeight="1">
      <c r="N2660" s="192">
        <v>0</v>
      </c>
    </row>
    <row r="2661" spans="14:14" ht="14.25" customHeight="1">
      <c r="N2661" s="192">
        <v>0</v>
      </c>
    </row>
    <row r="2662" spans="14:14" ht="14.25" customHeight="1">
      <c r="N2662" s="192">
        <v>0</v>
      </c>
    </row>
    <row r="2663" spans="14:14" ht="14.25" customHeight="1">
      <c r="N2663" s="192">
        <v>0</v>
      </c>
    </row>
    <row r="2664" spans="14:14" ht="14.25" customHeight="1">
      <c r="N2664" s="192">
        <v>0</v>
      </c>
    </row>
    <row r="2665" spans="14:14" ht="14.25" customHeight="1">
      <c r="N2665" s="192">
        <v>0</v>
      </c>
    </row>
    <row r="2666" spans="14:14" ht="14.25" customHeight="1">
      <c r="N2666" s="192">
        <v>0</v>
      </c>
    </row>
    <row r="2667" spans="14:14" ht="14.25" customHeight="1">
      <c r="N2667" s="192">
        <v>0</v>
      </c>
    </row>
    <row r="2668" spans="14:14" ht="14.25" customHeight="1">
      <c r="N2668" s="192">
        <v>0</v>
      </c>
    </row>
    <row r="2669" spans="14:14" ht="14.25" customHeight="1">
      <c r="N2669" s="192">
        <v>0</v>
      </c>
    </row>
    <row r="2670" spans="14:14" ht="14.25" customHeight="1">
      <c r="N2670" s="192">
        <v>0</v>
      </c>
    </row>
    <row r="2671" spans="14:14" ht="14.25" customHeight="1">
      <c r="N2671" s="192">
        <v>0</v>
      </c>
    </row>
    <row r="2672" spans="14:14" ht="14.25" customHeight="1">
      <c r="N2672" s="192">
        <v>0</v>
      </c>
    </row>
    <row r="2673" spans="14:14" ht="14.25" customHeight="1">
      <c r="N2673" s="192">
        <v>0</v>
      </c>
    </row>
    <row r="2674" spans="14:14" ht="14.25" customHeight="1">
      <c r="N2674" s="192">
        <v>0</v>
      </c>
    </row>
    <row r="2675" spans="14:14" ht="14.25" customHeight="1">
      <c r="N2675" s="192">
        <v>0</v>
      </c>
    </row>
    <row r="2676" spans="14:14" ht="14.25" customHeight="1">
      <c r="N2676" s="192">
        <v>0</v>
      </c>
    </row>
    <row r="2677" spans="14:14" ht="14.25" customHeight="1">
      <c r="N2677" s="192">
        <v>0</v>
      </c>
    </row>
    <row r="2678" spans="14:14" ht="14.25" customHeight="1">
      <c r="N2678" s="192">
        <v>0</v>
      </c>
    </row>
    <row r="2679" spans="14:14" ht="14.25" customHeight="1">
      <c r="N2679" s="192">
        <v>0</v>
      </c>
    </row>
    <row r="2680" spans="14:14" ht="14.25" customHeight="1">
      <c r="N2680" s="192">
        <v>0</v>
      </c>
    </row>
    <row r="2681" spans="14:14" ht="14.25" customHeight="1">
      <c r="N2681" s="192">
        <v>0</v>
      </c>
    </row>
    <row r="2682" spans="14:14" ht="14.25" customHeight="1">
      <c r="N2682" s="192">
        <v>0</v>
      </c>
    </row>
    <row r="2683" spans="14:14" ht="14.25" customHeight="1">
      <c r="N2683" s="192">
        <v>0</v>
      </c>
    </row>
    <row r="2684" spans="14:14" ht="14.25" customHeight="1">
      <c r="N2684" s="192">
        <v>0</v>
      </c>
    </row>
    <row r="2685" spans="14:14" ht="14.25" customHeight="1">
      <c r="N2685" s="192">
        <v>0</v>
      </c>
    </row>
    <row r="2686" spans="14:14" ht="14.25" customHeight="1">
      <c r="N2686" s="192">
        <v>0</v>
      </c>
    </row>
    <row r="2687" spans="14:14" ht="14.25" customHeight="1">
      <c r="N2687" s="192">
        <v>0</v>
      </c>
    </row>
    <row r="2688" spans="14:14" ht="14.25" customHeight="1">
      <c r="N2688" s="192">
        <v>0</v>
      </c>
    </row>
    <row r="2689" spans="14:14" ht="14.25" customHeight="1">
      <c r="N2689" s="192">
        <v>0</v>
      </c>
    </row>
    <row r="2690" spans="14:14" ht="14.25" customHeight="1">
      <c r="N2690" s="192">
        <v>0</v>
      </c>
    </row>
    <row r="2691" spans="14:14" ht="14.25" customHeight="1">
      <c r="N2691" s="192">
        <v>0</v>
      </c>
    </row>
    <row r="2692" spans="14:14" ht="14.25" customHeight="1">
      <c r="N2692" s="192">
        <v>0</v>
      </c>
    </row>
    <row r="2693" spans="14:14" ht="14.25" customHeight="1">
      <c r="N2693" s="192">
        <v>0</v>
      </c>
    </row>
    <row r="2694" spans="14:14" ht="14.25" customHeight="1">
      <c r="N2694" s="192">
        <v>0</v>
      </c>
    </row>
    <row r="2695" spans="14:14" ht="14.25" customHeight="1">
      <c r="N2695" s="192">
        <v>0</v>
      </c>
    </row>
    <row r="2696" spans="14:14" ht="14.25" customHeight="1">
      <c r="N2696" s="192">
        <v>0</v>
      </c>
    </row>
    <row r="2697" spans="14:14" ht="14.25" customHeight="1">
      <c r="N2697" s="192">
        <v>0</v>
      </c>
    </row>
    <row r="2698" spans="14:14" ht="14.25" customHeight="1">
      <c r="N2698" s="192">
        <v>0</v>
      </c>
    </row>
    <row r="2699" spans="14:14" ht="14.25" customHeight="1">
      <c r="N2699" s="192">
        <v>0</v>
      </c>
    </row>
    <row r="2700" spans="14:14" ht="14.25" customHeight="1">
      <c r="N2700" s="192">
        <v>0</v>
      </c>
    </row>
    <row r="2701" spans="14:14" ht="14.25" customHeight="1">
      <c r="N2701" s="192">
        <v>0</v>
      </c>
    </row>
    <row r="2702" spans="14:14" ht="14.25" customHeight="1">
      <c r="N2702" s="192">
        <v>0</v>
      </c>
    </row>
    <row r="2703" spans="14:14" ht="14.25" customHeight="1">
      <c r="N2703" s="192">
        <v>0</v>
      </c>
    </row>
    <row r="2704" spans="14:14" ht="14.25" customHeight="1">
      <c r="N2704" s="192">
        <v>0</v>
      </c>
    </row>
    <row r="2705" spans="14:14" ht="14.25" customHeight="1">
      <c r="N2705" s="192">
        <v>0</v>
      </c>
    </row>
    <row r="2706" spans="14:14" ht="14.25" customHeight="1">
      <c r="N2706" s="192">
        <v>0</v>
      </c>
    </row>
    <row r="2707" spans="14:14" ht="14.25" customHeight="1">
      <c r="N2707" s="192">
        <v>0</v>
      </c>
    </row>
    <row r="2708" spans="14:14" ht="14.25" customHeight="1">
      <c r="N2708" s="192">
        <v>0</v>
      </c>
    </row>
    <row r="2709" spans="14:14" ht="14.25" customHeight="1">
      <c r="N2709" s="192">
        <v>0</v>
      </c>
    </row>
    <row r="2710" spans="14:14" ht="14.25" customHeight="1">
      <c r="N2710" s="192">
        <v>0</v>
      </c>
    </row>
    <row r="2711" spans="14:14" ht="14.25" customHeight="1">
      <c r="N2711" s="192">
        <v>0</v>
      </c>
    </row>
    <row r="2712" spans="14:14" ht="14.25" customHeight="1">
      <c r="N2712" s="192">
        <v>0</v>
      </c>
    </row>
    <row r="2713" spans="14:14" ht="14.25" customHeight="1">
      <c r="N2713" s="192">
        <v>0</v>
      </c>
    </row>
    <row r="2714" spans="14:14" ht="14.25" customHeight="1">
      <c r="N2714" s="192">
        <v>0</v>
      </c>
    </row>
    <row r="2715" spans="14:14" ht="14.25" customHeight="1">
      <c r="N2715" s="192">
        <v>0</v>
      </c>
    </row>
    <row r="2716" spans="14:14" ht="14.25" customHeight="1">
      <c r="N2716" s="192">
        <v>0</v>
      </c>
    </row>
    <row r="2717" spans="14:14" ht="14.25" customHeight="1">
      <c r="N2717" s="192">
        <v>0</v>
      </c>
    </row>
    <row r="2718" spans="14:14" ht="14.25" customHeight="1">
      <c r="N2718" s="192">
        <v>0</v>
      </c>
    </row>
    <row r="2719" spans="14:14" ht="14.25" customHeight="1">
      <c r="N2719" s="192">
        <v>0</v>
      </c>
    </row>
    <row r="2720" spans="14:14" ht="14.25" customHeight="1">
      <c r="N2720" s="192">
        <v>0</v>
      </c>
    </row>
    <row r="2721" spans="14:14" ht="14.25" customHeight="1">
      <c r="N2721" s="192">
        <v>0</v>
      </c>
    </row>
    <row r="2722" spans="14:14" ht="14.25" customHeight="1">
      <c r="N2722" s="192">
        <v>0</v>
      </c>
    </row>
    <row r="2723" spans="14:14" ht="14.25" customHeight="1">
      <c r="N2723" s="192">
        <v>0</v>
      </c>
    </row>
    <row r="2724" spans="14:14" ht="14.25" customHeight="1">
      <c r="N2724" s="192">
        <v>0</v>
      </c>
    </row>
    <row r="2725" spans="14:14" ht="14.25" customHeight="1">
      <c r="N2725" s="192">
        <v>0</v>
      </c>
    </row>
    <row r="2726" spans="14:14" ht="14.25" customHeight="1">
      <c r="N2726" s="192">
        <v>0</v>
      </c>
    </row>
    <row r="2727" spans="14:14" ht="14.25" customHeight="1">
      <c r="N2727" s="192">
        <v>0</v>
      </c>
    </row>
    <row r="2728" spans="14:14" ht="14.25" customHeight="1">
      <c r="N2728" s="192">
        <v>0</v>
      </c>
    </row>
    <row r="2729" spans="14:14" ht="14.25" customHeight="1">
      <c r="N2729" s="192">
        <v>0</v>
      </c>
    </row>
    <row r="2730" spans="14:14" ht="14.25" customHeight="1">
      <c r="N2730" s="192">
        <v>0</v>
      </c>
    </row>
    <row r="2731" spans="14:14" ht="14.25" customHeight="1">
      <c r="N2731" s="192">
        <v>0</v>
      </c>
    </row>
    <row r="2732" spans="14:14" ht="14.25" customHeight="1">
      <c r="N2732" s="192">
        <v>0</v>
      </c>
    </row>
    <row r="2733" spans="14:14" ht="14.25" customHeight="1">
      <c r="N2733" s="192">
        <v>0</v>
      </c>
    </row>
    <row r="2734" spans="14:14" ht="14.25" customHeight="1">
      <c r="N2734" s="192">
        <v>0</v>
      </c>
    </row>
    <row r="2735" spans="14:14" ht="14.25" customHeight="1">
      <c r="N2735" s="192">
        <v>0</v>
      </c>
    </row>
    <row r="2736" spans="14:14" ht="14.25" customHeight="1">
      <c r="N2736" s="192">
        <v>0</v>
      </c>
    </row>
    <row r="2737" spans="14:14" ht="14.25" customHeight="1">
      <c r="N2737" s="192">
        <v>0</v>
      </c>
    </row>
    <row r="2738" spans="14:14" ht="14.25" customHeight="1">
      <c r="N2738" s="192">
        <v>0</v>
      </c>
    </row>
    <row r="2739" spans="14:14" ht="14.25" customHeight="1">
      <c r="N2739" s="192">
        <v>0</v>
      </c>
    </row>
    <row r="2740" spans="14:14" ht="14.25" customHeight="1">
      <c r="N2740" s="192">
        <v>0</v>
      </c>
    </row>
    <row r="2741" spans="14:14" ht="14.25" customHeight="1">
      <c r="N2741" s="192">
        <v>0</v>
      </c>
    </row>
    <row r="2742" spans="14:14" ht="14.25" customHeight="1">
      <c r="N2742" s="192">
        <v>0</v>
      </c>
    </row>
    <row r="2743" spans="14:14" ht="14.25" customHeight="1">
      <c r="N2743" s="192">
        <v>0</v>
      </c>
    </row>
    <row r="2744" spans="14:14" ht="14.25" customHeight="1">
      <c r="N2744" s="192">
        <v>0</v>
      </c>
    </row>
    <row r="2745" spans="14:14" ht="14.25" customHeight="1">
      <c r="N2745" s="192">
        <v>0</v>
      </c>
    </row>
    <row r="2746" spans="14:14" ht="14.25" customHeight="1">
      <c r="N2746" s="192">
        <v>0</v>
      </c>
    </row>
    <row r="2747" spans="14:14" ht="14.25" customHeight="1">
      <c r="N2747" s="192">
        <v>0</v>
      </c>
    </row>
    <row r="2748" spans="14:14" ht="14.25" customHeight="1">
      <c r="N2748" s="192">
        <v>0</v>
      </c>
    </row>
    <row r="2749" spans="14:14" ht="14.25" customHeight="1">
      <c r="N2749" s="192">
        <v>0</v>
      </c>
    </row>
    <row r="2750" spans="14:14" ht="14.25" customHeight="1">
      <c r="N2750" s="192">
        <v>0</v>
      </c>
    </row>
    <row r="2751" spans="14:14" ht="14.25" customHeight="1">
      <c r="N2751" s="192">
        <v>0</v>
      </c>
    </row>
    <row r="2752" spans="14:14" ht="14.25" customHeight="1">
      <c r="N2752" s="192">
        <v>0</v>
      </c>
    </row>
    <row r="2753" spans="14:14" ht="14.25" customHeight="1">
      <c r="N2753" s="192">
        <v>0</v>
      </c>
    </row>
    <row r="2754" spans="14:14" ht="14.25" customHeight="1">
      <c r="N2754" s="192">
        <v>0</v>
      </c>
    </row>
    <row r="2755" spans="14:14" ht="14.25" customHeight="1">
      <c r="N2755" s="192">
        <v>0</v>
      </c>
    </row>
    <row r="2756" spans="14:14" ht="14.25" customHeight="1">
      <c r="N2756" s="192">
        <v>0</v>
      </c>
    </row>
    <row r="2757" spans="14:14" ht="14.25" customHeight="1">
      <c r="N2757" s="192">
        <v>0</v>
      </c>
    </row>
    <row r="2758" spans="14:14" ht="14.25" customHeight="1">
      <c r="N2758" s="192">
        <v>0</v>
      </c>
    </row>
    <row r="2759" spans="14:14" ht="14.25" customHeight="1">
      <c r="N2759" s="192">
        <v>0</v>
      </c>
    </row>
    <row r="2760" spans="14:14" ht="14.25" customHeight="1">
      <c r="N2760" s="192">
        <v>0</v>
      </c>
    </row>
    <row r="2761" spans="14:14" ht="14.25" customHeight="1">
      <c r="N2761" s="192">
        <v>0</v>
      </c>
    </row>
    <row r="2762" spans="14:14" ht="14.25" customHeight="1">
      <c r="N2762" s="192">
        <v>0</v>
      </c>
    </row>
    <row r="2763" spans="14:14" ht="14.25" customHeight="1">
      <c r="N2763" s="192">
        <v>0</v>
      </c>
    </row>
    <row r="2764" spans="14:14" ht="14.25" customHeight="1">
      <c r="N2764" s="192">
        <v>0</v>
      </c>
    </row>
    <row r="2765" spans="14:14" ht="14.25" customHeight="1">
      <c r="N2765" s="192">
        <v>0</v>
      </c>
    </row>
    <row r="2766" spans="14:14" ht="14.25" customHeight="1">
      <c r="N2766" s="192">
        <v>0</v>
      </c>
    </row>
    <row r="2767" spans="14:14" ht="14.25" customHeight="1">
      <c r="N2767" s="192">
        <v>0</v>
      </c>
    </row>
    <row r="2768" spans="14:14" ht="14.25" customHeight="1">
      <c r="N2768" s="192">
        <v>0</v>
      </c>
    </row>
    <row r="2769" spans="14:14" ht="14.25" customHeight="1">
      <c r="N2769" s="192">
        <v>0</v>
      </c>
    </row>
    <row r="2770" spans="14:14" ht="14.25" customHeight="1">
      <c r="N2770" s="192">
        <v>0</v>
      </c>
    </row>
    <row r="2771" spans="14:14" ht="14.25" customHeight="1">
      <c r="N2771" s="192">
        <v>0</v>
      </c>
    </row>
    <row r="2772" spans="14:14" ht="14.25" customHeight="1">
      <c r="N2772" s="192">
        <v>0</v>
      </c>
    </row>
    <row r="2773" spans="14:14" ht="14.25" customHeight="1">
      <c r="N2773" s="192">
        <v>0</v>
      </c>
    </row>
    <row r="2774" spans="14:14" ht="14.25" customHeight="1">
      <c r="N2774" s="192">
        <v>0</v>
      </c>
    </row>
    <row r="2775" spans="14:14" ht="14.25" customHeight="1">
      <c r="N2775" s="192">
        <v>0</v>
      </c>
    </row>
    <row r="2776" spans="14:14" ht="14.25" customHeight="1">
      <c r="N2776" s="192">
        <v>0</v>
      </c>
    </row>
    <row r="2777" spans="14:14" ht="14.25" customHeight="1">
      <c r="N2777" s="192">
        <v>0</v>
      </c>
    </row>
    <row r="2778" spans="14:14" ht="14.25" customHeight="1">
      <c r="N2778" s="192">
        <v>0</v>
      </c>
    </row>
    <row r="2779" spans="14:14" ht="14.25" customHeight="1">
      <c r="N2779" s="192">
        <v>0</v>
      </c>
    </row>
    <row r="2780" spans="14:14" ht="14.25" customHeight="1">
      <c r="N2780" s="192">
        <v>0</v>
      </c>
    </row>
    <row r="2781" spans="14:14" ht="14.25" customHeight="1">
      <c r="N2781" s="192">
        <v>0</v>
      </c>
    </row>
    <row r="2782" spans="14:14" ht="14.25" customHeight="1">
      <c r="N2782" s="192">
        <v>0</v>
      </c>
    </row>
    <row r="2783" spans="14:14" ht="14.25" customHeight="1">
      <c r="N2783" s="192">
        <v>0</v>
      </c>
    </row>
    <row r="2784" spans="14:14" ht="14.25" customHeight="1">
      <c r="N2784" s="192">
        <v>0</v>
      </c>
    </row>
    <row r="2785" spans="14:14" ht="14.25" customHeight="1">
      <c r="N2785" s="192">
        <v>0</v>
      </c>
    </row>
    <row r="2786" spans="14:14" ht="14.25" customHeight="1">
      <c r="N2786" s="192">
        <v>0</v>
      </c>
    </row>
    <row r="2787" spans="14:14" ht="14.25" customHeight="1">
      <c r="N2787" s="192">
        <v>0</v>
      </c>
    </row>
    <row r="2788" spans="14:14" ht="14.25" customHeight="1">
      <c r="N2788" s="192">
        <v>0</v>
      </c>
    </row>
    <row r="2789" spans="14:14" ht="14.25" customHeight="1">
      <c r="N2789" s="192">
        <v>0</v>
      </c>
    </row>
    <row r="2790" spans="14:14" ht="14.25" customHeight="1">
      <c r="N2790" s="192">
        <v>0</v>
      </c>
    </row>
    <row r="2791" spans="14:14" ht="14.25" customHeight="1">
      <c r="N2791" s="192">
        <v>0</v>
      </c>
    </row>
    <row r="2792" spans="14:14" ht="14.25" customHeight="1">
      <c r="N2792" s="192">
        <v>0</v>
      </c>
    </row>
    <row r="2793" spans="14:14" ht="14.25" customHeight="1">
      <c r="N2793" s="192">
        <v>0</v>
      </c>
    </row>
    <row r="2794" spans="14:14" ht="14.25" customHeight="1">
      <c r="N2794" s="192">
        <v>0</v>
      </c>
    </row>
    <row r="2795" spans="14:14" ht="14.25" customHeight="1">
      <c r="N2795" s="192">
        <v>0</v>
      </c>
    </row>
    <row r="2796" spans="14:14" ht="14.25" customHeight="1">
      <c r="N2796" s="192">
        <v>0</v>
      </c>
    </row>
    <row r="2797" spans="14:14" ht="14.25" customHeight="1">
      <c r="N2797" s="192">
        <v>0</v>
      </c>
    </row>
    <row r="2798" spans="14:14" ht="14.25" customHeight="1">
      <c r="N2798" s="192">
        <v>0</v>
      </c>
    </row>
    <row r="2799" spans="14:14" ht="14.25" customHeight="1">
      <c r="N2799" s="192">
        <v>0</v>
      </c>
    </row>
    <row r="2800" spans="14:14" ht="14.25" customHeight="1">
      <c r="N2800" s="192">
        <v>0</v>
      </c>
    </row>
    <row r="2801" spans="14:14" ht="14.25" customHeight="1">
      <c r="N2801" s="192">
        <v>0</v>
      </c>
    </row>
    <row r="2802" spans="14:14" ht="14.25" customHeight="1">
      <c r="N2802" s="192">
        <v>0</v>
      </c>
    </row>
    <row r="2803" spans="14:14" ht="14.25" customHeight="1">
      <c r="N2803" s="192">
        <v>0</v>
      </c>
    </row>
    <row r="2804" spans="14:14" ht="14.25" customHeight="1">
      <c r="N2804" s="192">
        <v>0</v>
      </c>
    </row>
    <row r="2805" spans="14:14" ht="14.25" customHeight="1">
      <c r="N2805" s="192">
        <v>0</v>
      </c>
    </row>
    <row r="2806" spans="14:14" ht="14.25" customHeight="1">
      <c r="N2806" s="192">
        <v>0</v>
      </c>
    </row>
    <row r="2807" spans="14:14" ht="14.25" customHeight="1">
      <c r="N2807" s="192">
        <v>0</v>
      </c>
    </row>
    <row r="2808" spans="14:14" ht="14.25" customHeight="1">
      <c r="N2808" s="192">
        <v>0</v>
      </c>
    </row>
    <row r="2809" spans="14:14" ht="14.25" customHeight="1">
      <c r="N2809" s="192">
        <v>0</v>
      </c>
    </row>
    <row r="2810" spans="14:14" ht="14.25" customHeight="1">
      <c r="N2810" s="192">
        <v>0</v>
      </c>
    </row>
    <row r="2811" spans="14:14" ht="14.25" customHeight="1">
      <c r="N2811" s="192">
        <v>0</v>
      </c>
    </row>
    <row r="2812" spans="14:14" ht="14.25" customHeight="1">
      <c r="N2812" s="192">
        <v>0</v>
      </c>
    </row>
    <row r="2813" spans="14:14" ht="14.25" customHeight="1">
      <c r="N2813" s="192">
        <v>0</v>
      </c>
    </row>
    <row r="2814" spans="14:14" ht="14.25" customHeight="1">
      <c r="N2814" s="192">
        <v>0</v>
      </c>
    </row>
    <row r="2815" spans="14:14" ht="14.25" customHeight="1">
      <c r="N2815" s="192">
        <v>0</v>
      </c>
    </row>
    <row r="2816" spans="14:14" ht="14.25" customHeight="1">
      <c r="N2816" s="192">
        <v>0</v>
      </c>
    </row>
    <row r="2817" spans="14:14" ht="14.25" customHeight="1">
      <c r="N2817" s="192">
        <v>0</v>
      </c>
    </row>
    <row r="2818" spans="14:14" ht="14.25" customHeight="1">
      <c r="N2818" s="192">
        <v>0</v>
      </c>
    </row>
    <row r="2819" spans="14:14" ht="14.25" customHeight="1">
      <c r="N2819" s="192">
        <v>0</v>
      </c>
    </row>
    <row r="2820" spans="14:14" ht="14.25" customHeight="1">
      <c r="N2820" s="192">
        <v>0</v>
      </c>
    </row>
    <row r="2821" spans="14:14" ht="14.25" customHeight="1">
      <c r="N2821" s="192">
        <v>0</v>
      </c>
    </row>
    <row r="2822" spans="14:14" ht="14.25" customHeight="1">
      <c r="N2822" s="192">
        <v>0</v>
      </c>
    </row>
    <row r="2823" spans="14:14" ht="14.25" customHeight="1">
      <c r="N2823" s="192">
        <v>0</v>
      </c>
    </row>
    <row r="2824" spans="14:14" ht="14.25" customHeight="1">
      <c r="N2824" s="192">
        <v>0</v>
      </c>
    </row>
    <row r="2825" spans="14:14" ht="14.25" customHeight="1">
      <c r="N2825" s="192">
        <v>0</v>
      </c>
    </row>
    <row r="2826" spans="14:14" ht="14.25" customHeight="1">
      <c r="N2826" s="192">
        <v>0</v>
      </c>
    </row>
    <row r="2827" spans="14:14" ht="14.25" customHeight="1">
      <c r="N2827" s="192">
        <v>0</v>
      </c>
    </row>
    <row r="2828" spans="14:14" ht="14.25" customHeight="1">
      <c r="N2828" s="192">
        <v>0</v>
      </c>
    </row>
    <row r="2829" spans="14:14" ht="14.25" customHeight="1">
      <c r="N2829" s="192">
        <v>0</v>
      </c>
    </row>
    <row r="2830" spans="14:14" ht="14.25" customHeight="1">
      <c r="N2830" s="192">
        <v>0</v>
      </c>
    </row>
    <row r="2831" spans="14:14" ht="14.25" customHeight="1">
      <c r="N2831" s="192">
        <v>0</v>
      </c>
    </row>
    <row r="2832" spans="14:14" ht="14.25" customHeight="1">
      <c r="N2832" s="192">
        <v>0</v>
      </c>
    </row>
    <row r="2833" spans="14:14" ht="14.25" customHeight="1">
      <c r="N2833" s="192">
        <v>0</v>
      </c>
    </row>
    <row r="2834" spans="14:14" ht="14.25" customHeight="1">
      <c r="N2834" s="192">
        <v>0</v>
      </c>
    </row>
    <row r="2835" spans="14:14" ht="14.25" customHeight="1">
      <c r="N2835" s="192">
        <v>0</v>
      </c>
    </row>
    <row r="2836" spans="14:14" ht="14.25" customHeight="1">
      <c r="N2836" s="192">
        <v>0</v>
      </c>
    </row>
    <row r="2837" spans="14:14" ht="14.25" customHeight="1">
      <c r="N2837" s="192">
        <v>0</v>
      </c>
    </row>
    <row r="2838" spans="14:14" ht="14.25" customHeight="1">
      <c r="N2838" s="192">
        <v>0</v>
      </c>
    </row>
    <row r="2839" spans="14:14" ht="14.25" customHeight="1">
      <c r="N2839" s="192">
        <v>0</v>
      </c>
    </row>
    <row r="2840" spans="14:14" ht="14.25" customHeight="1">
      <c r="N2840" s="192">
        <v>0</v>
      </c>
    </row>
    <row r="2841" spans="14:14" ht="14.25" customHeight="1">
      <c r="N2841" s="192">
        <v>0</v>
      </c>
    </row>
    <row r="2842" spans="14:14" ht="14.25" customHeight="1">
      <c r="N2842" s="192">
        <v>0</v>
      </c>
    </row>
    <row r="2843" spans="14:14" ht="14.25" customHeight="1">
      <c r="N2843" s="192">
        <v>0</v>
      </c>
    </row>
    <row r="2844" spans="14:14" ht="14.25" customHeight="1">
      <c r="N2844" s="192">
        <v>0</v>
      </c>
    </row>
    <row r="2845" spans="14:14" ht="14.25" customHeight="1">
      <c r="N2845" s="192">
        <v>0</v>
      </c>
    </row>
    <row r="2846" spans="14:14" ht="14.25" customHeight="1">
      <c r="N2846" s="192">
        <v>0</v>
      </c>
    </row>
    <row r="2847" spans="14:14" ht="14.25" customHeight="1">
      <c r="N2847" s="192">
        <v>0</v>
      </c>
    </row>
    <row r="2848" spans="14:14" ht="14.25" customHeight="1">
      <c r="N2848" s="192">
        <v>0</v>
      </c>
    </row>
    <row r="2849" spans="14:14" ht="14.25" customHeight="1">
      <c r="N2849" s="192">
        <v>0</v>
      </c>
    </row>
    <row r="2850" spans="14:14" ht="14.25" customHeight="1">
      <c r="N2850" s="192">
        <v>0</v>
      </c>
    </row>
    <row r="2851" spans="14:14" ht="14.25" customHeight="1">
      <c r="N2851" s="192">
        <v>0</v>
      </c>
    </row>
    <row r="2852" spans="14:14" ht="14.25" customHeight="1">
      <c r="N2852" s="192">
        <v>0</v>
      </c>
    </row>
    <row r="2853" spans="14:14" ht="14.25" customHeight="1">
      <c r="N2853" s="192">
        <v>0</v>
      </c>
    </row>
    <row r="2854" spans="14:14" ht="14.25" customHeight="1">
      <c r="N2854" s="192">
        <v>0</v>
      </c>
    </row>
    <row r="2855" spans="14:14" ht="14.25" customHeight="1">
      <c r="N2855" s="192">
        <v>0</v>
      </c>
    </row>
    <row r="2856" spans="14:14" ht="14.25" customHeight="1">
      <c r="N2856" s="192">
        <v>0</v>
      </c>
    </row>
    <row r="2857" spans="14:14" ht="14.25" customHeight="1">
      <c r="N2857" s="192">
        <v>0</v>
      </c>
    </row>
    <row r="2858" spans="14:14" ht="14.25" customHeight="1">
      <c r="N2858" s="192">
        <v>0</v>
      </c>
    </row>
    <row r="2859" spans="14:14" ht="14.25" customHeight="1">
      <c r="N2859" s="192">
        <v>0</v>
      </c>
    </row>
    <row r="2860" spans="14:14" ht="14.25" customHeight="1">
      <c r="N2860" s="192">
        <v>0</v>
      </c>
    </row>
    <row r="2861" spans="14:14" ht="14.25" customHeight="1">
      <c r="N2861" s="192">
        <v>0</v>
      </c>
    </row>
    <row r="2862" spans="14:14" ht="14.25" customHeight="1">
      <c r="N2862" s="192">
        <v>0</v>
      </c>
    </row>
    <row r="2863" spans="14:14" ht="14.25" customHeight="1">
      <c r="N2863" s="192">
        <v>0</v>
      </c>
    </row>
    <row r="2864" spans="14:14" ht="14.25" customHeight="1">
      <c r="N2864" s="192">
        <v>0</v>
      </c>
    </row>
    <row r="2865" spans="14:14" ht="14.25" customHeight="1">
      <c r="N2865" s="192">
        <v>0</v>
      </c>
    </row>
    <row r="2866" spans="14:14" ht="14.25" customHeight="1">
      <c r="N2866" s="192">
        <v>0</v>
      </c>
    </row>
    <row r="2867" spans="14:14" ht="14.25" customHeight="1">
      <c r="N2867" s="192">
        <v>0</v>
      </c>
    </row>
    <row r="2868" spans="14:14" ht="14.25" customHeight="1">
      <c r="N2868" s="192">
        <v>0</v>
      </c>
    </row>
    <row r="2869" spans="14:14" ht="14.25" customHeight="1">
      <c r="N2869" s="192">
        <v>0</v>
      </c>
    </row>
    <row r="2870" spans="14:14" ht="14.25" customHeight="1">
      <c r="N2870" s="192">
        <v>0</v>
      </c>
    </row>
    <row r="2871" spans="14:14" ht="14.25" customHeight="1">
      <c r="N2871" s="192">
        <v>0</v>
      </c>
    </row>
    <row r="2872" spans="14:14" ht="14.25" customHeight="1">
      <c r="N2872" s="192">
        <v>0</v>
      </c>
    </row>
    <row r="2873" spans="14:14" ht="14.25" customHeight="1">
      <c r="N2873" s="192">
        <v>0</v>
      </c>
    </row>
    <row r="2874" spans="14:14" ht="14.25" customHeight="1">
      <c r="N2874" s="192">
        <v>0</v>
      </c>
    </row>
    <row r="2875" spans="14:14" ht="14.25" customHeight="1">
      <c r="N2875" s="192">
        <v>0</v>
      </c>
    </row>
    <row r="2876" spans="14:14" ht="14.25" customHeight="1">
      <c r="N2876" s="192">
        <v>0</v>
      </c>
    </row>
    <row r="2877" spans="14:14" ht="14.25" customHeight="1">
      <c r="N2877" s="192">
        <v>0</v>
      </c>
    </row>
    <row r="2878" spans="14:14" ht="14.25" customHeight="1">
      <c r="N2878" s="192">
        <v>0</v>
      </c>
    </row>
    <row r="2879" spans="14:14" ht="14.25" customHeight="1">
      <c r="N2879" s="192">
        <v>0</v>
      </c>
    </row>
    <row r="2880" spans="14:14" ht="14.25" customHeight="1">
      <c r="N2880" s="192">
        <v>0</v>
      </c>
    </row>
    <row r="2881" spans="14:14" ht="14.25" customHeight="1">
      <c r="N2881" s="192">
        <v>0</v>
      </c>
    </row>
    <row r="2882" spans="14:14" ht="14.25" customHeight="1">
      <c r="N2882" s="192">
        <v>0</v>
      </c>
    </row>
    <row r="2883" spans="14:14" ht="14.25" customHeight="1">
      <c r="N2883" s="192">
        <v>0</v>
      </c>
    </row>
    <row r="2884" spans="14:14" ht="14.25" customHeight="1">
      <c r="N2884" s="192">
        <v>0</v>
      </c>
    </row>
    <row r="2885" spans="14:14" ht="14.25" customHeight="1">
      <c r="N2885" s="192">
        <v>0</v>
      </c>
    </row>
    <row r="2886" spans="14:14" ht="14.25" customHeight="1">
      <c r="N2886" s="192">
        <v>0</v>
      </c>
    </row>
    <row r="2887" spans="14:14" ht="14.25" customHeight="1">
      <c r="N2887" s="192">
        <v>0</v>
      </c>
    </row>
    <row r="2888" spans="14:14" ht="14.25" customHeight="1">
      <c r="N2888" s="192">
        <v>0</v>
      </c>
    </row>
    <row r="2889" spans="14:14" ht="14.25" customHeight="1">
      <c r="N2889" s="192">
        <v>0</v>
      </c>
    </row>
    <row r="2890" spans="14:14" ht="14.25" customHeight="1">
      <c r="N2890" s="192">
        <v>0</v>
      </c>
    </row>
    <row r="2891" spans="14:14" ht="14.25" customHeight="1">
      <c r="N2891" s="192">
        <v>0</v>
      </c>
    </row>
    <row r="2892" spans="14:14" ht="14.25" customHeight="1">
      <c r="N2892" s="192">
        <v>0</v>
      </c>
    </row>
    <row r="2893" spans="14:14" ht="14.25" customHeight="1">
      <c r="N2893" s="192">
        <v>0</v>
      </c>
    </row>
    <row r="2894" spans="14:14" ht="14.25" customHeight="1">
      <c r="N2894" s="192">
        <v>0</v>
      </c>
    </row>
    <row r="2895" spans="14:14" ht="14.25" customHeight="1">
      <c r="N2895" s="192">
        <v>0</v>
      </c>
    </row>
    <row r="2896" spans="14:14" ht="14.25" customHeight="1">
      <c r="N2896" s="192">
        <v>0</v>
      </c>
    </row>
    <row r="2897" spans="14:14" ht="14.25" customHeight="1">
      <c r="N2897" s="192">
        <v>0</v>
      </c>
    </row>
    <row r="2898" spans="14:14" ht="14.25" customHeight="1">
      <c r="N2898" s="192">
        <v>0</v>
      </c>
    </row>
    <row r="2899" spans="14:14" ht="14.25" customHeight="1">
      <c r="N2899" s="192">
        <v>0</v>
      </c>
    </row>
    <row r="2900" spans="14:14" ht="14.25" customHeight="1">
      <c r="N2900" s="192">
        <v>0</v>
      </c>
    </row>
    <row r="2901" spans="14:14" ht="14.25" customHeight="1">
      <c r="N2901" s="192">
        <v>0</v>
      </c>
    </row>
    <row r="2902" spans="14:14" ht="14.25" customHeight="1">
      <c r="N2902" s="192">
        <v>0</v>
      </c>
    </row>
    <row r="2903" spans="14:14" ht="14.25" customHeight="1">
      <c r="N2903" s="192">
        <v>0</v>
      </c>
    </row>
    <row r="2904" spans="14:14" ht="14.25" customHeight="1">
      <c r="N2904" s="192">
        <v>0</v>
      </c>
    </row>
    <row r="2905" spans="14:14" ht="14.25" customHeight="1">
      <c r="N2905" s="192">
        <v>0</v>
      </c>
    </row>
    <row r="2906" spans="14:14" ht="14.25" customHeight="1">
      <c r="N2906" s="192">
        <v>0</v>
      </c>
    </row>
    <row r="2907" spans="14:14" ht="14.25" customHeight="1">
      <c r="N2907" s="192">
        <v>0</v>
      </c>
    </row>
    <row r="2908" spans="14:14" ht="14.25" customHeight="1">
      <c r="N2908" s="192">
        <v>0</v>
      </c>
    </row>
    <row r="2909" spans="14:14" ht="14.25" customHeight="1">
      <c r="N2909" s="192">
        <v>0</v>
      </c>
    </row>
    <row r="2910" spans="14:14" ht="14.25" customHeight="1">
      <c r="N2910" s="192">
        <v>0</v>
      </c>
    </row>
    <row r="2911" spans="14:14" ht="14.25" customHeight="1">
      <c r="N2911" s="192">
        <v>0</v>
      </c>
    </row>
    <row r="2912" spans="14:14" ht="14.25" customHeight="1">
      <c r="N2912" s="192">
        <v>0</v>
      </c>
    </row>
    <row r="2913" spans="14:14" ht="14.25" customHeight="1">
      <c r="N2913" s="192">
        <v>0</v>
      </c>
    </row>
    <row r="2914" spans="14:14" ht="14.25" customHeight="1">
      <c r="N2914" s="192">
        <v>0</v>
      </c>
    </row>
    <row r="2915" spans="14:14" ht="14.25" customHeight="1">
      <c r="N2915" s="192">
        <v>0</v>
      </c>
    </row>
    <row r="2916" spans="14:14" ht="14.25" customHeight="1">
      <c r="N2916" s="192">
        <v>0</v>
      </c>
    </row>
    <row r="2917" spans="14:14" ht="14.25" customHeight="1">
      <c r="N2917" s="192">
        <v>0</v>
      </c>
    </row>
    <row r="2918" spans="14:14" ht="14.25" customHeight="1">
      <c r="N2918" s="192">
        <v>0</v>
      </c>
    </row>
    <row r="2919" spans="14:14" ht="14.25" customHeight="1">
      <c r="N2919" s="192">
        <v>0</v>
      </c>
    </row>
    <row r="2920" spans="14:14" ht="14.25" customHeight="1">
      <c r="N2920" s="192">
        <v>0</v>
      </c>
    </row>
    <row r="2921" spans="14:14" ht="14.25" customHeight="1">
      <c r="N2921" s="192">
        <v>0</v>
      </c>
    </row>
    <row r="2922" spans="14:14" ht="14.25" customHeight="1">
      <c r="N2922" s="192">
        <v>0</v>
      </c>
    </row>
    <row r="2923" spans="14:14" ht="14.25" customHeight="1">
      <c r="N2923" s="192">
        <v>0</v>
      </c>
    </row>
    <row r="2924" spans="14:14" ht="14.25" customHeight="1">
      <c r="N2924" s="192">
        <v>0</v>
      </c>
    </row>
    <row r="2925" spans="14:14" ht="14.25" customHeight="1">
      <c r="N2925" s="192">
        <v>0</v>
      </c>
    </row>
    <row r="2926" spans="14:14" ht="14.25" customHeight="1">
      <c r="N2926" s="192">
        <v>0</v>
      </c>
    </row>
    <row r="2927" spans="14:14" ht="14.25" customHeight="1">
      <c r="N2927" s="192">
        <v>0</v>
      </c>
    </row>
    <row r="2928" spans="14:14" ht="14.25" customHeight="1">
      <c r="N2928" s="192">
        <v>0</v>
      </c>
    </row>
    <row r="2929" spans="14:14" ht="14.25" customHeight="1">
      <c r="N2929" s="192">
        <v>0</v>
      </c>
    </row>
    <row r="2930" spans="14:14" ht="14.25" customHeight="1">
      <c r="N2930" s="192">
        <v>0</v>
      </c>
    </row>
    <row r="2931" spans="14:14" ht="14.25" customHeight="1">
      <c r="N2931" s="192">
        <v>0</v>
      </c>
    </row>
    <row r="2932" spans="14:14" ht="14.25" customHeight="1">
      <c r="N2932" s="192">
        <v>0</v>
      </c>
    </row>
    <row r="2933" spans="14:14" ht="14.25" customHeight="1">
      <c r="N2933" s="192">
        <v>0</v>
      </c>
    </row>
    <row r="2934" spans="14:14" ht="14.25" customHeight="1">
      <c r="N2934" s="192">
        <v>0</v>
      </c>
    </row>
    <row r="2935" spans="14:14" ht="14.25" customHeight="1">
      <c r="N2935" s="192">
        <v>0</v>
      </c>
    </row>
    <row r="2936" spans="14:14" ht="14.25" customHeight="1">
      <c r="N2936" s="192">
        <v>0</v>
      </c>
    </row>
    <row r="2937" spans="14:14" ht="14.25" customHeight="1">
      <c r="N2937" s="192">
        <v>0</v>
      </c>
    </row>
    <row r="2938" spans="14:14" ht="14.25" customHeight="1">
      <c r="N2938" s="192">
        <v>0</v>
      </c>
    </row>
    <row r="2939" spans="14:14" ht="14.25" customHeight="1">
      <c r="N2939" s="192">
        <v>0</v>
      </c>
    </row>
    <row r="2940" spans="14:14" ht="14.25" customHeight="1">
      <c r="N2940" s="192">
        <v>0</v>
      </c>
    </row>
    <row r="2941" spans="14:14" ht="14.25" customHeight="1">
      <c r="N2941" s="192">
        <v>0</v>
      </c>
    </row>
    <row r="2942" spans="14:14" ht="14.25" customHeight="1">
      <c r="N2942" s="192">
        <v>0</v>
      </c>
    </row>
    <row r="2943" spans="14:14" ht="14.25" customHeight="1">
      <c r="N2943" s="192">
        <v>0</v>
      </c>
    </row>
    <row r="2944" spans="14:14" ht="14.25" customHeight="1">
      <c r="N2944" s="192">
        <v>0</v>
      </c>
    </row>
    <row r="2945" spans="14:14" ht="14.25" customHeight="1">
      <c r="N2945" s="192">
        <v>0</v>
      </c>
    </row>
    <row r="2946" spans="14:14" ht="14.25" customHeight="1">
      <c r="N2946" s="192">
        <v>0</v>
      </c>
    </row>
    <row r="2947" spans="14:14" ht="14.25" customHeight="1">
      <c r="N2947" s="192">
        <v>0</v>
      </c>
    </row>
    <row r="2948" spans="14:14" ht="14.25" customHeight="1">
      <c r="N2948" s="192">
        <v>0</v>
      </c>
    </row>
    <row r="2949" spans="14:14" ht="14.25" customHeight="1">
      <c r="N2949" s="192">
        <v>0</v>
      </c>
    </row>
    <row r="2950" spans="14:14" ht="14.25" customHeight="1">
      <c r="N2950" s="192">
        <v>0</v>
      </c>
    </row>
    <row r="2951" spans="14:14" ht="14.25" customHeight="1">
      <c r="N2951" s="192">
        <v>0</v>
      </c>
    </row>
    <row r="2952" spans="14:14" ht="14.25" customHeight="1">
      <c r="N2952" s="192">
        <v>0</v>
      </c>
    </row>
    <row r="2953" spans="14:14" ht="14.25" customHeight="1">
      <c r="N2953" s="192">
        <v>0</v>
      </c>
    </row>
    <row r="2954" spans="14:14" ht="14.25" customHeight="1">
      <c r="N2954" s="192">
        <v>0</v>
      </c>
    </row>
    <row r="2955" spans="14:14" ht="14.25" customHeight="1">
      <c r="N2955" s="192">
        <v>0</v>
      </c>
    </row>
    <row r="2956" spans="14:14" ht="14.25" customHeight="1">
      <c r="N2956" s="192">
        <v>0</v>
      </c>
    </row>
    <row r="2957" spans="14:14" ht="14.25" customHeight="1">
      <c r="N2957" s="192">
        <v>0</v>
      </c>
    </row>
    <row r="2958" spans="14:14" ht="14.25" customHeight="1">
      <c r="N2958" s="192">
        <v>0</v>
      </c>
    </row>
    <row r="2959" spans="14:14" ht="14.25" customHeight="1">
      <c r="N2959" s="192">
        <v>0</v>
      </c>
    </row>
    <row r="2960" spans="14:14" ht="14.25" customHeight="1">
      <c r="N2960" s="192">
        <v>0</v>
      </c>
    </row>
    <row r="2961" spans="14:14" ht="14.25" customHeight="1">
      <c r="N2961" s="192">
        <v>0</v>
      </c>
    </row>
    <row r="2962" spans="14:14" ht="14.25" customHeight="1">
      <c r="N2962" s="192">
        <v>0</v>
      </c>
    </row>
    <row r="2963" spans="14:14" ht="14.25" customHeight="1">
      <c r="N2963" s="192">
        <v>0</v>
      </c>
    </row>
    <row r="2964" spans="14:14" ht="14.25" customHeight="1">
      <c r="N2964" s="192">
        <v>0</v>
      </c>
    </row>
    <row r="2965" spans="14:14" ht="14.25" customHeight="1">
      <c r="N2965" s="192">
        <v>0</v>
      </c>
    </row>
    <row r="2966" spans="14:14" ht="14.25" customHeight="1">
      <c r="N2966" s="192">
        <v>0</v>
      </c>
    </row>
    <row r="2967" spans="14:14" ht="14.25" customHeight="1">
      <c r="N2967" s="192">
        <v>0</v>
      </c>
    </row>
    <row r="2968" spans="14:14" ht="14.25" customHeight="1">
      <c r="N2968" s="192">
        <v>0</v>
      </c>
    </row>
    <row r="2969" spans="14:14" ht="14.25" customHeight="1">
      <c r="N2969" s="192">
        <v>0</v>
      </c>
    </row>
    <row r="2970" spans="14:14" ht="14.25" customHeight="1">
      <c r="N2970" s="192">
        <v>0</v>
      </c>
    </row>
    <row r="2971" spans="14:14" ht="14.25" customHeight="1">
      <c r="N2971" s="192">
        <v>0</v>
      </c>
    </row>
    <row r="2972" spans="14:14" ht="14.25" customHeight="1">
      <c r="N2972" s="192">
        <v>0</v>
      </c>
    </row>
    <row r="2973" spans="14:14" ht="14.25" customHeight="1">
      <c r="N2973" s="192">
        <v>0</v>
      </c>
    </row>
    <row r="2974" spans="14:14" ht="14.25" customHeight="1">
      <c r="N2974" s="192">
        <v>0</v>
      </c>
    </row>
    <row r="2975" spans="14:14" ht="14.25" customHeight="1">
      <c r="N2975" s="192">
        <v>0</v>
      </c>
    </row>
    <row r="2976" spans="14:14" ht="14.25" customHeight="1">
      <c r="N2976" s="192">
        <v>0</v>
      </c>
    </row>
    <row r="2977" spans="14:14" ht="14.25" customHeight="1">
      <c r="N2977" s="192">
        <v>0</v>
      </c>
    </row>
    <row r="2978" spans="14:14" ht="14.25" customHeight="1">
      <c r="N2978" s="192">
        <v>0</v>
      </c>
    </row>
    <row r="2979" spans="14:14" ht="14.25" customHeight="1">
      <c r="N2979" s="192">
        <v>0</v>
      </c>
    </row>
    <row r="2980" spans="14:14" ht="14.25" customHeight="1">
      <c r="N2980" s="192">
        <v>0</v>
      </c>
    </row>
    <row r="2981" spans="14:14" ht="14.25" customHeight="1">
      <c r="N2981" s="192">
        <v>0</v>
      </c>
    </row>
    <row r="2982" spans="14:14" ht="14.25" customHeight="1">
      <c r="N2982" s="192">
        <v>0</v>
      </c>
    </row>
    <row r="2983" spans="14:14" ht="14.25" customHeight="1">
      <c r="N2983" s="192">
        <v>0</v>
      </c>
    </row>
    <row r="2984" spans="14:14" ht="14.25" customHeight="1">
      <c r="N2984" s="192">
        <v>0</v>
      </c>
    </row>
    <row r="2985" spans="14:14" ht="14.25" customHeight="1">
      <c r="N2985" s="192">
        <v>0</v>
      </c>
    </row>
    <row r="2986" spans="14:14" ht="14.25" customHeight="1">
      <c r="N2986" s="192">
        <v>0</v>
      </c>
    </row>
    <row r="2987" spans="14:14" ht="14.25" customHeight="1">
      <c r="N2987" s="192">
        <v>0</v>
      </c>
    </row>
    <row r="2988" spans="14:14" ht="14.25" customHeight="1">
      <c r="N2988" s="192">
        <v>0</v>
      </c>
    </row>
    <row r="2989" spans="14:14" ht="14.25" customHeight="1">
      <c r="N2989" s="192">
        <v>0</v>
      </c>
    </row>
    <row r="2990" spans="14:14" ht="14.25" customHeight="1">
      <c r="N2990" s="192">
        <v>0</v>
      </c>
    </row>
    <row r="2991" spans="14:14" ht="14.25" customHeight="1">
      <c r="N2991" s="192">
        <v>0</v>
      </c>
    </row>
    <row r="2992" spans="14:14" ht="14.25" customHeight="1">
      <c r="N2992" s="192">
        <v>0</v>
      </c>
    </row>
    <row r="2993" spans="14:14" ht="14.25" customHeight="1">
      <c r="N2993" s="192">
        <v>0</v>
      </c>
    </row>
    <row r="2994" spans="14:14" ht="14.25" customHeight="1">
      <c r="N2994" s="192">
        <v>0</v>
      </c>
    </row>
    <row r="2995" spans="14:14" ht="14.25" customHeight="1">
      <c r="N2995" s="192">
        <v>0</v>
      </c>
    </row>
    <row r="2996" spans="14:14" ht="14.25" customHeight="1">
      <c r="N2996" s="192">
        <v>0</v>
      </c>
    </row>
    <row r="2997" spans="14:14" ht="14.25" customHeight="1">
      <c r="N2997" s="192">
        <v>0</v>
      </c>
    </row>
    <row r="2998" spans="14:14" ht="14.25" customHeight="1">
      <c r="N2998" s="192">
        <v>0</v>
      </c>
    </row>
    <row r="2999" spans="14:14" ht="14.25" customHeight="1">
      <c r="N2999" s="192">
        <v>0</v>
      </c>
    </row>
    <row r="3000" spans="14:14" ht="14.25" customHeight="1">
      <c r="N3000" s="192">
        <v>0</v>
      </c>
    </row>
    <row r="3001" spans="14:14" ht="14.25" customHeight="1">
      <c r="N3001" s="192">
        <v>0</v>
      </c>
    </row>
    <row r="3002" spans="14:14" ht="14.25" customHeight="1">
      <c r="N3002" s="192">
        <v>0</v>
      </c>
    </row>
    <row r="3003" spans="14:14" ht="14.25" customHeight="1">
      <c r="N3003" s="192">
        <v>0</v>
      </c>
    </row>
  </sheetData>
  <mergeCells count="34">
    <mergeCell ref="X4:AD4"/>
    <mergeCell ref="A17:J17"/>
    <mergeCell ref="B8:D8"/>
    <mergeCell ref="A7:A8"/>
    <mergeCell ref="E7:F8"/>
    <mergeCell ref="B6:J6"/>
    <mergeCell ref="A5:A6"/>
    <mergeCell ref="B5:J5"/>
    <mergeCell ref="G8:J8"/>
    <mergeCell ref="G7:J7"/>
    <mergeCell ref="B4:J4"/>
    <mergeCell ref="B7:D7"/>
    <mergeCell ref="G10:J10"/>
    <mergeCell ref="B23:E23"/>
    <mergeCell ref="A18:J18"/>
    <mergeCell ref="F20:H20"/>
    <mergeCell ref="B11:D11"/>
    <mergeCell ref="A14:J14"/>
    <mergeCell ref="A3:J3"/>
    <mergeCell ref="A12:J12"/>
    <mergeCell ref="F21:H21"/>
    <mergeCell ref="B24:E24"/>
    <mergeCell ref="B20:E20"/>
    <mergeCell ref="A13:J13"/>
    <mergeCell ref="B10:D10"/>
    <mergeCell ref="G9:J9"/>
    <mergeCell ref="E10:F10"/>
    <mergeCell ref="B9:D9"/>
    <mergeCell ref="A15:J15"/>
    <mergeCell ref="G11:J11"/>
    <mergeCell ref="E9:F9"/>
    <mergeCell ref="F23:G23"/>
    <mergeCell ref="E11:F11"/>
    <mergeCell ref="A16:J16"/>
  </mergeCells>
  <phoneticPr fontId="3" type="noConversion"/>
  <dataValidations disablePrompts="1" count="1">
    <dataValidation type="list" allowBlank="1" showInputMessage="1" showErrorMessage="1" sqref="K3" xr:uid="{00000000-0002-0000-0300-000000000000}">
      <formula1>$N$3:$N$3003</formula1>
    </dataValidation>
  </dataValidations>
  <printOptions horizontalCentered="1"/>
  <pageMargins left="0.78740157480314965" right="0.78740157480314965" top="1.417322834645669" bottom="0.23622047244094491" header="0.31496062992125978" footer="0.31496062992125978"/>
  <pageSetup paperSize="9"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1" r:id="rId4" name="Drop Down 3">
              <controlPr defaultSize="0" autoLine="0" autoPict="0">
                <anchor moveWithCells="1">
                  <from>
                    <xdr:col>10</xdr:col>
                    <xdr:colOff>1276350</xdr:colOff>
                    <xdr:row>10</xdr:row>
                    <xdr:rowOff>28575</xdr:rowOff>
                  </from>
                  <to>
                    <xdr:col>12</xdr:col>
                    <xdr:colOff>57150</xdr:colOff>
                    <xdr:row>10</xdr:row>
                    <xdr:rowOff>400050</xdr:rowOff>
                  </to>
                </anchor>
              </controlPr>
            </control>
          </mc:Choice>
        </mc:AlternateContent>
        <mc:AlternateContent xmlns:mc="http://schemas.openxmlformats.org/markup-compatibility/2006">
          <mc:Choice Requires="x14">
            <control shapeId="22532" r:id="rId5" name="Button 4">
              <controlPr defaultSize="0" print="0" autoFill="0" autoPict="0" macro="[0]!돌아가기">
                <anchor moveWithCells="1" sizeWithCells="1">
                  <from>
                    <xdr:col>6</xdr:col>
                    <xdr:colOff>85725</xdr:colOff>
                    <xdr:row>0</xdr:row>
                    <xdr:rowOff>19050</xdr:rowOff>
                  </from>
                  <to>
                    <xdr:col>10</xdr:col>
                    <xdr:colOff>19050</xdr:colOff>
                    <xdr:row>0</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T30"/>
  <sheetViews>
    <sheetView view="pageBreakPreview" zoomScale="85" zoomScaleNormal="100" zoomScaleSheetLayoutView="85" workbookViewId="0">
      <selection activeCell="L15" sqref="L15"/>
    </sheetView>
  </sheetViews>
  <sheetFormatPr defaultColWidth="9" defaultRowHeight="16.5"/>
  <cols>
    <col min="1" max="1" width="12.5" style="250" customWidth="1"/>
    <col min="2" max="2" width="4.75" style="250" customWidth="1"/>
    <col min="3" max="3" width="9.75" style="250" customWidth="1"/>
    <col min="4" max="4" width="8.875" style="250" customWidth="1"/>
    <col min="5" max="5" width="7.875" style="250" customWidth="1"/>
    <col min="6" max="6" width="9.125" style="250" customWidth="1"/>
    <col min="7" max="7" width="9" style="250" customWidth="1"/>
    <col min="8" max="8" width="9.5" style="250" customWidth="1"/>
    <col min="9" max="9" width="9" style="250" customWidth="1"/>
    <col min="10" max="10" width="4.625" style="250" customWidth="1"/>
    <col min="11" max="11" width="2.625" style="250" customWidth="1"/>
    <col min="12" max="19" width="9" style="250" customWidth="1"/>
    <col min="20" max="20" width="70.625" style="250" customWidth="1"/>
    <col min="21" max="50" width="9" style="250" customWidth="1"/>
    <col min="51" max="16384" width="9" style="250"/>
  </cols>
  <sheetData>
    <row r="1" spans="1:20" ht="39.950000000000003" customHeight="1" thickBot="1">
      <c r="B1" s="250">
        <v>15</v>
      </c>
    </row>
    <row r="2" spans="1:20" ht="28.5" customHeight="1" thickBot="1">
      <c r="A2" s="398" t="s">
        <v>608</v>
      </c>
      <c r="B2" s="397"/>
      <c r="C2" s="397"/>
      <c r="D2" s="397"/>
      <c r="E2" s="397"/>
      <c r="F2" s="397"/>
      <c r="G2" s="397"/>
      <c r="H2" s="397"/>
      <c r="I2" s="397"/>
      <c r="J2" s="397"/>
      <c r="K2" s="397"/>
      <c r="T2" s="181" t="s">
        <v>609</v>
      </c>
    </row>
    <row r="3" spans="1:20" ht="19.5" customHeight="1">
      <c r="A3" s="290"/>
      <c r="B3" s="290"/>
      <c r="C3" s="290"/>
      <c r="D3" s="290"/>
      <c r="E3" s="290"/>
      <c r="F3" s="290"/>
      <c r="G3" s="290"/>
      <c r="H3" s="290"/>
      <c r="I3" s="290"/>
      <c r="J3" s="290"/>
      <c r="K3" s="290"/>
      <c r="T3" s="176" t="str">
        <f>"2023년 시설사업계획에 의거 "&amp;TEXT(C8,"yyyy.MM.dd.")&amp;" "&amp;VLOOKUP($B$1,공사현장대장!$A$5:$T$330,16)&amp;" 대표 "&amp;VLOOKUP($B$1,공사현장대장!$A$5:$T$330,17)&amp;"와 계약하여 완료된 "&amp;"「"&amp;VLOOKUP($B$1,공사현장대장!$A$5:$T$330,4)&amp;"」"&amp;"에 대하여 아래와 같이 정산하고자 합니다. "</f>
        <v xml:space="preserve">2023년 시설사업계획에 의거 2026.04.09. (주)뉴보텍 대표 황문기와 계약하여 완료된 「홍천농고 공간재구조화 증개축공사 PVC배관 구입」에 대하여 아래와 같이 정산하고자 합니다. </v>
      </c>
    </row>
    <row r="4" spans="1:20" ht="27.95" customHeight="1">
      <c r="A4" s="396" t="s">
        <v>610</v>
      </c>
      <c r="B4" s="397"/>
      <c r="C4" s="405" t="str">
        <f>VLOOKUP($B$1,공사현장대장!$A$5:$T$330,4)</f>
        <v>홍천농고 공간재구조화 증개축공사 PVC배관 구입</v>
      </c>
      <c r="D4" s="397"/>
      <c r="E4" s="397"/>
      <c r="F4" s="397"/>
      <c r="G4" s="397"/>
      <c r="H4" s="397"/>
      <c r="I4" s="397"/>
      <c r="J4" s="397"/>
      <c r="K4" s="291"/>
      <c r="T4" s="177"/>
    </row>
    <row r="5" spans="1:20" ht="27.95" customHeight="1">
      <c r="A5" s="396" t="s">
        <v>611</v>
      </c>
      <c r="B5" s="397"/>
      <c r="C5" s="403" t="str">
        <f>VLOOKUP($B$1,공사현장대장!$A$5:$T$330,16)&amp;"  대표: "&amp;VLOOKUP($B$1,공사현장대장!$A$5:$T$330,17)</f>
        <v>(주)뉴보텍  대표: 황문기</v>
      </c>
      <c r="D5" s="397"/>
      <c r="E5" s="397"/>
      <c r="F5" s="397"/>
      <c r="G5" s="397"/>
      <c r="H5" s="397"/>
      <c r="I5" s="292"/>
      <c r="J5" s="292"/>
      <c r="K5" s="292"/>
      <c r="T5" s="178" t="str">
        <f>"  1. 공 사 명: "&amp;VLOOKUP($B$1,공사현장대장!$A$5:$T$330,4)</f>
        <v xml:space="preserve">  1. 공 사 명: 홍천농고 공간재구조화 증개축공사 PVC배관 구입</v>
      </c>
    </row>
    <row r="6" spans="1:20" ht="27.95" customHeight="1">
      <c r="A6" s="291" t="s">
        <v>612</v>
      </c>
      <c r="B6" s="291"/>
      <c r="C6" s="417" t="str">
        <f>"금"&amp;TEXT(VLOOKUP($B$1,공사현장대장!$A$5:$T$330,9),"#,###")&amp;"원"&amp;"(금"&amp;TEXT(VLOOKUP($B$1,공사현장대장!$A$5:$T$330,9),"[dbnum4]")&amp;"원)"</f>
        <v>금17,415,900원(금일천칠백사십일만오천구백원)</v>
      </c>
      <c r="D6" s="397"/>
      <c r="E6" s="397"/>
      <c r="F6" s="397"/>
      <c r="G6" s="397"/>
      <c r="H6" s="397"/>
      <c r="I6" s="397"/>
      <c r="J6" s="292"/>
      <c r="K6" s="292"/>
      <c r="T6" s="178" t="str">
        <f>"  2. 공사기간: "&amp;TEXT(C9,"yyyy. MM. dd.")&amp;" ~ "&amp;TEXT(C10,"yyyy. MM. dd.")</f>
        <v xml:space="preserve">  2. 공사기간: 2026. 04. 09. ~ 2025. 04. 03.</v>
      </c>
    </row>
    <row r="7" spans="1:20" ht="27.95" customHeight="1">
      <c r="A7" s="291" t="s">
        <v>613</v>
      </c>
      <c r="B7" s="291"/>
      <c r="C7" s="417" t="str">
        <f>"금"&amp;TEXT(O16,"#,###")&amp;"원"&amp;"(금"&amp;TEXT(O16,"[dbnum4]")&amp;"원)"</f>
        <v>금10,554,000원(금일천오십오만사천원)</v>
      </c>
      <c r="D7" s="397"/>
      <c r="E7" s="397"/>
      <c r="F7" s="397"/>
      <c r="G7" s="397"/>
      <c r="H7" s="397"/>
      <c r="I7" s="397"/>
      <c r="J7" s="292"/>
      <c r="K7" s="292"/>
      <c r="T7" s="178" t="str">
        <f>"  3. 계 약 자: "&amp;VLOOKUP($B$1,공사현장대장!$A$5:$T$330,16)&amp;"  대표 "&amp;VLOOKUP($B$1,공사현장대장!$A$5:$T$330,17)</f>
        <v xml:space="preserve">  3. 계 약 자: (주)뉴보텍  대표 황문기</v>
      </c>
    </row>
    <row r="8" spans="1:20" ht="27.95" customHeight="1">
      <c r="A8" s="396" t="s">
        <v>614</v>
      </c>
      <c r="B8" s="397"/>
      <c r="C8" s="414">
        <f>VLOOKUP($B$1,공사현장대장!$A$5:$T$330,10)</f>
        <v>46121</v>
      </c>
      <c r="D8" s="397"/>
      <c r="E8" s="397"/>
      <c r="F8" s="397"/>
      <c r="G8" s="397"/>
      <c r="H8" s="397"/>
      <c r="I8" s="291"/>
      <c r="J8" s="291"/>
      <c r="K8" s="291"/>
      <c r="T8" s="178" t="str">
        <f>"  4. 계약금액: "&amp;"금"&amp;TEXT(VLOOKUP($B$1,공사현장대장!$A$5:$T$330,9),"#,###")&amp;"원"&amp;" (금"&amp;TEXT(VLOOKUP($B$1,공사현장대장!$A$5:$T$330,9),"[dbnum4]")&amp;"원)"</f>
        <v xml:space="preserve">  4. 계약금액: 금17,415,900원 (금일천칠백사십일만오천구백원)</v>
      </c>
    </row>
    <row r="9" spans="1:20" ht="27.95" customHeight="1">
      <c r="A9" s="396" t="s">
        <v>615</v>
      </c>
      <c r="B9" s="397"/>
      <c r="C9" s="414">
        <f>VLOOKUP($B$1,공사현장대장!$A$5:$T$330,11)</f>
        <v>46121</v>
      </c>
      <c r="D9" s="397"/>
      <c r="E9" s="397"/>
      <c r="F9" s="397"/>
      <c r="G9" s="397"/>
      <c r="H9" s="397"/>
      <c r="I9" s="291"/>
      <c r="J9" s="291"/>
      <c r="K9" s="291"/>
      <c r="T9" s="178" t="str">
        <f>"  5. 준공금액: "&amp;"금"&amp;TEXT(O16,"#,###")&amp;"원"&amp;" (금"&amp;TEXT(T15,"[dbnum4]")&amp;"원)"</f>
        <v xml:space="preserve">  5. 준공금액: 금10,554,000원 (금영원)</v>
      </c>
    </row>
    <row r="10" spans="1:20" ht="27.95" customHeight="1">
      <c r="A10" s="396" t="s">
        <v>616</v>
      </c>
      <c r="B10" s="397"/>
      <c r="C10" s="414">
        <f>VLOOKUP($B$1,공사현장대장!$A$5:$T$330,13)</f>
        <v>45750</v>
      </c>
      <c r="D10" s="397"/>
      <c r="E10" s="397"/>
      <c r="F10" s="397"/>
      <c r="G10" s="397"/>
      <c r="H10" s="397"/>
      <c r="I10" s="291"/>
      <c r="J10" s="291"/>
      <c r="K10" s="291"/>
      <c r="T10" s="178" t="str">
        <f>"  6. 감    액: "&amp;"금"&amp;TEXT(Q16,"#,###")&amp;"원"&amp;" (금"&amp;TEXT(Q16,"[dbnum4]")&amp;"원)"</f>
        <v xml:space="preserve">  6. 감    액: 금6,861,900원 (금육백팔십육만일천구백원)</v>
      </c>
    </row>
    <row r="11" spans="1:20" ht="27.95" customHeight="1">
      <c r="A11" s="396" t="s">
        <v>617</v>
      </c>
      <c r="B11" s="397"/>
      <c r="C11" s="414">
        <f>VLOOKUP($B$1,공사현장대장!$A$5:$T$330,14)</f>
        <v>0</v>
      </c>
      <c r="D11" s="397"/>
      <c r="E11" s="397"/>
      <c r="F11" s="397"/>
      <c r="G11" s="397"/>
      <c r="H11" s="397"/>
      <c r="I11" s="291"/>
      <c r="J11" s="291"/>
      <c r="K11" s="291"/>
      <c r="T11" s="178" t="str">
        <f>"  7. 정산사유: 붙임“준공정산 검토내용”참조"</f>
        <v xml:space="preserve">  7. 정산사유: 붙임“준공정산 검토내용”참조</v>
      </c>
    </row>
    <row r="12" spans="1:20" ht="27.95" customHeight="1">
      <c r="A12" s="424" t="s">
        <v>618</v>
      </c>
      <c r="B12" s="397"/>
      <c r="C12" s="397"/>
      <c r="D12" s="293"/>
      <c r="E12" s="293"/>
      <c r="F12" s="293"/>
      <c r="G12" s="293"/>
      <c r="H12" s="293"/>
      <c r="I12" s="291"/>
      <c r="J12" s="291"/>
      <c r="K12" s="291"/>
      <c r="T12" s="179" t="str">
        <f>"붙임  1. 설계용역 정산 검토내용 및 내역서 1부."</f>
        <v>붙임  1. 설계용역 정산 검토내용 및 내역서 1부.</v>
      </c>
    </row>
    <row r="13" spans="1:20" ht="30.75" customHeight="1" thickBot="1">
      <c r="A13" s="294"/>
      <c r="B13" s="294"/>
      <c r="C13" s="49"/>
      <c r="D13" s="295"/>
      <c r="E13" s="295"/>
      <c r="F13" s="295"/>
      <c r="G13" s="295"/>
      <c r="H13" s="295"/>
      <c r="I13" s="421" t="s">
        <v>619</v>
      </c>
      <c r="J13" s="397"/>
      <c r="K13" s="397"/>
      <c r="T13" s="180" t="str">
        <f>"      2. 설계용역 정산동의서 1부.  끝."</f>
        <v xml:space="preserve">      2. 설계용역 정산동의서 1부.  끝.</v>
      </c>
    </row>
    <row r="14" spans="1:20" ht="45" customHeight="1" thickBot="1">
      <c r="A14" s="399" t="s">
        <v>620</v>
      </c>
      <c r="B14" s="400"/>
      <c r="C14" s="399" t="s">
        <v>621</v>
      </c>
      <c r="D14" s="400"/>
      <c r="E14" s="399" t="s">
        <v>622</v>
      </c>
      <c r="F14" s="400"/>
      <c r="G14" s="415" t="s">
        <v>623</v>
      </c>
      <c r="H14" s="416"/>
      <c r="I14" s="400"/>
      <c r="J14" s="399" t="s">
        <v>624</v>
      </c>
      <c r="K14" s="400"/>
    </row>
    <row r="15" spans="1:20" ht="39" customHeight="1" thickTop="1" thickBot="1">
      <c r="A15" s="406">
        <v>320000000</v>
      </c>
      <c r="B15" s="407"/>
      <c r="C15" s="406">
        <v>273773000</v>
      </c>
      <c r="D15" s="407"/>
      <c r="E15" s="419"/>
      <c r="F15" s="420"/>
      <c r="G15" s="411" t="str">
        <f>"○ 추정공사금액에 미달한 "&amp;TEXT(E16,"#,##0")&amp;"원에 대한 금액 정산 "&amp;TEXT(Q16,"#,##0")&amp;"원(정산금액)"</f>
        <v>○ 추정공사금액에 미달한 46,227,000원에 대한 금액 정산 6,861,900원(정산금액)</v>
      </c>
      <c r="H15" s="412"/>
      <c r="I15" s="407"/>
      <c r="J15" s="418"/>
      <c r="K15" s="363"/>
      <c r="M15" s="429" t="s">
        <v>625</v>
      </c>
      <c r="N15" s="426"/>
      <c r="O15" s="422" t="s">
        <v>626</v>
      </c>
      <c r="P15" s="423"/>
      <c r="Q15" s="431" t="s">
        <v>627</v>
      </c>
      <c r="R15" s="426"/>
    </row>
    <row r="16" spans="1:20" ht="39" customHeight="1" thickBot="1">
      <c r="A16" s="408"/>
      <c r="B16" s="363"/>
      <c r="C16" s="408"/>
      <c r="D16" s="363"/>
      <c r="E16" s="402">
        <f>A15-C15</f>
        <v>46227000</v>
      </c>
      <c r="F16" s="363"/>
      <c r="G16" s="408"/>
      <c r="H16" s="397"/>
      <c r="I16" s="363"/>
      <c r="J16" s="408"/>
      <c r="K16" s="363"/>
      <c r="M16" s="425">
        <f>VLOOKUP($B$1,공사현장대장!$A$5:$T$330,9)</f>
        <v>17415900</v>
      </c>
      <c r="N16" s="426"/>
      <c r="O16" s="427">
        <v>10554000</v>
      </c>
      <c r="P16" s="428"/>
      <c r="Q16" s="430">
        <f>M16-O16</f>
        <v>6861900</v>
      </c>
      <c r="R16" s="426"/>
    </row>
    <row r="17" spans="1:12" ht="39" customHeight="1">
      <c r="A17" s="409"/>
      <c r="B17" s="410"/>
      <c r="C17" s="409"/>
      <c r="D17" s="410"/>
      <c r="E17" s="50"/>
      <c r="F17" s="51"/>
      <c r="G17" s="409"/>
      <c r="H17" s="353"/>
      <c r="I17" s="410"/>
      <c r="J17" s="409"/>
      <c r="K17" s="410"/>
    </row>
    <row r="18" spans="1:12" ht="22.5" customHeight="1">
      <c r="A18" s="296"/>
      <c r="B18" s="296"/>
      <c r="C18" s="296"/>
      <c r="D18" s="296"/>
      <c r="E18" s="296"/>
      <c r="F18" s="296"/>
      <c r="G18" s="296"/>
      <c r="H18" s="296"/>
      <c r="I18" s="296"/>
      <c r="J18" s="296"/>
      <c r="K18" s="296"/>
    </row>
    <row r="19" spans="1:12" ht="22.5" customHeight="1">
      <c r="A19" s="417" t="str">
        <f>YEAR(C8)&amp;"년 "&amp;MONTH(C8)&amp;"월 "&amp;DAY(C8)&amp;"일 강원특별자도인제교육지원청과 계약하여 납품한 위 "&amp;C4&amp;"에 대하여 설계금액이 당초 추정한 기초금액에 미달하여 위와 같이 정산하는 것에 동의합니다."</f>
        <v>2026년 4월 9일 강원특별자도인제교육지원청과 계약하여 납품한 위 홍천농고 공간재구조화 증개축공사 PVC배관 구입에 대하여 설계금액이 당초 추정한 기초금액에 미달하여 위와 같이 정산하는 것에 동의합니다.</v>
      </c>
      <c r="B19" s="397"/>
      <c r="C19" s="397"/>
      <c r="D19" s="397"/>
      <c r="E19" s="397"/>
      <c r="F19" s="397"/>
      <c r="G19" s="397"/>
      <c r="H19" s="397"/>
      <c r="I19" s="397"/>
      <c r="J19" s="397"/>
      <c r="K19" s="397"/>
    </row>
    <row r="20" spans="1:12" ht="22.5" customHeight="1">
      <c r="A20" s="397"/>
      <c r="B20" s="397"/>
      <c r="C20" s="397"/>
      <c r="D20" s="397"/>
      <c r="E20" s="397"/>
      <c r="F20" s="397"/>
      <c r="G20" s="397"/>
      <c r="H20" s="397"/>
      <c r="I20" s="397"/>
      <c r="J20" s="397"/>
      <c r="K20" s="397"/>
    </row>
    <row r="21" spans="1:12" ht="22.5" customHeight="1">
      <c r="A21" s="397"/>
      <c r="B21" s="397"/>
      <c r="C21" s="397"/>
      <c r="D21" s="397"/>
      <c r="E21" s="397"/>
      <c r="F21" s="397"/>
      <c r="G21" s="397"/>
      <c r="H21" s="397"/>
      <c r="I21" s="397"/>
      <c r="J21" s="397"/>
      <c r="K21" s="397"/>
    </row>
    <row r="22" spans="1:12" ht="22.5" customHeight="1">
      <c r="A22" s="291"/>
      <c r="B22" s="291"/>
      <c r="C22" s="291"/>
      <c r="D22" s="291"/>
      <c r="E22" s="291"/>
      <c r="F22" s="291"/>
      <c r="G22" s="291"/>
      <c r="H22" s="291"/>
      <c r="I22" s="291"/>
      <c r="J22" s="291"/>
      <c r="K22" s="291"/>
    </row>
    <row r="23" spans="1:12" ht="22.5" customHeight="1">
      <c r="A23" s="292"/>
      <c r="B23" s="291"/>
      <c r="C23" s="291"/>
      <c r="D23" s="291"/>
      <c r="E23" s="291"/>
      <c r="F23" s="413">
        <f ca="1">TODAY()</f>
        <v>46195</v>
      </c>
      <c r="G23" s="397"/>
      <c r="H23" s="397"/>
      <c r="I23" s="291"/>
      <c r="J23" s="291"/>
      <c r="K23" s="291"/>
    </row>
    <row r="24" spans="1:12" ht="22.5" customHeight="1">
      <c r="A24" s="292"/>
      <c r="B24" s="291"/>
      <c r="C24" s="291"/>
      <c r="D24" s="291"/>
      <c r="E24" s="291"/>
      <c r="F24" s="297"/>
      <c r="G24" s="297"/>
      <c r="H24" s="297"/>
      <c r="I24" s="291"/>
      <c r="J24" s="291"/>
      <c r="K24" s="291"/>
    </row>
    <row r="25" spans="1:12" ht="22.5" customHeight="1">
      <c r="A25" s="291"/>
      <c r="B25" s="291"/>
      <c r="C25" s="291"/>
      <c r="D25" s="291"/>
      <c r="E25" s="291"/>
      <c r="F25" s="291"/>
      <c r="G25" s="404">
        <f>VLOOKUP($B$1,공사현장대장!$A$5:$T$330,18)</f>
        <v>0</v>
      </c>
      <c r="H25" s="397"/>
      <c r="I25" s="397"/>
      <c r="J25" s="397"/>
      <c r="K25" s="397"/>
    </row>
    <row r="26" spans="1:12" ht="22.5" customHeight="1">
      <c r="A26" s="291"/>
      <c r="B26" s="291"/>
      <c r="C26" s="291"/>
      <c r="D26" s="291"/>
      <c r="E26" s="291"/>
      <c r="F26" s="291"/>
      <c r="G26" s="401" t="str">
        <f>VLOOKUP($B$1,공사현장대장!$A$5:$T$330,16)</f>
        <v>(주)뉴보텍</v>
      </c>
      <c r="H26" s="397"/>
      <c r="I26" s="397"/>
      <c r="J26" s="397"/>
      <c r="K26" s="397"/>
    </row>
    <row r="27" spans="1:12" ht="22.5" customHeight="1">
      <c r="A27" s="291"/>
      <c r="B27" s="291"/>
      <c r="C27" s="291"/>
      <c r="D27" s="291"/>
      <c r="E27" s="291"/>
      <c r="F27" s="291"/>
      <c r="G27" s="295" t="s">
        <v>628</v>
      </c>
      <c r="H27" s="295" t="str">
        <f>VLOOKUP($B$1,공사현장대장!$A$5:$T$330,17)</f>
        <v>황문기</v>
      </c>
      <c r="I27" s="52"/>
      <c r="J27" s="295" t="s">
        <v>605</v>
      </c>
      <c r="K27" s="295"/>
    </row>
    <row r="28" spans="1:12" ht="22.5" customHeight="1">
      <c r="A28" s="291"/>
      <c r="B28" s="291"/>
      <c r="C28" s="291"/>
      <c r="D28" s="291"/>
      <c r="E28" s="291"/>
      <c r="F28" s="291"/>
      <c r="G28" s="291"/>
      <c r="H28" s="291"/>
      <c r="I28" s="291"/>
      <c r="J28" s="291"/>
      <c r="K28" s="291"/>
    </row>
    <row r="29" spans="1:12" ht="22.5" customHeight="1">
      <c r="A29" s="291"/>
      <c r="B29" s="291"/>
      <c r="C29" s="291"/>
      <c r="D29" s="291"/>
      <c r="E29" s="291"/>
      <c r="F29" s="291"/>
      <c r="G29" s="291"/>
      <c r="H29" s="291"/>
      <c r="I29" s="291"/>
      <c r="J29" s="291"/>
      <c r="K29" s="291"/>
    </row>
    <row r="30" spans="1:12" ht="19.5" customHeight="1">
      <c r="A30" s="75" t="str">
        <f>"강원특별자치도"&amp;설정탭!B6&amp;"교육지원청교육장 귀하"</f>
        <v>강원특별자치도강원특별자치도홍천교육지원청교육장 귀하</v>
      </c>
      <c r="B30" s="75"/>
      <c r="C30" s="75"/>
      <c r="D30" s="75"/>
      <c r="E30" s="75"/>
      <c r="F30" s="75"/>
      <c r="G30" s="75"/>
      <c r="H30" s="75"/>
      <c r="I30" s="75"/>
      <c r="J30" s="75"/>
      <c r="K30" s="75"/>
      <c r="L30" s="75"/>
    </row>
  </sheetData>
  <mergeCells count="38">
    <mergeCell ref="Q16:R16"/>
    <mergeCell ref="C10:H10"/>
    <mergeCell ref="A15:B17"/>
    <mergeCell ref="J14:K14"/>
    <mergeCell ref="A11:B11"/>
    <mergeCell ref="Q15:R15"/>
    <mergeCell ref="A19:K21"/>
    <mergeCell ref="C9:H9"/>
    <mergeCell ref="O15:P15"/>
    <mergeCell ref="C14:D14"/>
    <mergeCell ref="C7:I7"/>
    <mergeCell ref="E14:F14"/>
    <mergeCell ref="A12:C12"/>
    <mergeCell ref="M16:N16"/>
    <mergeCell ref="O16:P16"/>
    <mergeCell ref="M15:N15"/>
    <mergeCell ref="G14:I14"/>
    <mergeCell ref="C8:H8"/>
    <mergeCell ref="C6:I6"/>
    <mergeCell ref="J15:K17"/>
    <mergeCell ref="E15:F15"/>
    <mergeCell ref="I13:K13"/>
    <mergeCell ref="A5:B5"/>
    <mergeCell ref="A2:K2"/>
    <mergeCell ref="A14:B14"/>
    <mergeCell ref="A8:B8"/>
    <mergeCell ref="G26:K26"/>
    <mergeCell ref="A4:B4"/>
    <mergeCell ref="E16:F16"/>
    <mergeCell ref="C5:H5"/>
    <mergeCell ref="A10:B10"/>
    <mergeCell ref="G25:K25"/>
    <mergeCell ref="A9:B9"/>
    <mergeCell ref="C4:J4"/>
    <mergeCell ref="C15:D17"/>
    <mergeCell ref="G15:I17"/>
    <mergeCell ref="F23:H23"/>
    <mergeCell ref="C11:H11"/>
  </mergeCells>
  <phoneticPr fontId="3" type="noConversion"/>
  <printOptions horizontalCentered="1" verticalCentered="1"/>
  <pageMargins left="0.70866141732283472" right="0.70866141732283472" top="0.74803149606299213" bottom="0.74803149606299213" header="0.31496062992125978" footer="0.31496062992125978"/>
  <pageSetup paperSize="9" scale="91"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돌아가기">
                <anchor moveWithCells="1" sizeWithCells="1">
                  <from>
                    <xdr:col>6</xdr:col>
                    <xdr:colOff>581025</xdr:colOff>
                    <xdr:row>0</xdr:row>
                    <xdr:rowOff>38100</xdr:rowOff>
                  </from>
                  <to>
                    <xdr:col>10</xdr:col>
                    <xdr:colOff>180975</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
  <sheetViews>
    <sheetView workbookViewId="0">
      <selection activeCell="A3" sqref="A3:L3"/>
    </sheetView>
  </sheetViews>
  <sheetFormatPr defaultRowHeight="16.5"/>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
  <sheetViews>
    <sheetView workbookViewId="0">
      <selection activeCell="A3" sqref="A3:L3"/>
    </sheetView>
  </sheetViews>
  <sheetFormatPr defaultRowHeight="16.5"/>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F3003"/>
  <sheetViews>
    <sheetView showZeros="0" view="pageBreakPreview" zoomScaleNormal="100" zoomScaleSheetLayoutView="100" workbookViewId="0">
      <selection activeCell="L15" sqref="L15"/>
    </sheetView>
  </sheetViews>
  <sheetFormatPr defaultColWidth="10" defaultRowHeight="14.25" customHeight="1"/>
  <cols>
    <col min="1" max="1" width="15.625" style="192" customWidth="1"/>
    <col min="2" max="3" width="8.625" style="192" customWidth="1"/>
    <col min="4" max="4" width="10.625" style="192" customWidth="1"/>
    <col min="5" max="5" width="8.625" style="192" customWidth="1"/>
    <col min="6" max="6" width="7.625" style="192" customWidth="1"/>
    <col min="7" max="7" width="6.375" style="192" customWidth="1"/>
    <col min="8" max="8" width="2.625" style="192" customWidth="1"/>
    <col min="9" max="9" width="10.625" style="192" customWidth="1"/>
    <col min="10" max="10" width="7.625" style="192" customWidth="1"/>
    <col min="11" max="13" width="17.25" style="192" bestFit="1" customWidth="1"/>
    <col min="14" max="16" width="9" style="192" customWidth="1"/>
    <col min="17" max="48" width="10" style="192" customWidth="1"/>
    <col min="49" max="16384" width="10" style="192"/>
  </cols>
  <sheetData>
    <row r="1" spans="1:32" ht="45" customHeight="1">
      <c r="B1" s="192">
        <v>8</v>
      </c>
    </row>
    <row r="2" spans="1:32" ht="16.5" customHeight="1">
      <c r="A2" s="192" t="s">
        <v>589</v>
      </c>
    </row>
    <row r="3" spans="1:32" ht="47.25" customHeight="1">
      <c r="A3" s="354" t="s">
        <v>629</v>
      </c>
      <c r="B3" s="353"/>
      <c r="C3" s="353"/>
      <c r="D3" s="353"/>
      <c r="E3" s="353"/>
      <c r="F3" s="353"/>
      <c r="G3" s="353"/>
      <c r="H3" s="353"/>
      <c r="I3" s="353"/>
      <c r="J3" s="353"/>
      <c r="K3" s="173"/>
      <c r="L3" s="174"/>
    </row>
    <row r="4" spans="1:32" s="247" customFormat="1" ht="36" customHeight="1">
      <c r="A4" s="259" t="s">
        <v>591</v>
      </c>
      <c r="B4" s="392" t="str">
        <f>VLOOKUP($B$1,공사현장대장!$A$5:$T$330,4)</f>
        <v>홍천농고 공간재구조화 증개축공사 레미콘 구입</v>
      </c>
      <c r="C4" s="393"/>
      <c r="D4" s="393"/>
      <c r="E4" s="393"/>
      <c r="F4" s="393"/>
      <c r="G4" s="393"/>
      <c r="H4" s="393"/>
      <c r="I4" s="393"/>
      <c r="J4" s="394"/>
      <c r="L4" s="182"/>
      <c r="M4" s="192"/>
      <c r="N4" s="192"/>
      <c r="Y4" s="192"/>
      <c r="AF4" s="192"/>
    </row>
    <row r="5" spans="1:32" s="247" customFormat="1" ht="18" customHeight="1">
      <c r="A5" s="388" t="s">
        <v>482</v>
      </c>
      <c r="B5" s="389" t="str">
        <f>VLOOKUP($B$1,공사현장대장!$A$5:$T$330,16)&amp;"  대표: "&amp;VLOOKUP($B$1,공사현장대장!$A$5:$T$330,17)</f>
        <v>강원북부레미콘사업협동조합  대표: 이충선</v>
      </c>
      <c r="C5" s="356"/>
      <c r="D5" s="356"/>
      <c r="E5" s="356"/>
      <c r="F5" s="356"/>
      <c r="G5" s="356"/>
      <c r="H5" s="356"/>
      <c r="I5" s="356"/>
      <c r="J5" s="357"/>
      <c r="M5" s="192"/>
      <c r="N5" s="192"/>
      <c r="Y5" s="192"/>
      <c r="AF5" s="192"/>
    </row>
    <row r="6" spans="1:32" s="247" customFormat="1" ht="18" customHeight="1">
      <c r="A6" s="333"/>
      <c r="B6" s="434">
        <f>VLOOKUP($B$1,공사현장대장!$A$5:$T$330,18)</f>
        <v>0</v>
      </c>
      <c r="C6" s="380"/>
      <c r="D6" s="380"/>
      <c r="E6" s="380"/>
      <c r="F6" s="380"/>
      <c r="G6" s="380"/>
      <c r="H6" s="380"/>
      <c r="I6" s="380"/>
      <c r="J6" s="387"/>
      <c r="M6" s="192"/>
      <c r="N6" s="192"/>
      <c r="Y6" s="192"/>
      <c r="AF6" s="192"/>
    </row>
    <row r="7" spans="1:32" s="247" customFormat="1" ht="18" customHeight="1">
      <c r="A7" s="382" t="s">
        <v>13</v>
      </c>
      <c r="B7" s="395" t="str">
        <f>"금"&amp;TEXT(VLOOKUP($B$1,공사현장대장!$A$5:$T$330,9),"#,###")&amp;"원"</f>
        <v>금729,683,760원</v>
      </c>
      <c r="C7" s="356"/>
      <c r="D7" s="384"/>
      <c r="E7" s="383" t="s">
        <v>592</v>
      </c>
      <c r="F7" s="384"/>
      <c r="G7" s="391" t="str">
        <f>B7</f>
        <v>금729,683,760원</v>
      </c>
      <c r="H7" s="356"/>
      <c r="I7" s="356"/>
      <c r="J7" s="357"/>
      <c r="L7" s="9"/>
      <c r="M7" s="9"/>
      <c r="N7" s="192"/>
      <c r="Y7" s="192"/>
      <c r="AF7" s="192"/>
    </row>
    <row r="8" spans="1:32" s="247" customFormat="1" ht="18" customHeight="1">
      <c r="A8" s="333"/>
      <c r="B8" s="379" t="str">
        <f>"(금"&amp;TEXT(VLOOKUP($B$1,공사현장대장!$A$5:$T$330,9),"[dbnum4]")&amp;"원)"</f>
        <v>(금칠억이천구백육십팔만삼천칠백육십원)</v>
      </c>
      <c r="C8" s="380"/>
      <c r="D8" s="381"/>
      <c r="E8" s="385"/>
      <c r="F8" s="381"/>
      <c r="G8" s="435" t="str">
        <f>B8</f>
        <v>(금칠억이천구백육십팔만삼천칠백육십원)</v>
      </c>
      <c r="H8" s="380"/>
      <c r="I8" s="380"/>
      <c r="J8" s="387"/>
      <c r="L8" s="287"/>
      <c r="M8" s="287"/>
      <c r="N8" s="192"/>
      <c r="Y8" s="192"/>
      <c r="AF8" s="192"/>
    </row>
    <row r="9" spans="1:32" s="247" customFormat="1" ht="36" customHeight="1" thickBot="1">
      <c r="A9" s="139" t="s">
        <v>594</v>
      </c>
      <c r="B9" s="439" t="str">
        <f>TEXT(VLOOKUP($B$1,공사현장대장!$A$5:$T$330,10),"yyyy년 mm월 dd일")</f>
        <v>2024년 09월 03일</v>
      </c>
      <c r="C9" s="365"/>
      <c r="D9" s="366"/>
      <c r="E9" s="442" t="s">
        <v>630</v>
      </c>
      <c r="F9" s="366"/>
      <c r="G9" s="367" t="str">
        <f>TEXT(VLOOKUP($B$1,공사현장대장!$A$5:$T$330,11),"yyyy년 mm월 dd일")</f>
        <v>2024년 09월 03일</v>
      </c>
      <c r="H9" s="365"/>
      <c r="I9" s="365"/>
      <c r="J9" s="368"/>
      <c r="N9" s="192"/>
      <c r="Y9" s="192"/>
      <c r="AF9" s="192"/>
    </row>
    <row r="10" spans="1:32" s="247" customFormat="1" ht="36" customHeight="1" thickBot="1">
      <c r="A10" s="140" t="s">
        <v>631</v>
      </c>
      <c r="B10" s="439" t="str">
        <f>TEXT(VLOOKUP($B$1,공사현장대장!$A$5:$T$330,13),"yyyy년 mm월 dd일")</f>
        <v>2025년 03월 10일</v>
      </c>
      <c r="C10" s="365"/>
      <c r="D10" s="366"/>
      <c r="E10" s="440" t="s">
        <v>632</v>
      </c>
      <c r="F10" s="366"/>
      <c r="G10" s="367">
        <f>VLOOKUP($B$1,공사현장대장!$A$5:$T$330,14)</f>
        <v>0</v>
      </c>
      <c r="H10" s="365"/>
      <c r="I10" s="365"/>
      <c r="J10" s="368"/>
      <c r="L10" s="19" t="s">
        <v>598</v>
      </c>
      <c r="N10" s="192"/>
      <c r="R10" s="247" t="s">
        <v>599</v>
      </c>
      <c r="Y10" s="192"/>
      <c r="AF10" s="192"/>
    </row>
    <row r="11" spans="1:32" s="247" customFormat="1" ht="36" customHeight="1">
      <c r="A11" s="141" t="s">
        <v>633</v>
      </c>
      <c r="B11" s="439">
        <f>VLOOKUP($B$1,공사현장대장!$A$5:$T$330,15)</f>
        <v>0</v>
      </c>
      <c r="C11" s="365"/>
      <c r="D11" s="366"/>
      <c r="E11" s="436" t="s">
        <v>601</v>
      </c>
      <c r="F11" s="366"/>
      <c r="G11" s="371"/>
      <c r="H11" s="365"/>
      <c r="I11" s="365"/>
      <c r="J11" s="368"/>
      <c r="L11" s="247">
        <v>2</v>
      </c>
      <c r="N11" s="192"/>
      <c r="R11" s="247" t="s">
        <v>602</v>
      </c>
      <c r="Y11" s="192"/>
      <c r="AF11" s="192"/>
    </row>
    <row r="12" spans="1:32" s="247" customFormat="1" ht="26.25" customHeight="1">
      <c r="A12" s="355"/>
      <c r="B12" s="356"/>
      <c r="C12" s="356"/>
      <c r="D12" s="356"/>
      <c r="E12" s="356"/>
      <c r="F12" s="356"/>
      <c r="G12" s="356"/>
      <c r="H12" s="356"/>
      <c r="I12" s="356"/>
      <c r="J12" s="357"/>
      <c r="M12" s="192"/>
      <c r="N12" s="192"/>
    </row>
    <row r="13" spans="1:32" s="247" customFormat="1" ht="39" customHeight="1">
      <c r="A13" s="438" t="s">
        <v>634</v>
      </c>
      <c r="B13" s="359"/>
      <c r="C13" s="359"/>
      <c r="D13" s="359"/>
      <c r="E13" s="359"/>
      <c r="F13" s="359"/>
      <c r="G13" s="359"/>
      <c r="H13" s="359"/>
      <c r="I13" s="359"/>
      <c r="J13" s="363"/>
      <c r="M13" s="192"/>
      <c r="N13" s="192"/>
    </row>
    <row r="14" spans="1:32" s="247" customFormat="1" ht="10.5" customHeight="1">
      <c r="A14" s="443"/>
      <c r="B14" s="359"/>
      <c r="C14" s="359"/>
      <c r="D14" s="359"/>
      <c r="E14" s="359"/>
      <c r="F14" s="359"/>
      <c r="G14" s="359"/>
      <c r="H14" s="359"/>
      <c r="I14" s="359"/>
      <c r="J14" s="363"/>
      <c r="L14" s="20"/>
      <c r="M14" s="288"/>
      <c r="N14" s="192"/>
    </row>
    <row r="15" spans="1:32" s="247" customFormat="1" ht="41.25" customHeight="1">
      <c r="A15" s="441">
        <f>VLOOKUP($B$1,공사현장대장!$A$5:$T$330,15)</f>
        <v>0</v>
      </c>
      <c r="B15" s="359"/>
      <c r="C15" s="359"/>
      <c r="D15" s="359"/>
      <c r="E15" s="359"/>
      <c r="F15" s="359"/>
      <c r="G15" s="359"/>
      <c r="H15" s="359"/>
      <c r="I15" s="359"/>
      <c r="J15" s="363"/>
      <c r="M15" s="289"/>
      <c r="N15" s="192"/>
      <c r="Y15" s="192"/>
      <c r="AF15" s="192"/>
    </row>
    <row r="16" spans="1:32" s="247" customFormat="1" ht="21.75" customHeight="1">
      <c r="A16" s="433"/>
      <c r="B16" s="359"/>
      <c r="C16" s="359"/>
      <c r="D16" s="359"/>
      <c r="E16" s="359"/>
      <c r="F16" s="359"/>
      <c r="G16" s="359"/>
      <c r="H16" s="359"/>
      <c r="I16" s="359"/>
      <c r="J16" s="363"/>
      <c r="M16" s="192"/>
      <c r="N16" s="192"/>
      <c r="Y16" s="192"/>
      <c r="AF16" s="192"/>
    </row>
    <row r="17" spans="1:32" s="247" customFormat="1" ht="106.5" customHeight="1">
      <c r="A17" s="433"/>
      <c r="B17" s="359"/>
      <c r="C17" s="359"/>
      <c r="D17" s="359"/>
      <c r="E17" s="359"/>
      <c r="F17" s="359"/>
      <c r="G17" s="359"/>
      <c r="H17" s="359"/>
      <c r="I17" s="359"/>
      <c r="J17" s="363"/>
      <c r="M17" s="192"/>
      <c r="N17" s="192"/>
      <c r="Y17" s="192"/>
      <c r="AF17" s="192"/>
    </row>
    <row r="18" spans="1:32" s="247" customFormat="1" ht="9.9499999999999993" customHeight="1">
      <c r="A18" s="433"/>
      <c r="B18" s="359"/>
      <c r="C18" s="359"/>
      <c r="D18" s="359"/>
      <c r="E18" s="359"/>
      <c r="F18" s="359"/>
      <c r="G18" s="359"/>
      <c r="H18" s="359"/>
      <c r="I18" s="359"/>
      <c r="J18" s="363"/>
      <c r="M18" s="192"/>
      <c r="N18" s="192"/>
      <c r="Y18" s="192"/>
      <c r="AF18" s="192"/>
    </row>
    <row r="19" spans="1:32" s="247" customFormat="1" ht="9.9499999999999993" customHeight="1">
      <c r="A19" s="142"/>
      <c r="B19" s="146"/>
      <c r="C19" s="146"/>
      <c r="D19" s="146"/>
      <c r="E19" s="146"/>
      <c r="F19" s="146"/>
      <c r="G19" s="146"/>
      <c r="H19" s="146"/>
      <c r="I19" s="146"/>
      <c r="J19" s="143"/>
      <c r="M19" s="192"/>
      <c r="N19" s="192"/>
      <c r="Y19" s="192"/>
      <c r="AF19" s="192"/>
    </row>
    <row r="20" spans="1:32" s="247" customFormat="1" ht="24.95" customHeight="1">
      <c r="A20" s="144" t="s">
        <v>635</v>
      </c>
      <c r="B20" s="437" t="str">
        <f>설정탭!B6&amp;"교육지원청"</f>
        <v>강원특별자치도홍천교육지원청</v>
      </c>
      <c r="C20" s="359"/>
      <c r="D20" s="359"/>
      <c r="E20" s="359"/>
      <c r="F20" s="432" t="str">
        <f>설정탭!B7</f>
        <v>지방시설주사</v>
      </c>
      <c r="G20" s="359"/>
      <c r="H20" s="359"/>
      <c r="I20" s="145" t="str">
        <f>설정탭!C7</f>
        <v>김종인</v>
      </c>
      <c r="J20" s="152" t="s">
        <v>605</v>
      </c>
      <c r="M20" s="192"/>
      <c r="N20" s="192"/>
      <c r="Y20" s="192"/>
      <c r="AF20" s="192"/>
    </row>
    <row r="21" spans="1:32" s="247" customFormat="1" ht="24.95" customHeight="1">
      <c r="A21" s="142"/>
      <c r="B21" s="146"/>
      <c r="C21" s="145"/>
      <c r="D21" s="146"/>
      <c r="E21" s="146"/>
      <c r="F21" s="432" t="str">
        <f>설정탭!B8</f>
        <v>지방시설주사보</v>
      </c>
      <c r="G21" s="359"/>
      <c r="H21" s="359"/>
      <c r="I21" s="145" t="str">
        <f>설정탭!C8</f>
        <v>한상우</v>
      </c>
      <c r="J21" s="152" t="s">
        <v>605</v>
      </c>
      <c r="M21" s="192"/>
      <c r="N21" s="192"/>
      <c r="Y21" s="192"/>
      <c r="AF21" s="192"/>
    </row>
    <row r="22" spans="1:32" s="247" customFormat="1" ht="24.95" customHeight="1">
      <c r="A22" s="142"/>
      <c r="B22" s="146"/>
      <c r="C22" s="145"/>
      <c r="D22" s="146"/>
      <c r="E22" s="146"/>
      <c r="F22" s="146"/>
      <c r="G22" s="146"/>
      <c r="H22" s="146"/>
      <c r="I22" s="146"/>
      <c r="J22" s="152"/>
      <c r="M22" s="192"/>
      <c r="N22" s="192"/>
      <c r="Y22" s="192"/>
      <c r="AF22" s="192"/>
    </row>
    <row r="23" spans="1:32" s="247" customFormat="1" ht="24.75" hidden="1" customHeight="1">
      <c r="A23" s="102" t="s">
        <v>606</v>
      </c>
      <c r="B23" s="360" t="str">
        <f>VLOOKUP($B$1,공사현장대장!$A$5:$T$173,2)</f>
        <v>홍천농고</v>
      </c>
      <c r="C23" s="359"/>
      <c r="D23" s="359"/>
      <c r="E23" s="359"/>
      <c r="F23" s="372"/>
      <c r="G23" s="359"/>
      <c r="H23" s="136"/>
      <c r="I23" s="136"/>
      <c r="J23" s="151" t="s">
        <v>605</v>
      </c>
      <c r="M23" s="192"/>
      <c r="N23" s="192"/>
      <c r="Y23" s="192"/>
      <c r="AF23" s="192"/>
    </row>
    <row r="24" spans="1:32" s="247" customFormat="1" ht="24.75" hidden="1" customHeight="1">
      <c r="A24" s="102"/>
      <c r="B24" s="360"/>
      <c r="C24" s="359"/>
      <c r="D24" s="359"/>
      <c r="E24" s="359"/>
      <c r="F24" s="251"/>
      <c r="G24" s="251"/>
      <c r="H24" s="136"/>
      <c r="I24" s="136"/>
      <c r="J24" s="131"/>
      <c r="M24" s="192"/>
      <c r="N24" s="192"/>
      <c r="Y24" s="192"/>
      <c r="AF24" s="192"/>
    </row>
    <row r="25" spans="1:32" s="247" customFormat="1" ht="38.25" customHeight="1">
      <c r="A25" s="100"/>
      <c r="B25" s="117">
        <v>0</v>
      </c>
      <c r="C25" s="249"/>
      <c r="D25" s="136"/>
      <c r="E25" s="117"/>
      <c r="F25" s="117"/>
      <c r="G25" s="136"/>
      <c r="H25" s="136"/>
      <c r="I25" s="136"/>
      <c r="J25" s="104"/>
      <c r="M25" s="192"/>
      <c r="N25" s="192"/>
      <c r="Y25" s="192"/>
      <c r="AF25" s="192"/>
    </row>
    <row r="26" spans="1:32" s="247" customFormat="1" ht="25.5" customHeight="1">
      <c r="A26" s="138" t="s">
        <v>636</v>
      </c>
      <c r="B26" s="106"/>
      <c r="C26" s="107"/>
      <c r="D26" s="108"/>
      <c r="E26" s="106"/>
      <c r="F26" s="106"/>
      <c r="G26" s="108"/>
      <c r="H26" s="108"/>
      <c r="I26" s="108"/>
      <c r="J26" s="109"/>
      <c r="M26" s="192"/>
      <c r="N26" s="192"/>
      <c r="Y26" s="192"/>
      <c r="AF26" s="192"/>
    </row>
    <row r="27" spans="1:32" ht="14.25" customHeight="1">
      <c r="A27" s="98"/>
      <c r="B27" s="98"/>
      <c r="C27" s="98"/>
      <c r="D27" s="98"/>
      <c r="E27" s="98"/>
      <c r="F27" s="98"/>
      <c r="G27" s="98"/>
      <c r="H27" s="98"/>
      <c r="I27" s="98"/>
      <c r="J27" s="98"/>
      <c r="Q27" s="247"/>
    </row>
    <row r="254" spans="14:14" ht="14.25" customHeight="1">
      <c r="N254" s="192">
        <v>0</v>
      </c>
    </row>
    <row r="255" spans="14:14" ht="14.25" customHeight="1">
      <c r="N255" s="192">
        <v>0</v>
      </c>
    </row>
    <row r="256" spans="14:14" ht="14.25" customHeight="1">
      <c r="N256" s="192">
        <v>0</v>
      </c>
    </row>
    <row r="257" spans="14:14" ht="14.25" customHeight="1">
      <c r="N257" s="192">
        <v>0</v>
      </c>
    </row>
    <row r="258" spans="14:14" ht="14.25" customHeight="1">
      <c r="N258" s="192">
        <v>0</v>
      </c>
    </row>
    <row r="259" spans="14:14" ht="14.25" customHeight="1">
      <c r="N259" s="192">
        <v>0</v>
      </c>
    </row>
    <row r="260" spans="14:14" ht="14.25" customHeight="1">
      <c r="N260" s="192">
        <v>0</v>
      </c>
    </row>
    <row r="261" spans="14:14" ht="14.25" customHeight="1">
      <c r="N261" s="192">
        <v>0</v>
      </c>
    </row>
    <row r="262" spans="14:14" ht="14.25" customHeight="1">
      <c r="N262" s="192">
        <v>0</v>
      </c>
    </row>
    <row r="263" spans="14:14" ht="14.25" customHeight="1">
      <c r="N263" s="192">
        <v>0</v>
      </c>
    </row>
    <row r="264" spans="14:14" ht="14.25" customHeight="1">
      <c r="N264" s="192">
        <v>0</v>
      </c>
    </row>
    <row r="265" spans="14:14" ht="14.25" customHeight="1">
      <c r="N265" s="192">
        <v>0</v>
      </c>
    </row>
    <row r="266" spans="14:14" ht="14.25" customHeight="1">
      <c r="N266" s="192">
        <v>0</v>
      </c>
    </row>
    <row r="267" spans="14:14" ht="14.25" customHeight="1">
      <c r="N267" s="192">
        <v>0</v>
      </c>
    </row>
    <row r="268" spans="14:14" ht="14.25" customHeight="1">
      <c r="N268" s="192">
        <v>0</v>
      </c>
    </row>
    <row r="269" spans="14:14" ht="14.25" customHeight="1">
      <c r="N269" s="192">
        <v>0</v>
      </c>
    </row>
    <row r="270" spans="14:14" ht="14.25" customHeight="1">
      <c r="N270" s="192">
        <v>0</v>
      </c>
    </row>
    <row r="271" spans="14:14" ht="14.25" customHeight="1">
      <c r="N271" s="192">
        <v>0</v>
      </c>
    </row>
    <row r="272" spans="14:14" ht="14.25" customHeight="1">
      <c r="N272" s="192">
        <v>0</v>
      </c>
    </row>
    <row r="273" spans="14:14" ht="14.25" customHeight="1">
      <c r="N273" s="192">
        <v>0</v>
      </c>
    </row>
    <row r="274" spans="14:14" ht="14.25" customHeight="1">
      <c r="N274" s="192">
        <v>0</v>
      </c>
    </row>
    <row r="275" spans="14:14" ht="14.25" customHeight="1">
      <c r="N275" s="192">
        <v>0</v>
      </c>
    </row>
    <row r="276" spans="14:14" ht="14.25" customHeight="1">
      <c r="N276" s="192">
        <v>0</v>
      </c>
    </row>
    <row r="277" spans="14:14" ht="14.25" customHeight="1">
      <c r="N277" s="192">
        <v>0</v>
      </c>
    </row>
    <row r="278" spans="14:14" ht="14.25" customHeight="1">
      <c r="N278" s="192">
        <v>0</v>
      </c>
    </row>
    <row r="279" spans="14:14" ht="14.25" customHeight="1">
      <c r="N279" s="192">
        <v>0</v>
      </c>
    </row>
    <row r="280" spans="14:14" ht="14.25" customHeight="1">
      <c r="N280" s="192">
        <v>0</v>
      </c>
    </row>
    <row r="281" spans="14:14" ht="14.25" customHeight="1">
      <c r="N281" s="192">
        <v>0</v>
      </c>
    </row>
    <row r="282" spans="14:14" ht="14.25" customHeight="1">
      <c r="N282" s="192">
        <v>0</v>
      </c>
    </row>
    <row r="283" spans="14:14" ht="14.25" customHeight="1">
      <c r="N283" s="192">
        <v>0</v>
      </c>
    </row>
    <row r="284" spans="14:14" ht="14.25" customHeight="1">
      <c r="N284" s="192">
        <v>0</v>
      </c>
    </row>
    <row r="285" spans="14:14" ht="14.25" customHeight="1">
      <c r="N285" s="192">
        <v>0</v>
      </c>
    </row>
    <row r="286" spans="14:14" ht="14.25" customHeight="1">
      <c r="N286" s="192">
        <v>0</v>
      </c>
    </row>
    <row r="287" spans="14:14" ht="14.25" customHeight="1">
      <c r="N287" s="192">
        <v>0</v>
      </c>
    </row>
    <row r="288" spans="14:14" ht="14.25" customHeight="1">
      <c r="N288" s="192">
        <v>0</v>
      </c>
    </row>
    <row r="289" spans="14:14" ht="14.25" customHeight="1">
      <c r="N289" s="192">
        <v>0</v>
      </c>
    </row>
    <row r="290" spans="14:14" ht="14.25" customHeight="1">
      <c r="N290" s="192">
        <v>0</v>
      </c>
    </row>
    <row r="291" spans="14:14" ht="14.25" customHeight="1">
      <c r="N291" s="192">
        <v>0</v>
      </c>
    </row>
    <row r="292" spans="14:14" ht="14.25" customHeight="1">
      <c r="N292" s="192">
        <v>0</v>
      </c>
    </row>
    <row r="293" spans="14:14" ht="14.25" customHeight="1">
      <c r="N293" s="192">
        <v>0</v>
      </c>
    </row>
    <row r="294" spans="14:14" ht="14.25" customHeight="1">
      <c r="N294" s="192">
        <v>0</v>
      </c>
    </row>
    <row r="295" spans="14:14" ht="14.25" customHeight="1">
      <c r="N295" s="192">
        <v>0</v>
      </c>
    </row>
    <row r="296" spans="14:14" ht="14.25" customHeight="1">
      <c r="N296" s="192">
        <v>0</v>
      </c>
    </row>
    <row r="297" spans="14:14" ht="14.25" customHeight="1">
      <c r="N297" s="192">
        <v>0</v>
      </c>
    </row>
    <row r="298" spans="14:14" ht="14.25" customHeight="1">
      <c r="N298" s="192">
        <v>0</v>
      </c>
    </row>
    <row r="299" spans="14:14" ht="14.25" customHeight="1">
      <c r="N299" s="192">
        <v>0</v>
      </c>
    </row>
    <row r="300" spans="14:14" ht="14.25" customHeight="1">
      <c r="N300" s="192">
        <v>0</v>
      </c>
    </row>
    <row r="301" spans="14:14" ht="14.25" customHeight="1">
      <c r="N301" s="192">
        <v>0</v>
      </c>
    </row>
    <row r="302" spans="14:14" ht="14.25" customHeight="1">
      <c r="N302" s="192">
        <v>0</v>
      </c>
    </row>
    <row r="303" spans="14:14" ht="14.25" customHeight="1">
      <c r="N303" s="192">
        <v>0</v>
      </c>
    </row>
    <row r="304" spans="14:14" ht="14.25" customHeight="1">
      <c r="N304" s="192">
        <v>0</v>
      </c>
    </row>
    <row r="305" spans="14:14" ht="14.25" customHeight="1">
      <c r="N305" s="192">
        <v>0</v>
      </c>
    </row>
    <row r="306" spans="14:14" ht="14.25" customHeight="1">
      <c r="N306" s="192">
        <v>0</v>
      </c>
    </row>
    <row r="307" spans="14:14" ht="14.25" customHeight="1">
      <c r="N307" s="192">
        <v>0</v>
      </c>
    </row>
    <row r="308" spans="14:14" ht="14.25" customHeight="1">
      <c r="N308" s="192">
        <v>0</v>
      </c>
    </row>
    <row r="309" spans="14:14" ht="14.25" customHeight="1">
      <c r="N309" s="192">
        <v>0</v>
      </c>
    </row>
    <row r="310" spans="14:14" ht="14.25" customHeight="1">
      <c r="N310" s="192">
        <v>0</v>
      </c>
    </row>
    <row r="311" spans="14:14" ht="14.25" customHeight="1">
      <c r="N311" s="192">
        <v>0</v>
      </c>
    </row>
    <row r="312" spans="14:14" ht="14.25" customHeight="1">
      <c r="N312" s="192">
        <v>0</v>
      </c>
    </row>
    <row r="313" spans="14:14" ht="14.25" customHeight="1">
      <c r="N313" s="192">
        <v>0</v>
      </c>
    </row>
    <row r="314" spans="14:14" ht="14.25" customHeight="1">
      <c r="N314" s="192">
        <v>0</v>
      </c>
    </row>
    <row r="315" spans="14:14" ht="14.25" customHeight="1">
      <c r="N315" s="192">
        <v>0</v>
      </c>
    </row>
    <row r="316" spans="14:14" ht="14.25" customHeight="1">
      <c r="N316" s="192">
        <v>0</v>
      </c>
    </row>
    <row r="317" spans="14:14" ht="14.25" customHeight="1">
      <c r="N317" s="192">
        <v>0</v>
      </c>
    </row>
    <row r="318" spans="14:14" ht="14.25" customHeight="1">
      <c r="N318" s="192">
        <v>0</v>
      </c>
    </row>
    <row r="319" spans="14:14" ht="14.25" customHeight="1">
      <c r="N319" s="192">
        <v>0</v>
      </c>
    </row>
    <row r="320" spans="14:14" ht="14.25" customHeight="1">
      <c r="N320" s="192">
        <v>0</v>
      </c>
    </row>
    <row r="321" spans="14:14" ht="14.25" customHeight="1">
      <c r="N321" s="192">
        <v>0</v>
      </c>
    </row>
    <row r="322" spans="14:14" ht="14.25" customHeight="1">
      <c r="N322" s="192">
        <v>0</v>
      </c>
    </row>
    <row r="323" spans="14:14" ht="14.25" customHeight="1">
      <c r="N323" s="192">
        <v>0</v>
      </c>
    </row>
    <row r="324" spans="14:14" ht="14.25" customHeight="1">
      <c r="N324" s="192">
        <v>0</v>
      </c>
    </row>
    <row r="325" spans="14:14" ht="14.25" customHeight="1">
      <c r="N325" s="192">
        <v>0</v>
      </c>
    </row>
    <row r="326" spans="14:14" ht="14.25" customHeight="1">
      <c r="N326" s="192">
        <v>0</v>
      </c>
    </row>
    <row r="327" spans="14:14" ht="14.25" customHeight="1">
      <c r="N327" s="192">
        <v>0</v>
      </c>
    </row>
    <row r="328" spans="14:14" ht="14.25" customHeight="1">
      <c r="N328" s="192">
        <v>0</v>
      </c>
    </row>
    <row r="329" spans="14:14" ht="14.25" customHeight="1">
      <c r="N329" s="192">
        <v>0</v>
      </c>
    </row>
    <row r="330" spans="14:14" ht="14.25" customHeight="1">
      <c r="N330" s="192">
        <v>0</v>
      </c>
    </row>
    <row r="331" spans="14:14" ht="14.25" customHeight="1">
      <c r="N331" s="192">
        <v>0</v>
      </c>
    </row>
    <row r="332" spans="14:14" ht="14.25" customHeight="1">
      <c r="N332" s="192">
        <v>0</v>
      </c>
    </row>
    <row r="333" spans="14:14" ht="14.25" customHeight="1">
      <c r="N333" s="192">
        <v>0</v>
      </c>
    </row>
    <row r="334" spans="14:14" ht="14.25" customHeight="1">
      <c r="N334" s="192">
        <v>0</v>
      </c>
    </row>
    <row r="335" spans="14:14" ht="14.25" customHeight="1">
      <c r="N335" s="192">
        <v>0</v>
      </c>
    </row>
    <row r="336" spans="14:14" ht="14.25" customHeight="1">
      <c r="N336" s="192">
        <v>0</v>
      </c>
    </row>
    <row r="337" spans="14:14" ht="14.25" customHeight="1">
      <c r="N337" s="192">
        <v>0</v>
      </c>
    </row>
    <row r="338" spans="14:14" ht="14.25" customHeight="1">
      <c r="N338" s="192">
        <v>0</v>
      </c>
    </row>
    <row r="339" spans="14:14" ht="14.25" customHeight="1">
      <c r="N339" s="192">
        <v>0</v>
      </c>
    </row>
    <row r="340" spans="14:14" ht="14.25" customHeight="1">
      <c r="N340" s="192">
        <v>0</v>
      </c>
    </row>
    <row r="341" spans="14:14" ht="14.25" customHeight="1">
      <c r="N341" s="192">
        <v>0</v>
      </c>
    </row>
    <row r="342" spans="14:14" ht="14.25" customHeight="1">
      <c r="N342" s="192">
        <v>0</v>
      </c>
    </row>
    <row r="343" spans="14:14" ht="14.25" customHeight="1">
      <c r="N343" s="192">
        <v>0</v>
      </c>
    </row>
    <row r="344" spans="14:14" ht="14.25" customHeight="1">
      <c r="N344" s="192">
        <v>0</v>
      </c>
    </row>
    <row r="345" spans="14:14" ht="14.25" customHeight="1">
      <c r="N345" s="192">
        <v>0</v>
      </c>
    </row>
    <row r="346" spans="14:14" ht="14.25" customHeight="1">
      <c r="N346" s="192">
        <v>0</v>
      </c>
    </row>
    <row r="347" spans="14:14" ht="14.25" customHeight="1">
      <c r="N347" s="192">
        <v>0</v>
      </c>
    </row>
    <row r="348" spans="14:14" ht="14.25" customHeight="1">
      <c r="N348" s="192">
        <v>0</v>
      </c>
    </row>
    <row r="349" spans="14:14" ht="14.25" customHeight="1">
      <c r="N349" s="192">
        <v>0</v>
      </c>
    </row>
    <row r="350" spans="14:14" ht="14.25" customHeight="1">
      <c r="N350" s="192">
        <v>0</v>
      </c>
    </row>
    <row r="351" spans="14:14" ht="14.25" customHeight="1">
      <c r="N351" s="192">
        <v>0</v>
      </c>
    </row>
    <row r="352" spans="14:14" ht="14.25" customHeight="1">
      <c r="N352" s="192">
        <v>0</v>
      </c>
    </row>
    <row r="353" spans="14:14" ht="14.25" customHeight="1">
      <c r="N353" s="192">
        <v>0</v>
      </c>
    </row>
    <row r="354" spans="14:14" ht="14.25" customHeight="1">
      <c r="N354" s="192">
        <v>0</v>
      </c>
    </row>
    <row r="355" spans="14:14" ht="14.25" customHeight="1">
      <c r="N355" s="192">
        <v>0</v>
      </c>
    </row>
    <row r="356" spans="14:14" ht="14.25" customHeight="1">
      <c r="N356" s="192">
        <v>0</v>
      </c>
    </row>
    <row r="357" spans="14:14" ht="14.25" customHeight="1">
      <c r="N357" s="192">
        <v>0</v>
      </c>
    </row>
    <row r="358" spans="14:14" ht="14.25" customHeight="1">
      <c r="N358" s="192">
        <v>0</v>
      </c>
    </row>
    <row r="359" spans="14:14" ht="14.25" customHeight="1">
      <c r="N359" s="192">
        <v>0</v>
      </c>
    </row>
    <row r="360" spans="14:14" ht="14.25" customHeight="1">
      <c r="N360" s="192">
        <v>0</v>
      </c>
    </row>
    <row r="361" spans="14:14" ht="14.25" customHeight="1">
      <c r="N361" s="192">
        <v>0</v>
      </c>
    </row>
    <row r="362" spans="14:14" ht="14.25" customHeight="1">
      <c r="N362" s="192">
        <v>0</v>
      </c>
    </row>
    <row r="363" spans="14:14" ht="14.25" customHeight="1">
      <c r="N363" s="192">
        <v>0</v>
      </c>
    </row>
    <row r="364" spans="14:14" ht="14.25" customHeight="1">
      <c r="N364" s="192">
        <v>0</v>
      </c>
    </row>
    <row r="365" spans="14:14" ht="14.25" customHeight="1">
      <c r="N365" s="192">
        <v>0</v>
      </c>
    </row>
    <row r="366" spans="14:14" ht="14.25" customHeight="1">
      <c r="N366" s="192">
        <v>0</v>
      </c>
    </row>
    <row r="367" spans="14:14" ht="14.25" customHeight="1">
      <c r="N367" s="192">
        <v>0</v>
      </c>
    </row>
    <row r="368" spans="14:14" ht="14.25" customHeight="1">
      <c r="N368" s="192">
        <v>0</v>
      </c>
    </row>
    <row r="369" spans="14:14" ht="14.25" customHeight="1">
      <c r="N369" s="192">
        <v>0</v>
      </c>
    </row>
    <row r="370" spans="14:14" ht="14.25" customHeight="1">
      <c r="N370" s="192">
        <v>0</v>
      </c>
    </row>
    <row r="371" spans="14:14" ht="14.25" customHeight="1">
      <c r="N371" s="192">
        <v>0</v>
      </c>
    </row>
    <row r="372" spans="14:14" ht="14.25" customHeight="1">
      <c r="N372" s="192">
        <v>0</v>
      </c>
    </row>
    <row r="373" spans="14:14" ht="14.25" customHeight="1">
      <c r="N373" s="192">
        <v>0</v>
      </c>
    </row>
    <row r="374" spans="14:14" ht="14.25" customHeight="1">
      <c r="N374" s="192">
        <v>0</v>
      </c>
    </row>
    <row r="375" spans="14:14" ht="14.25" customHeight="1">
      <c r="N375" s="192">
        <v>0</v>
      </c>
    </row>
    <row r="376" spans="14:14" ht="14.25" customHeight="1">
      <c r="N376" s="192">
        <v>0</v>
      </c>
    </row>
    <row r="377" spans="14:14" ht="14.25" customHeight="1">
      <c r="N377" s="192">
        <v>0</v>
      </c>
    </row>
    <row r="378" spans="14:14" ht="14.25" customHeight="1">
      <c r="N378" s="192">
        <v>0</v>
      </c>
    </row>
    <row r="379" spans="14:14" ht="14.25" customHeight="1">
      <c r="N379" s="192">
        <v>0</v>
      </c>
    </row>
    <row r="380" spans="14:14" ht="14.25" customHeight="1">
      <c r="N380" s="192">
        <v>0</v>
      </c>
    </row>
    <row r="381" spans="14:14" ht="14.25" customHeight="1">
      <c r="N381" s="192">
        <v>0</v>
      </c>
    </row>
    <row r="382" spans="14:14" ht="14.25" customHeight="1">
      <c r="N382" s="192">
        <v>0</v>
      </c>
    </row>
    <row r="383" spans="14:14" ht="14.25" customHeight="1">
      <c r="N383" s="192">
        <v>0</v>
      </c>
    </row>
    <row r="384" spans="14:14" ht="14.25" customHeight="1">
      <c r="N384" s="192">
        <v>0</v>
      </c>
    </row>
    <row r="385" spans="14:14" ht="14.25" customHeight="1">
      <c r="N385" s="192">
        <v>0</v>
      </c>
    </row>
    <row r="386" spans="14:14" ht="14.25" customHeight="1">
      <c r="N386" s="192">
        <v>0</v>
      </c>
    </row>
    <row r="387" spans="14:14" ht="14.25" customHeight="1">
      <c r="N387" s="192">
        <v>0</v>
      </c>
    </row>
    <row r="388" spans="14:14" ht="14.25" customHeight="1">
      <c r="N388" s="192">
        <v>0</v>
      </c>
    </row>
    <row r="389" spans="14:14" ht="14.25" customHeight="1">
      <c r="N389" s="192">
        <v>0</v>
      </c>
    </row>
    <row r="390" spans="14:14" ht="14.25" customHeight="1">
      <c r="N390" s="192">
        <v>0</v>
      </c>
    </row>
    <row r="391" spans="14:14" ht="14.25" customHeight="1">
      <c r="N391" s="192">
        <v>0</v>
      </c>
    </row>
    <row r="392" spans="14:14" ht="14.25" customHeight="1">
      <c r="N392" s="192">
        <v>0</v>
      </c>
    </row>
    <row r="393" spans="14:14" ht="14.25" customHeight="1">
      <c r="N393" s="192">
        <v>0</v>
      </c>
    </row>
    <row r="394" spans="14:14" ht="14.25" customHeight="1">
      <c r="N394" s="192">
        <v>0</v>
      </c>
    </row>
    <row r="395" spans="14:14" ht="14.25" customHeight="1">
      <c r="N395" s="192">
        <v>0</v>
      </c>
    </row>
    <row r="396" spans="14:14" ht="14.25" customHeight="1">
      <c r="N396" s="192">
        <v>0</v>
      </c>
    </row>
    <row r="397" spans="14:14" ht="14.25" customHeight="1">
      <c r="N397" s="192">
        <v>0</v>
      </c>
    </row>
    <row r="398" spans="14:14" ht="14.25" customHeight="1">
      <c r="N398" s="192">
        <v>0</v>
      </c>
    </row>
    <row r="399" spans="14:14" ht="14.25" customHeight="1">
      <c r="N399" s="192">
        <v>0</v>
      </c>
    </row>
    <row r="400" spans="14:14" ht="14.25" customHeight="1">
      <c r="N400" s="192">
        <v>0</v>
      </c>
    </row>
    <row r="401" spans="14:14" ht="14.25" customHeight="1">
      <c r="N401" s="192">
        <v>0</v>
      </c>
    </row>
    <row r="402" spans="14:14" ht="14.25" customHeight="1">
      <c r="N402" s="192">
        <v>0</v>
      </c>
    </row>
    <row r="403" spans="14:14" ht="14.25" customHeight="1">
      <c r="N403" s="192">
        <v>0</v>
      </c>
    </row>
    <row r="404" spans="14:14" ht="14.25" customHeight="1">
      <c r="N404" s="192">
        <v>0</v>
      </c>
    </row>
    <row r="405" spans="14:14" ht="14.25" customHeight="1">
      <c r="N405" s="192">
        <v>0</v>
      </c>
    </row>
    <row r="406" spans="14:14" ht="14.25" customHeight="1">
      <c r="N406" s="192">
        <v>0</v>
      </c>
    </row>
    <row r="407" spans="14:14" ht="14.25" customHeight="1">
      <c r="N407" s="192">
        <v>0</v>
      </c>
    </row>
    <row r="408" spans="14:14" ht="14.25" customHeight="1">
      <c r="N408" s="192">
        <v>0</v>
      </c>
    </row>
    <row r="409" spans="14:14" ht="14.25" customHeight="1">
      <c r="N409" s="192">
        <v>0</v>
      </c>
    </row>
    <row r="410" spans="14:14" ht="14.25" customHeight="1">
      <c r="N410" s="192">
        <v>0</v>
      </c>
    </row>
    <row r="411" spans="14:14" ht="14.25" customHeight="1">
      <c r="N411" s="192">
        <v>0</v>
      </c>
    </row>
    <row r="412" spans="14:14" ht="14.25" customHeight="1">
      <c r="N412" s="192">
        <v>0</v>
      </c>
    </row>
    <row r="413" spans="14:14" ht="14.25" customHeight="1">
      <c r="N413" s="192">
        <v>0</v>
      </c>
    </row>
    <row r="414" spans="14:14" ht="14.25" customHeight="1">
      <c r="N414" s="192">
        <v>0</v>
      </c>
    </row>
    <row r="415" spans="14:14" ht="14.25" customHeight="1">
      <c r="N415" s="192">
        <v>0</v>
      </c>
    </row>
    <row r="416" spans="14:14" ht="14.25" customHeight="1">
      <c r="N416" s="192">
        <v>0</v>
      </c>
    </row>
    <row r="417" spans="14:14" ht="14.25" customHeight="1">
      <c r="N417" s="192">
        <v>0</v>
      </c>
    </row>
    <row r="418" spans="14:14" ht="14.25" customHeight="1">
      <c r="N418" s="192">
        <v>0</v>
      </c>
    </row>
    <row r="419" spans="14:14" ht="14.25" customHeight="1">
      <c r="N419" s="192">
        <v>0</v>
      </c>
    </row>
    <row r="420" spans="14:14" ht="14.25" customHeight="1">
      <c r="N420" s="192">
        <v>0</v>
      </c>
    </row>
    <row r="421" spans="14:14" ht="14.25" customHeight="1">
      <c r="N421" s="192">
        <v>0</v>
      </c>
    </row>
    <row r="422" spans="14:14" ht="14.25" customHeight="1">
      <c r="N422" s="192">
        <v>0</v>
      </c>
    </row>
    <row r="423" spans="14:14" ht="14.25" customHeight="1">
      <c r="N423" s="192">
        <v>0</v>
      </c>
    </row>
    <row r="424" spans="14:14" ht="14.25" customHeight="1">
      <c r="N424" s="192">
        <v>0</v>
      </c>
    </row>
    <row r="425" spans="14:14" ht="14.25" customHeight="1">
      <c r="N425" s="192">
        <v>0</v>
      </c>
    </row>
    <row r="426" spans="14:14" ht="14.25" customHeight="1">
      <c r="N426" s="192">
        <v>0</v>
      </c>
    </row>
    <row r="427" spans="14:14" ht="14.25" customHeight="1">
      <c r="N427" s="192">
        <v>0</v>
      </c>
    </row>
    <row r="428" spans="14:14" ht="14.25" customHeight="1">
      <c r="N428" s="192">
        <v>0</v>
      </c>
    </row>
    <row r="429" spans="14:14" ht="14.25" customHeight="1">
      <c r="N429" s="192">
        <v>0</v>
      </c>
    </row>
    <row r="430" spans="14:14" ht="14.25" customHeight="1">
      <c r="N430" s="192">
        <v>0</v>
      </c>
    </row>
    <row r="431" spans="14:14" ht="14.25" customHeight="1">
      <c r="N431" s="192">
        <v>0</v>
      </c>
    </row>
    <row r="432" spans="14:14" ht="14.25" customHeight="1">
      <c r="N432" s="192">
        <v>0</v>
      </c>
    </row>
    <row r="433" spans="14:14" ht="14.25" customHeight="1">
      <c r="N433" s="192">
        <v>0</v>
      </c>
    </row>
    <row r="434" spans="14:14" ht="14.25" customHeight="1">
      <c r="N434" s="192">
        <v>0</v>
      </c>
    </row>
    <row r="435" spans="14:14" ht="14.25" customHeight="1">
      <c r="N435" s="192">
        <v>0</v>
      </c>
    </row>
    <row r="436" spans="14:14" ht="14.25" customHeight="1">
      <c r="N436" s="192">
        <v>0</v>
      </c>
    </row>
    <row r="437" spans="14:14" ht="14.25" customHeight="1">
      <c r="N437" s="192">
        <v>0</v>
      </c>
    </row>
    <row r="438" spans="14:14" ht="14.25" customHeight="1">
      <c r="N438" s="192">
        <v>0</v>
      </c>
    </row>
    <row r="439" spans="14:14" ht="14.25" customHeight="1">
      <c r="N439" s="192">
        <v>0</v>
      </c>
    </row>
    <row r="440" spans="14:14" ht="14.25" customHeight="1">
      <c r="N440" s="192">
        <v>0</v>
      </c>
    </row>
    <row r="441" spans="14:14" ht="14.25" customHeight="1">
      <c r="N441" s="192">
        <v>0</v>
      </c>
    </row>
    <row r="442" spans="14:14" ht="14.25" customHeight="1">
      <c r="N442" s="192">
        <v>0</v>
      </c>
    </row>
    <row r="443" spans="14:14" ht="14.25" customHeight="1">
      <c r="N443" s="192">
        <v>0</v>
      </c>
    </row>
    <row r="444" spans="14:14" ht="14.25" customHeight="1">
      <c r="N444" s="192">
        <v>0</v>
      </c>
    </row>
    <row r="445" spans="14:14" ht="14.25" customHeight="1">
      <c r="N445" s="192">
        <v>0</v>
      </c>
    </row>
    <row r="446" spans="14:14" ht="14.25" customHeight="1">
      <c r="N446" s="192">
        <v>0</v>
      </c>
    </row>
    <row r="447" spans="14:14" ht="14.25" customHeight="1">
      <c r="N447" s="192">
        <v>0</v>
      </c>
    </row>
    <row r="448" spans="14:14" ht="14.25" customHeight="1">
      <c r="N448" s="192">
        <v>0</v>
      </c>
    </row>
    <row r="449" spans="14:14" ht="14.25" customHeight="1">
      <c r="N449" s="192">
        <v>0</v>
      </c>
    </row>
    <row r="450" spans="14:14" ht="14.25" customHeight="1">
      <c r="N450" s="192">
        <v>0</v>
      </c>
    </row>
    <row r="451" spans="14:14" ht="14.25" customHeight="1">
      <c r="N451" s="192">
        <v>0</v>
      </c>
    </row>
    <row r="452" spans="14:14" ht="14.25" customHeight="1">
      <c r="N452" s="192">
        <v>0</v>
      </c>
    </row>
    <row r="453" spans="14:14" ht="14.25" customHeight="1">
      <c r="N453" s="192">
        <v>0</v>
      </c>
    </row>
    <row r="454" spans="14:14" ht="14.25" customHeight="1">
      <c r="N454" s="192">
        <v>0</v>
      </c>
    </row>
    <row r="455" spans="14:14" ht="14.25" customHeight="1">
      <c r="N455" s="192">
        <v>0</v>
      </c>
    </row>
    <row r="456" spans="14:14" ht="14.25" customHeight="1">
      <c r="N456" s="192">
        <v>0</v>
      </c>
    </row>
    <row r="457" spans="14:14" ht="14.25" customHeight="1">
      <c r="N457" s="192">
        <v>0</v>
      </c>
    </row>
    <row r="458" spans="14:14" ht="14.25" customHeight="1">
      <c r="N458" s="192">
        <v>0</v>
      </c>
    </row>
    <row r="459" spans="14:14" ht="14.25" customHeight="1">
      <c r="N459" s="192">
        <v>0</v>
      </c>
    </row>
    <row r="460" spans="14:14" ht="14.25" customHeight="1">
      <c r="N460" s="192">
        <v>0</v>
      </c>
    </row>
    <row r="461" spans="14:14" ht="14.25" customHeight="1">
      <c r="N461" s="192">
        <v>0</v>
      </c>
    </row>
    <row r="462" spans="14:14" ht="14.25" customHeight="1">
      <c r="N462" s="192">
        <v>0</v>
      </c>
    </row>
    <row r="463" spans="14:14" ht="14.25" customHeight="1">
      <c r="N463" s="192">
        <v>0</v>
      </c>
    </row>
    <row r="464" spans="14:14" ht="14.25" customHeight="1">
      <c r="N464" s="192">
        <v>0</v>
      </c>
    </row>
    <row r="465" spans="14:14" ht="14.25" customHeight="1">
      <c r="N465" s="192">
        <v>0</v>
      </c>
    </row>
    <row r="466" spans="14:14" ht="14.25" customHeight="1">
      <c r="N466" s="192">
        <v>0</v>
      </c>
    </row>
    <row r="467" spans="14:14" ht="14.25" customHeight="1">
      <c r="N467" s="192">
        <v>0</v>
      </c>
    </row>
    <row r="468" spans="14:14" ht="14.25" customHeight="1">
      <c r="N468" s="192">
        <v>0</v>
      </c>
    </row>
    <row r="469" spans="14:14" ht="14.25" customHeight="1">
      <c r="N469" s="192">
        <v>0</v>
      </c>
    </row>
    <row r="470" spans="14:14" ht="14.25" customHeight="1">
      <c r="N470" s="192">
        <v>0</v>
      </c>
    </row>
    <row r="471" spans="14:14" ht="14.25" customHeight="1">
      <c r="N471" s="192">
        <v>0</v>
      </c>
    </row>
    <row r="472" spans="14:14" ht="14.25" customHeight="1">
      <c r="N472" s="192">
        <v>0</v>
      </c>
    </row>
    <row r="473" spans="14:14" ht="14.25" customHeight="1">
      <c r="N473" s="192">
        <v>0</v>
      </c>
    </row>
    <row r="474" spans="14:14" ht="14.25" customHeight="1">
      <c r="N474" s="192">
        <v>0</v>
      </c>
    </row>
    <row r="475" spans="14:14" ht="14.25" customHeight="1">
      <c r="N475" s="192">
        <v>0</v>
      </c>
    </row>
    <row r="476" spans="14:14" ht="14.25" customHeight="1">
      <c r="N476" s="192">
        <v>0</v>
      </c>
    </row>
    <row r="477" spans="14:14" ht="14.25" customHeight="1">
      <c r="N477" s="192">
        <v>0</v>
      </c>
    </row>
    <row r="478" spans="14:14" ht="14.25" customHeight="1">
      <c r="N478" s="192">
        <v>0</v>
      </c>
    </row>
    <row r="479" spans="14:14" ht="14.25" customHeight="1">
      <c r="N479" s="192">
        <v>0</v>
      </c>
    </row>
    <row r="480" spans="14:14" ht="14.25" customHeight="1">
      <c r="N480" s="192">
        <v>0</v>
      </c>
    </row>
    <row r="481" spans="14:14" ht="14.25" customHeight="1">
      <c r="N481" s="192">
        <v>0</v>
      </c>
    </row>
    <row r="482" spans="14:14" ht="14.25" customHeight="1">
      <c r="N482" s="192">
        <v>0</v>
      </c>
    </row>
    <row r="483" spans="14:14" ht="14.25" customHeight="1">
      <c r="N483" s="192">
        <v>0</v>
      </c>
    </row>
    <row r="484" spans="14:14" ht="14.25" customHeight="1">
      <c r="N484" s="192">
        <v>0</v>
      </c>
    </row>
    <row r="485" spans="14:14" ht="14.25" customHeight="1">
      <c r="N485" s="192">
        <v>0</v>
      </c>
    </row>
    <row r="486" spans="14:14" ht="14.25" customHeight="1">
      <c r="N486" s="192">
        <v>0</v>
      </c>
    </row>
    <row r="487" spans="14:14" ht="14.25" customHeight="1">
      <c r="N487" s="192">
        <v>0</v>
      </c>
    </row>
    <row r="488" spans="14:14" ht="14.25" customHeight="1">
      <c r="N488" s="192">
        <v>0</v>
      </c>
    </row>
    <row r="489" spans="14:14" ht="14.25" customHeight="1">
      <c r="N489" s="192">
        <v>0</v>
      </c>
    </row>
    <row r="490" spans="14:14" ht="14.25" customHeight="1">
      <c r="N490" s="192">
        <v>0</v>
      </c>
    </row>
    <row r="491" spans="14:14" ht="14.25" customHeight="1">
      <c r="N491" s="192">
        <v>0</v>
      </c>
    </row>
    <row r="492" spans="14:14" ht="14.25" customHeight="1">
      <c r="N492" s="192">
        <v>0</v>
      </c>
    </row>
    <row r="493" spans="14:14" ht="14.25" customHeight="1">
      <c r="N493" s="192">
        <v>0</v>
      </c>
    </row>
    <row r="494" spans="14:14" ht="14.25" customHeight="1">
      <c r="N494" s="192">
        <v>0</v>
      </c>
    </row>
    <row r="495" spans="14:14" ht="14.25" customHeight="1">
      <c r="N495" s="192">
        <v>0</v>
      </c>
    </row>
    <row r="496" spans="14:14" ht="14.25" customHeight="1">
      <c r="N496" s="192">
        <v>0</v>
      </c>
    </row>
    <row r="497" spans="14:14" ht="14.25" customHeight="1">
      <c r="N497" s="192">
        <v>0</v>
      </c>
    </row>
    <row r="498" spans="14:14" ht="14.25" customHeight="1">
      <c r="N498" s="192">
        <v>0</v>
      </c>
    </row>
    <row r="499" spans="14:14" ht="14.25" customHeight="1">
      <c r="N499" s="192">
        <v>0</v>
      </c>
    </row>
    <row r="500" spans="14:14" ht="14.25" customHeight="1">
      <c r="N500" s="192">
        <v>0</v>
      </c>
    </row>
    <row r="501" spans="14:14" ht="14.25" customHeight="1">
      <c r="N501" s="192">
        <v>0</v>
      </c>
    </row>
    <row r="502" spans="14:14" ht="14.25" customHeight="1">
      <c r="N502" s="192">
        <v>0</v>
      </c>
    </row>
    <row r="503" spans="14:14" ht="14.25" customHeight="1">
      <c r="N503" s="192">
        <v>0</v>
      </c>
    </row>
    <row r="504" spans="14:14" ht="14.25" customHeight="1">
      <c r="N504" s="192">
        <v>0</v>
      </c>
    </row>
    <row r="505" spans="14:14" ht="14.25" customHeight="1">
      <c r="N505" s="192">
        <v>0</v>
      </c>
    </row>
    <row r="506" spans="14:14" ht="14.25" customHeight="1">
      <c r="N506" s="192">
        <v>0</v>
      </c>
    </row>
    <row r="507" spans="14:14" ht="14.25" customHeight="1">
      <c r="N507" s="192">
        <v>0</v>
      </c>
    </row>
    <row r="508" spans="14:14" ht="14.25" customHeight="1">
      <c r="N508" s="192">
        <v>0</v>
      </c>
    </row>
    <row r="509" spans="14:14" ht="14.25" customHeight="1">
      <c r="N509" s="192">
        <v>0</v>
      </c>
    </row>
    <row r="510" spans="14:14" ht="14.25" customHeight="1">
      <c r="N510" s="192">
        <v>0</v>
      </c>
    </row>
    <row r="511" spans="14:14" ht="14.25" customHeight="1">
      <c r="N511" s="192">
        <v>0</v>
      </c>
    </row>
    <row r="512" spans="14:14" ht="14.25" customHeight="1">
      <c r="N512" s="192">
        <v>0</v>
      </c>
    </row>
    <row r="513" spans="14:14" ht="14.25" customHeight="1">
      <c r="N513" s="192">
        <v>0</v>
      </c>
    </row>
    <row r="514" spans="14:14" ht="14.25" customHeight="1">
      <c r="N514" s="192">
        <v>0</v>
      </c>
    </row>
    <row r="515" spans="14:14" ht="14.25" customHeight="1">
      <c r="N515" s="192">
        <v>0</v>
      </c>
    </row>
    <row r="516" spans="14:14" ht="14.25" customHeight="1">
      <c r="N516" s="192">
        <v>0</v>
      </c>
    </row>
    <row r="517" spans="14:14" ht="14.25" customHeight="1">
      <c r="N517" s="192">
        <v>0</v>
      </c>
    </row>
    <row r="518" spans="14:14" ht="14.25" customHeight="1">
      <c r="N518" s="192">
        <v>0</v>
      </c>
    </row>
    <row r="519" spans="14:14" ht="14.25" customHeight="1">
      <c r="N519" s="192">
        <v>0</v>
      </c>
    </row>
    <row r="520" spans="14:14" ht="14.25" customHeight="1">
      <c r="N520" s="192">
        <v>0</v>
      </c>
    </row>
    <row r="521" spans="14:14" ht="14.25" customHeight="1">
      <c r="N521" s="192">
        <v>0</v>
      </c>
    </row>
    <row r="522" spans="14:14" ht="14.25" customHeight="1">
      <c r="N522" s="192">
        <v>0</v>
      </c>
    </row>
    <row r="523" spans="14:14" ht="14.25" customHeight="1">
      <c r="N523" s="192">
        <v>0</v>
      </c>
    </row>
    <row r="524" spans="14:14" ht="14.25" customHeight="1">
      <c r="N524" s="192">
        <v>0</v>
      </c>
    </row>
    <row r="525" spans="14:14" ht="14.25" customHeight="1">
      <c r="N525" s="192">
        <v>0</v>
      </c>
    </row>
    <row r="526" spans="14:14" ht="14.25" customHeight="1">
      <c r="N526" s="192">
        <v>0</v>
      </c>
    </row>
    <row r="527" spans="14:14" ht="14.25" customHeight="1">
      <c r="N527" s="192">
        <v>0</v>
      </c>
    </row>
    <row r="528" spans="14:14" ht="14.25" customHeight="1">
      <c r="N528" s="192">
        <v>0</v>
      </c>
    </row>
    <row r="529" spans="14:14" ht="14.25" customHeight="1">
      <c r="N529" s="192">
        <v>0</v>
      </c>
    </row>
    <row r="530" spans="14:14" ht="14.25" customHeight="1">
      <c r="N530" s="192">
        <v>0</v>
      </c>
    </row>
    <row r="531" spans="14:14" ht="14.25" customHeight="1">
      <c r="N531" s="192">
        <v>0</v>
      </c>
    </row>
    <row r="532" spans="14:14" ht="14.25" customHeight="1">
      <c r="N532" s="192">
        <v>0</v>
      </c>
    </row>
    <row r="533" spans="14:14" ht="14.25" customHeight="1">
      <c r="N533" s="192">
        <v>0</v>
      </c>
    </row>
    <row r="534" spans="14:14" ht="14.25" customHeight="1">
      <c r="N534" s="192">
        <v>0</v>
      </c>
    </row>
    <row r="535" spans="14:14" ht="14.25" customHeight="1">
      <c r="N535" s="192">
        <v>0</v>
      </c>
    </row>
    <row r="536" spans="14:14" ht="14.25" customHeight="1">
      <c r="N536" s="192">
        <v>0</v>
      </c>
    </row>
    <row r="537" spans="14:14" ht="14.25" customHeight="1">
      <c r="N537" s="192">
        <v>0</v>
      </c>
    </row>
    <row r="538" spans="14:14" ht="14.25" customHeight="1">
      <c r="N538" s="192">
        <v>0</v>
      </c>
    </row>
    <row r="539" spans="14:14" ht="14.25" customHeight="1">
      <c r="N539" s="192">
        <v>0</v>
      </c>
    </row>
    <row r="540" spans="14:14" ht="14.25" customHeight="1">
      <c r="N540" s="192">
        <v>0</v>
      </c>
    </row>
    <row r="541" spans="14:14" ht="14.25" customHeight="1">
      <c r="N541" s="192">
        <v>0</v>
      </c>
    </row>
    <row r="542" spans="14:14" ht="14.25" customHeight="1">
      <c r="N542" s="192">
        <v>0</v>
      </c>
    </row>
    <row r="543" spans="14:14" ht="14.25" customHeight="1">
      <c r="N543" s="192">
        <v>0</v>
      </c>
    </row>
    <row r="544" spans="14:14" ht="14.25" customHeight="1">
      <c r="N544" s="192">
        <v>0</v>
      </c>
    </row>
    <row r="545" spans="14:14" ht="14.25" customHeight="1">
      <c r="N545" s="192">
        <v>0</v>
      </c>
    </row>
    <row r="546" spans="14:14" ht="14.25" customHeight="1">
      <c r="N546" s="192">
        <v>0</v>
      </c>
    </row>
    <row r="547" spans="14:14" ht="14.25" customHeight="1">
      <c r="N547" s="192">
        <v>0</v>
      </c>
    </row>
    <row r="548" spans="14:14" ht="14.25" customHeight="1">
      <c r="N548" s="192">
        <v>0</v>
      </c>
    </row>
    <row r="549" spans="14:14" ht="14.25" customHeight="1">
      <c r="N549" s="192">
        <v>0</v>
      </c>
    </row>
    <row r="550" spans="14:14" ht="14.25" customHeight="1">
      <c r="N550" s="192">
        <v>0</v>
      </c>
    </row>
    <row r="551" spans="14:14" ht="14.25" customHeight="1">
      <c r="N551" s="192">
        <v>0</v>
      </c>
    </row>
    <row r="552" spans="14:14" ht="14.25" customHeight="1">
      <c r="N552" s="192">
        <v>0</v>
      </c>
    </row>
    <row r="553" spans="14:14" ht="14.25" customHeight="1">
      <c r="N553" s="192">
        <v>0</v>
      </c>
    </row>
    <row r="554" spans="14:14" ht="14.25" customHeight="1">
      <c r="N554" s="192">
        <v>0</v>
      </c>
    </row>
    <row r="555" spans="14:14" ht="14.25" customHeight="1">
      <c r="N555" s="192">
        <v>0</v>
      </c>
    </row>
    <row r="556" spans="14:14" ht="14.25" customHeight="1">
      <c r="N556" s="192">
        <v>0</v>
      </c>
    </row>
    <row r="557" spans="14:14" ht="14.25" customHeight="1">
      <c r="N557" s="192">
        <v>0</v>
      </c>
    </row>
    <row r="558" spans="14:14" ht="14.25" customHeight="1">
      <c r="N558" s="192">
        <v>0</v>
      </c>
    </row>
    <row r="559" spans="14:14" ht="14.25" customHeight="1">
      <c r="N559" s="192">
        <v>0</v>
      </c>
    </row>
    <row r="560" spans="14:14" ht="14.25" customHeight="1">
      <c r="N560" s="192">
        <v>0</v>
      </c>
    </row>
    <row r="561" spans="14:14" ht="14.25" customHeight="1">
      <c r="N561" s="192">
        <v>0</v>
      </c>
    </row>
    <row r="562" spans="14:14" ht="14.25" customHeight="1">
      <c r="N562" s="192">
        <v>0</v>
      </c>
    </row>
    <row r="563" spans="14:14" ht="14.25" customHeight="1">
      <c r="N563" s="192">
        <v>0</v>
      </c>
    </row>
    <row r="564" spans="14:14" ht="14.25" customHeight="1">
      <c r="N564" s="192">
        <v>0</v>
      </c>
    </row>
    <row r="565" spans="14:14" ht="14.25" customHeight="1">
      <c r="N565" s="192">
        <v>0</v>
      </c>
    </row>
    <row r="566" spans="14:14" ht="14.25" customHeight="1">
      <c r="N566" s="192">
        <v>0</v>
      </c>
    </row>
    <row r="567" spans="14:14" ht="14.25" customHeight="1">
      <c r="N567" s="192">
        <v>0</v>
      </c>
    </row>
    <row r="568" spans="14:14" ht="14.25" customHeight="1">
      <c r="N568" s="192">
        <v>0</v>
      </c>
    </row>
    <row r="569" spans="14:14" ht="14.25" customHeight="1">
      <c r="N569" s="192">
        <v>0</v>
      </c>
    </row>
    <row r="570" spans="14:14" ht="14.25" customHeight="1">
      <c r="N570" s="192">
        <v>0</v>
      </c>
    </row>
    <row r="571" spans="14:14" ht="14.25" customHeight="1">
      <c r="N571" s="192">
        <v>0</v>
      </c>
    </row>
    <row r="572" spans="14:14" ht="14.25" customHeight="1">
      <c r="N572" s="192">
        <v>0</v>
      </c>
    </row>
    <row r="573" spans="14:14" ht="14.25" customHeight="1">
      <c r="N573" s="192">
        <v>0</v>
      </c>
    </row>
    <row r="574" spans="14:14" ht="14.25" customHeight="1">
      <c r="N574" s="192">
        <v>0</v>
      </c>
    </row>
    <row r="575" spans="14:14" ht="14.25" customHeight="1">
      <c r="N575" s="192">
        <v>0</v>
      </c>
    </row>
    <row r="576" spans="14:14" ht="14.25" customHeight="1">
      <c r="N576" s="192">
        <v>0</v>
      </c>
    </row>
    <row r="577" spans="14:14" ht="14.25" customHeight="1">
      <c r="N577" s="192">
        <v>0</v>
      </c>
    </row>
    <row r="578" spans="14:14" ht="14.25" customHeight="1">
      <c r="N578" s="192">
        <v>0</v>
      </c>
    </row>
    <row r="579" spans="14:14" ht="14.25" customHeight="1">
      <c r="N579" s="192">
        <v>0</v>
      </c>
    </row>
    <row r="580" spans="14:14" ht="14.25" customHeight="1">
      <c r="N580" s="192">
        <v>0</v>
      </c>
    </row>
    <row r="581" spans="14:14" ht="14.25" customHeight="1">
      <c r="N581" s="192">
        <v>0</v>
      </c>
    </row>
    <row r="582" spans="14:14" ht="14.25" customHeight="1">
      <c r="N582" s="192">
        <v>0</v>
      </c>
    </row>
    <row r="583" spans="14:14" ht="14.25" customHeight="1">
      <c r="N583" s="192">
        <v>0</v>
      </c>
    </row>
    <row r="584" spans="14:14" ht="14.25" customHeight="1">
      <c r="N584" s="192">
        <v>0</v>
      </c>
    </row>
    <row r="585" spans="14:14" ht="14.25" customHeight="1">
      <c r="N585" s="192">
        <v>0</v>
      </c>
    </row>
    <row r="586" spans="14:14" ht="14.25" customHeight="1">
      <c r="N586" s="192">
        <v>0</v>
      </c>
    </row>
    <row r="587" spans="14:14" ht="14.25" customHeight="1">
      <c r="N587" s="192">
        <v>0</v>
      </c>
    </row>
    <row r="588" spans="14:14" ht="14.25" customHeight="1">
      <c r="N588" s="192">
        <v>0</v>
      </c>
    </row>
    <row r="589" spans="14:14" ht="14.25" customHeight="1">
      <c r="N589" s="192">
        <v>0</v>
      </c>
    </row>
    <row r="590" spans="14:14" ht="14.25" customHeight="1">
      <c r="N590" s="192">
        <v>0</v>
      </c>
    </row>
    <row r="591" spans="14:14" ht="14.25" customHeight="1">
      <c r="N591" s="192">
        <v>0</v>
      </c>
    </row>
    <row r="592" spans="14:14" ht="14.25" customHeight="1">
      <c r="N592" s="192">
        <v>0</v>
      </c>
    </row>
    <row r="593" spans="14:14" ht="14.25" customHeight="1">
      <c r="N593" s="192">
        <v>0</v>
      </c>
    </row>
    <row r="594" spans="14:14" ht="14.25" customHeight="1">
      <c r="N594" s="192">
        <v>0</v>
      </c>
    </row>
    <row r="595" spans="14:14" ht="14.25" customHeight="1">
      <c r="N595" s="192">
        <v>0</v>
      </c>
    </row>
    <row r="596" spans="14:14" ht="14.25" customHeight="1">
      <c r="N596" s="192">
        <v>0</v>
      </c>
    </row>
    <row r="597" spans="14:14" ht="14.25" customHeight="1">
      <c r="N597" s="192">
        <v>0</v>
      </c>
    </row>
    <row r="598" spans="14:14" ht="14.25" customHeight="1">
      <c r="N598" s="192">
        <v>0</v>
      </c>
    </row>
    <row r="599" spans="14:14" ht="14.25" customHeight="1">
      <c r="N599" s="192">
        <v>0</v>
      </c>
    </row>
    <row r="600" spans="14:14" ht="14.25" customHeight="1">
      <c r="N600" s="192">
        <v>0</v>
      </c>
    </row>
    <row r="601" spans="14:14" ht="14.25" customHeight="1">
      <c r="N601" s="192">
        <v>0</v>
      </c>
    </row>
    <row r="602" spans="14:14" ht="14.25" customHeight="1">
      <c r="N602" s="192">
        <v>0</v>
      </c>
    </row>
    <row r="603" spans="14:14" ht="14.25" customHeight="1">
      <c r="N603" s="192">
        <v>0</v>
      </c>
    </row>
    <row r="604" spans="14:14" ht="14.25" customHeight="1">
      <c r="N604" s="192">
        <v>0</v>
      </c>
    </row>
    <row r="605" spans="14:14" ht="14.25" customHeight="1">
      <c r="N605" s="192">
        <v>0</v>
      </c>
    </row>
    <row r="606" spans="14:14" ht="14.25" customHeight="1">
      <c r="N606" s="192">
        <v>0</v>
      </c>
    </row>
    <row r="607" spans="14:14" ht="14.25" customHeight="1">
      <c r="N607" s="192">
        <v>0</v>
      </c>
    </row>
    <row r="608" spans="14:14" ht="14.25" customHeight="1">
      <c r="N608" s="192">
        <v>0</v>
      </c>
    </row>
    <row r="609" spans="14:14" ht="14.25" customHeight="1">
      <c r="N609" s="192">
        <v>0</v>
      </c>
    </row>
    <row r="610" spans="14:14" ht="14.25" customHeight="1">
      <c r="N610" s="192">
        <v>0</v>
      </c>
    </row>
    <row r="611" spans="14:14" ht="14.25" customHeight="1">
      <c r="N611" s="192">
        <v>0</v>
      </c>
    </row>
    <row r="612" spans="14:14" ht="14.25" customHeight="1">
      <c r="N612" s="192">
        <v>0</v>
      </c>
    </row>
    <row r="613" spans="14:14" ht="14.25" customHeight="1">
      <c r="N613" s="192">
        <v>0</v>
      </c>
    </row>
    <row r="614" spans="14:14" ht="14.25" customHeight="1">
      <c r="N614" s="192">
        <v>0</v>
      </c>
    </row>
    <row r="615" spans="14:14" ht="14.25" customHeight="1">
      <c r="N615" s="192">
        <v>0</v>
      </c>
    </row>
    <row r="616" spans="14:14" ht="14.25" customHeight="1">
      <c r="N616" s="192">
        <v>0</v>
      </c>
    </row>
    <row r="617" spans="14:14" ht="14.25" customHeight="1">
      <c r="N617" s="192">
        <v>0</v>
      </c>
    </row>
    <row r="618" spans="14:14" ht="14.25" customHeight="1">
      <c r="N618" s="192">
        <v>0</v>
      </c>
    </row>
    <row r="619" spans="14:14" ht="14.25" customHeight="1">
      <c r="N619" s="192">
        <v>0</v>
      </c>
    </row>
    <row r="620" spans="14:14" ht="14.25" customHeight="1">
      <c r="N620" s="192">
        <v>0</v>
      </c>
    </row>
    <row r="621" spans="14:14" ht="14.25" customHeight="1">
      <c r="N621" s="192">
        <v>0</v>
      </c>
    </row>
    <row r="622" spans="14:14" ht="14.25" customHeight="1">
      <c r="N622" s="192">
        <v>0</v>
      </c>
    </row>
    <row r="623" spans="14:14" ht="14.25" customHeight="1">
      <c r="N623" s="192">
        <v>0</v>
      </c>
    </row>
    <row r="624" spans="14:14" ht="14.25" customHeight="1">
      <c r="N624" s="192">
        <v>0</v>
      </c>
    </row>
    <row r="625" spans="14:14" ht="14.25" customHeight="1">
      <c r="N625" s="192">
        <v>0</v>
      </c>
    </row>
    <row r="626" spans="14:14" ht="14.25" customHeight="1">
      <c r="N626" s="192">
        <v>0</v>
      </c>
    </row>
    <row r="627" spans="14:14" ht="14.25" customHeight="1">
      <c r="N627" s="192">
        <v>0</v>
      </c>
    </row>
    <row r="628" spans="14:14" ht="14.25" customHeight="1">
      <c r="N628" s="192">
        <v>0</v>
      </c>
    </row>
    <row r="629" spans="14:14" ht="14.25" customHeight="1">
      <c r="N629" s="192">
        <v>0</v>
      </c>
    </row>
    <row r="630" spans="14:14" ht="14.25" customHeight="1">
      <c r="N630" s="192">
        <v>0</v>
      </c>
    </row>
    <row r="631" spans="14:14" ht="14.25" customHeight="1">
      <c r="N631" s="192">
        <v>0</v>
      </c>
    </row>
    <row r="632" spans="14:14" ht="14.25" customHeight="1">
      <c r="N632" s="192">
        <v>0</v>
      </c>
    </row>
    <row r="633" spans="14:14" ht="14.25" customHeight="1">
      <c r="N633" s="192">
        <v>0</v>
      </c>
    </row>
    <row r="634" spans="14:14" ht="14.25" customHeight="1">
      <c r="N634" s="192">
        <v>0</v>
      </c>
    </row>
    <row r="635" spans="14:14" ht="14.25" customHeight="1">
      <c r="N635" s="192">
        <v>0</v>
      </c>
    </row>
    <row r="636" spans="14:14" ht="14.25" customHeight="1">
      <c r="N636" s="192">
        <v>0</v>
      </c>
    </row>
    <row r="637" spans="14:14" ht="14.25" customHeight="1">
      <c r="N637" s="192">
        <v>0</v>
      </c>
    </row>
    <row r="638" spans="14:14" ht="14.25" customHeight="1">
      <c r="N638" s="192">
        <v>0</v>
      </c>
    </row>
    <row r="639" spans="14:14" ht="14.25" customHeight="1">
      <c r="N639" s="192">
        <v>0</v>
      </c>
    </row>
    <row r="640" spans="14:14" ht="14.25" customHeight="1">
      <c r="N640" s="192">
        <v>0</v>
      </c>
    </row>
    <row r="641" spans="14:14" ht="14.25" customHeight="1">
      <c r="N641" s="192">
        <v>0</v>
      </c>
    </row>
    <row r="642" spans="14:14" ht="14.25" customHeight="1">
      <c r="N642" s="192">
        <v>0</v>
      </c>
    </row>
    <row r="643" spans="14:14" ht="14.25" customHeight="1">
      <c r="N643" s="192">
        <v>0</v>
      </c>
    </row>
    <row r="644" spans="14:14" ht="14.25" customHeight="1">
      <c r="N644" s="192">
        <v>0</v>
      </c>
    </row>
    <row r="645" spans="14:14" ht="14.25" customHeight="1">
      <c r="N645" s="192">
        <v>0</v>
      </c>
    </row>
    <row r="646" spans="14:14" ht="14.25" customHeight="1">
      <c r="N646" s="192">
        <v>0</v>
      </c>
    </row>
    <row r="647" spans="14:14" ht="14.25" customHeight="1">
      <c r="N647" s="192">
        <v>0</v>
      </c>
    </row>
    <row r="648" spans="14:14" ht="14.25" customHeight="1">
      <c r="N648" s="192">
        <v>0</v>
      </c>
    </row>
    <row r="649" spans="14:14" ht="14.25" customHeight="1">
      <c r="N649" s="192">
        <v>0</v>
      </c>
    </row>
    <row r="650" spans="14:14" ht="14.25" customHeight="1">
      <c r="N650" s="192">
        <v>0</v>
      </c>
    </row>
    <row r="651" spans="14:14" ht="14.25" customHeight="1">
      <c r="N651" s="192">
        <v>0</v>
      </c>
    </row>
    <row r="652" spans="14:14" ht="14.25" customHeight="1">
      <c r="N652" s="192">
        <v>0</v>
      </c>
    </row>
    <row r="653" spans="14:14" ht="14.25" customHeight="1">
      <c r="N653" s="192">
        <v>0</v>
      </c>
    </row>
    <row r="654" spans="14:14" ht="14.25" customHeight="1">
      <c r="N654" s="192">
        <v>0</v>
      </c>
    </row>
    <row r="655" spans="14:14" ht="14.25" customHeight="1">
      <c r="N655" s="192">
        <v>0</v>
      </c>
    </row>
    <row r="656" spans="14:14" ht="14.25" customHeight="1">
      <c r="N656" s="192">
        <v>0</v>
      </c>
    </row>
    <row r="657" spans="14:14" ht="14.25" customHeight="1">
      <c r="N657" s="192">
        <v>0</v>
      </c>
    </row>
    <row r="658" spans="14:14" ht="14.25" customHeight="1">
      <c r="N658" s="192">
        <v>0</v>
      </c>
    </row>
    <row r="659" spans="14:14" ht="14.25" customHeight="1">
      <c r="N659" s="192">
        <v>0</v>
      </c>
    </row>
    <row r="660" spans="14:14" ht="14.25" customHeight="1">
      <c r="N660" s="192">
        <v>0</v>
      </c>
    </row>
    <row r="661" spans="14:14" ht="14.25" customHeight="1">
      <c r="N661" s="192">
        <v>0</v>
      </c>
    </row>
    <row r="662" spans="14:14" ht="14.25" customHeight="1">
      <c r="N662" s="192">
        <v>0</v>
      </c>
    </row>
    <row r="663" spans="14:14" ht="14.25" customHeight="1">
      <c r="N663" s="192">
        <v>0</v>
      </c>
    </row>
    <row r="664" spans="14:14" ht="14.25" customHeight="1">
      <c r="N664" s="192">
        <v>0</v>
      </c>
    </row>
    <row r="665" spans="14:14" ht="14.25" customHeight="1">
      <c r="N665" s="192">
        <v>0</v>
      </c>
    </row>
    <row r="666" spans="14:14" ht="14.25" customHeight="1">
      <c r="N666" s="192">
        <v>0</v>
      </c>
    </row>
    <row r="667" spans="14:14" ht="14.25" customHeight="1">
      <c r="N667" s="192">
        <v>0</v>
      </c>
    </row>
    <row r="668" spans="14:14" ht="14.25" customHeight="1">
      <c r="N668" s="192">
        <v>0</v>
      </c>
    </row>
    <row r="669" spans="14:14" ht="14.25" customHeight="1">
      <c r="N669" s="192">
        <v>0</v>
      </c>
    </row>
    <row r="670" spans="14:14" ht="14.25" customHeight="1">
      <c r="N670" s="192">
        <v>0</v>
      </c>
    </row>
    <row r="671" spans="14:14" ht="14.25" customHeight="1">
      <c r="N671" s="192">
        <v>0</v>
      </c>
    </row>
    <row r="672" spans="14:14" ht="14.25" customHeight="1">
      <c r="N672" s="192">
        <v>0</v>
      </c>
    </row>
    <row r="673" spans="14:14" ht="14.25" customHeight="1">
      <c r="N673" s="192">
        <v>0</v>
      </c>
    </row>
    <row r="674" spans="14:14" ht="14.25" customHeight="1">
      <c r="N674" s="192">
        <v>0</v>
      </c>
    </row>
    <row r="675" spans="14:14" ht="14.25" customHeight="1">
      <c r="N675" s="192">
        <v>0</v>
      </c>
    </row>
    <row r="676" spans="14:14" ht="14.25" customHeight="1">
      <c r="N676" s="192">
        <v>0</v>
      </c>
    </row>
    <row r="677" spans="14:14" ht="14.25" customHeight="1">
      <c r="N677" s="192">
        <v>0</v>
      </c>
    </row>
    <row r="678" spans="14:14" ht="14.25" customHeight="1">
      <c r="N678" s="192">
        <v>0</v>
      </c>
    </row>
    <row r="679" spans="14:14" ht="14.25" customHeight="1">
      <c r="N679" s="192">
        <v>0</v>
      </c>
    </row>
    <row r="680" spans="14:14" ht="14.25" customHeight="1">
      <c r="N680" s="192">
        <v>0</v>
      </c>
    </row>
    <row r="681" spans="14:14" ht="14.25" customHeight="1">
      <c r="N681" s="192">
        <v>0</v>
      </c>
    </row>
    <row r="682" spans="14:14" ht="14.25" customHeight="1">
      <c r="N682" s="192">
        <v>0</v>
      </c>
    </row>
    <row r="683" spans="14:14" ht="14.25" customHeight="1">
      <c r="N683" s="192">
        <v>0</v>
      </c>
    </row>
    <row r="684" spans="14:14" ht="14.25" customHeight="1">
      <c r="N684" s="192">
        <v>0</v>
      </c>
    </row>
    <row r="685" spans="14:14" ht="14.25" customHeight="1">
      <c r="N685" s="192">
        <v>0</v>
      </c>
    </row>
    <row r="686" spans="14:14" ht="14.25" customHeight="1">
      <c r="N686" s="192">
        <v>0</v>
      </c>
    </row>
    <row r="687" spans="14:14" ht="14.25" customHeight="1">
      <c r="N687" s="192">
        <v>0</v>
      </c>
    </row>
    <row r="688" spans="14:14" ht="14.25" customHeight="1">
      <c r="N688" s="192">
        <v>0</v>
      </c>
    </row>
    <row r="689" spans="14:14" ht="14.25" customHeight="1">
      <c r="N689" s="192">
        <v>0</v>
      </c>
    </row>
    <row r="690" spans="14:14" ht="14.25" customHeight="1">
      <c r="N690" s="192">
        <v>0</v>
      </c>
    </row>
    <row r="691" spans="14:14" ht="14.25" customHeight="1">
      <c r="N691" s="192">
        <v>0</v>
      </c>
    </row>
    <row r="692" spans="14:14" ht="14.25" customHeight="1">
      <c r="N692" s="192">
        <v>0</v>
      </c>
    </row>
    <row r="693" spans="14:14" ht="14.25" customHeight="1">
      <c r="N693" s="192">
        <v>0</v>
      </c>
    </row>
    <row r="694" spans="14:14" ht="14.25" customHeight="1">
      <c r="N694" s="192">
        <v>0</v>
      </c>
    </row>
    <row r="695" spans="14:14" ht="14.25" customHeight="1">
      <c r="N695" s="192">
        <v>0</v>
      </c>
    </row>
    <row r="696" spans="14:14" ht="14.25" customHeight="1">
      <c r="N696" s="192">
        <v>0</v>
      </c>
    </row>
    <row r="697" spans="14:14" ht="14.25" customHeight="1">
      <c r="N697" s="192">
        <v>0</v>
      </c>
    </row>
    <row r="698" spans="14:14" ht="14.25" customHeight="1">
      <c r="N698" s="192">
        <v>0</v>
      </c>
    </row>
    <row r="699" spans="14:14" ht="14.25" customHeight="1">
      <c r="N699" s="192">
        <v>0</v>
      </c>
    </row>
    <row r="700" spans="14:14" ht="14.25" customHeight="1">
      <c r="N700" s="192">
        <v>0</v>
      </c>
    </row>
    <row r="701" spans="14:14" ht="14.25" customHeight="1">
      <c r="N701" s="192">
        <v>0</v>
      </c>
    </row>
    <row r="702" spans="14:14" ht="14.25" customHeight="1">
      <c r="N702" s="192">
        <v>0</v>
      </c>
    </row>
    <row r="703" spans="14:14" ht="14.25" customHeight="1">
      <c r="N703" s="192">
        <v>0</v>
      </c>
    </row>
    <row r="704" spans="14:14" ht="14.25" customHeight="1">
      <c r="N704" s="192">
        <v>0</v>
      </c>
    </row>
    <row r="705" spans="14:14" ht="14.25" customHeight="1">
      <c r="N705" s="192">
        <v>0</v>
      </c>
    </row>
    <row r="706" spans="14:14" ht="14.25" customHeight="1">
      <c r="N706" s="192">
        <v>0</v>
      </c>
    </row>
    <row r="707" spans="14:14" ht="14.25" customHeight="1">
      <c r="N707" s="192">
        <v>0</v>
      </c>
    </row>
    <row r="708" spans="14:14" ht="14.25" customHeight="1">
      <c r="N708" s="192">
        <v>0</v>
      </c>
    </row>
    <row r="709" spans="14:14" ht="14.25" customHeight="1">
      <c r="N709" s="192">
        <v>0</v>
      </c>
    </row>
    <row r="710" spans="14:14" ht="14.25" customHeight="1">
      <c r="N710" s="192">
        <v>0</v>
      </c>
    </row>
    <row r="711" spans="14:14" ht="14.25" customHeight="1">
      <c r="N711" s="192">
        <v>0</v>
      </c>
    </row>
    <row r="712" spans="14:14" ht="14.25" customHeight="1">
      <c r="N712" s="192">
        <v>0</v>
      </c>
    </row>
    <row r="713" spans="14:14" ht="14.25" customHeight="1">
      <c r="N713" s="192">
        <v>0</v>
      </c>
    </row>
    <row r="714" spans="14:14" ht="14.25" customHeight="1">
      <c r="N714" s="192">
        <v>0</v>
      </c>
    </row>
    <row r="715" spans="14:14" ht="14.25" customHeight="1">
      <c r="N715" s="192">
        <v>0</v>
      </c>
    </row>
    <row r="716" spans="14:14" ht="14.25" customHeight="1">
      <c r="N716" s="192">
        <v>0</v>
      </c>
    </row>
    <row r="717" spans="14:14" ht="14.25" customHeight="1">
      <c r="N717" s="192">
        <v>0</v>
      </c>
    </row>
    <row r="718" spans="14:14" ht="14.25" customHeight="1">
      <c r="N718" s="192">
        <v>0</v>
      </c>
    </row>
    <row r="719" spans="14:14" ht="14.25" customHeight="1">
      <c r="N719" s="192">
        <v>0</v>
      </c>
    </row>
    <row r="720" spans="14:14" ht="14.25" customHeight="1">
      <c r="N720" s="192">
        <v>0</v>
      </c>
    </row>
    <row r="721" spans="14:14" ht="14.25" customHeight="1">
      <c r="N721" s="192">
        <v>0</v>
      </c>
    </row>
    <row r="722" spans="14:14" ht="14.25" customHeight="1">
      <c r="N722" s="192">
        <v>0</v>
      </c>
    </row>
    <row r="723" spans="14:14" ht="14.25" customHeight="1">
      <c r="N723" s="192">
        <v>0</v>
      </c>
    </row>
    <row r="724" spans="14:14" ht="14.25" customHeight="1">
      <c r="N724" s="192">
        <v>0</v>
      </c>
    </row>
    <row r="725" spans="14:14" ht="14.25" customHeight="1">
      <c r="N725" s="192">
        <v>0</v>
      </c>
    </row>
    <row r="726" spans="14:14" ht="14.25" customHeight="1">
      <c r="N726" s="192">
        <v>0</v>
      </c>
    </row>
    <row r="727" spans="14:14" ht="14.25" customHeight="1">
      <c r="N727" s="192">
        <v>0</v>
      </c>
    </row>
    <row r="728" spans="14:14" ht="14.25" customHeight="1">
      <c r="N728" s="192">
        <v>0</v>
      </c>
    </row>
    <row r="729" spans="14:14" ht="14.25" customHeight="1">
      <c r="N729" s="192">
        <v>0</v>
      </c>
    </row>
    <row r="730" spans="14:14" ht="14.25" customHeight="1">
      <c r="N730" s="192">
        <v>0</v>
      </c>
    </row>
    <row r="731" spans="14:14" ht="14.25" customHeight="1">
      <c r="N731" s="192">
        <v>0</v>
      </c>
    </row>
    <row r="732" spans="14:14" ht="14.25" customHeight="1">
      <c r="N732" s="192">
        <v>0</v>
      </c>
    </row>
    <row r="733" spans="14:14" ht="14.25" customHeight="1">
      <c r="N733" s="192">
        <v>0</v>
      </c>
    </row>
    <row r="734" spans="14:14" ht="14.25" customHeight="1">
      <c r="N734" s="192">
        <v>0</v>
      </c>
    </row>
    <row r="735" spans="14:14" ht="14.25" customHeight="1">
      <c r="N735" s="192">
        <v>0</v>
      </c>
    </row>
    <row r="736" spans="14:14" ht="14.25" customHeight="1">
      <c r="N736" s="192">
        <v>0</v>
      </c>
    </row>
    <row r="737" spans="14:14" ht="14.25" customHeight="1">
      <c r="N737" s="192">
        <v>0</v>
      </c>
    </row>
    <row r="738" spans="14:14" ht="14.25" customHeight="1">
      <c r="N738" s="192">
        <v>0</v>
      </c>
    </row>
    <row r="739" spans="14:14" ht="14.25" customHeight="1">
      <c r="N739" s="192">
        <v>0</v>
      </c>
    </row>
    <row r="740" spans="14:14" ht="14.25" customHeight="1">
      <c r="N740" s="192">
        <v>0</v>
      </c>
    </row>
    <row r="741" spans="14:14" ht="14.25" customHeight="1">
      <c r="N741" s="192">
        <v>0</v>
      </c>
    </row>
    <row r="742" spans="14:14" ht="14.25" customHeight="1">
      <c r="N742" s="192">
        <v>0</v>
      </c>
    </row>
    <row r="743" spans="14:14" ht="14.25" customHeight="1">
      <c r="N743" s="192">
        <v>0</v>
      </c>
    </row>
    <row r="744" spans="14:14" ht="14.25" customHeight="1">
      <c r="N744" s="192">
        <v>0</v>
      </c>
    </row>
    <row r="745" spans="14:14" ht="14.25" customHeight="1">
      <c r="N745" s="192">
        <v>0</v>
      </c>
    </row>
    <row r="746" spans="14:14" ht="14.25" customHeight="1">
      <c r="N746" s="192">
        <v>0</v>
      </c>
    </row>
    <row r="747" spans="14:14" ht="14.25" customHeight="1">
      <c r="N747" s="192">
        <v>0</v>
      </c>
    </row>
    <row r="748" spans="14:14" ht="14.25" customHeight="1">
      <c r="N748" s="192">
        <v>0</v>
      </c>
    </row>
    <row r="749" spans="14:14" ht="14.25" customHeight="1">
      <c r="N749" s="192">
        <v>0</v>
      </c>
    </row>
    <row r="750" spans="14:14" ht="14.25" customHeight="1">
      <c r="N750" s="192">
        <v>0</v>
      </c>
    </row>
    <row r="751" spans="14:14" ht="14.25" customHeight="1">
      <c r="N751" s="192">
        <v>0</v>
      </c>
    </row>
    <row r="752" spans="14:14" ht="14.25" customHeight="1">
      <c r="N752" s="192">
        <v>0</v>
      </c>
    </row>
    <row r="753" spans="14:14" ht="14.25" customHeight="1">
      <c r="N753" s="192">
        <v>0</v>
      </c>
    </row>
    <row r="754" spans="14:14" ht="14.25" customHeight="1">
      <c r="N754" s="192">
        <v>0</v>
      </c>
    </row>
    <row r="755" spans="14:14" ht="14.25" customHeight="1">
      <c r="N755" s="192">
        <v>0</v>
      </c>
    </row>
    <row r="756" spans="14:14" ht="14.25" customHeight="1">
      <c r="N756" s="192">
        <v>0</v>
      </c>
    </row>
    <row r="757" spans="14:14" ht="14.25" customHeight="1">
      <c r="N757" s="192">
        <v>0</v>
      </c>
    </row>
    <row r="758" spans="14:14" ht="14.25" customHeight="1">
      <c r="N758" s="192">
        <v>0</v>
      </c>
    </row>
    <row r="759" spans="14:14" ht="14.25" customHeight="1">
      <c r="N759" s="192">
        <v>0</v>
      </c>
    </row>
    <row r="760" spans="14:14" ht="14.25" customHeight="1">
      <c r="N760" s="192">
        <v>0</v>
      </c>
    </row>
    <row r="761" spans="14:14" ht="14.25" customHeight="1">
      <c r="N761" s="192">
        <v>0</v>
      </c>
    </row>
    <row r="762" spans="14:14" ht="14.25" customHeight="1">
      <c r="N762" s="192">
        <v>0</v>
      </c>
    </row>
    <row r="763" spans="14:14" ht="14.25" customHeight="1">
      <c r="N763" s="192">
        <v>0</v>
      </c>
    </row>
    <row r="764" spans="14:14" ht="14.25" customHeight="1">
      <c r="N764" s="192">
        <v>0</v>
      </c>
    </row>
    <row r="765" spans="14:14" ht="14.25" customHeight="1">
      <c r="N765" s="192">
        <v>0</v>
      </c>
    </row>
    <row r="766" spans="14:14" ht="14.25" customHeight="1">
      <c r="N766" s="192">
        <v>0</v>
      </c>
    </row>
    <row r="767" spans="14:14" ht="14.25" customHeight="1">
      <c r="N767" s="192">
        <v>0</v>
      </c>
    </row>
    <row r="768" spans="14:14" ht="14.25" customHeight="1">
      <c r="N768" s="192">
        <v>0</v>
      </c>
    </row>
    <row r="769" spans="14:14" ht="14.25" customHeight="1">
      <c r="N769" s="192">
        <v>0</v>
      </c>
    </row>
    <row r="770" spans="14:14" ht="14.25" customHeight="1">
      <c r="N770" s="192">
        <v>0</v>
      </c>
    </row>
    <row r="771" spans="14:14" ht="14.25" customHeight="1">
      <c r="N771" s="192">
        <v>0</v>
      </c>
    </row>
    <row r="772" spans="14:14" ht="14.25" customHeight="1">
      <c r="N772" s="192">
        <v>0</v>
      </c>
    </row>
    <row r="773" spans="14:14" ht="14.25" customHeight="1">
      <c r="N773" s="192">
        <v>0</v>
      </c>
    </row>
    <row r="774" spans="14:14" ht="14.25" customHeight="1">
      <c r="N774" s="192">
        <v>0</v>
      </c>
    </row>
    <row r="775" spans="14:14" ht="14.25" customHeight="1">
      <c r="N775" s="192">
        <v>0</v>
      </c>
    </row>
    <row r="776" spans="14:14" ht="14.25" customHeight="1">
      <c r="N776" s="192">
        <v>0</v>
      </c>
    </row>
    <row r="777" spans="14:14" ht="14.25" customHeight="1">
      <c r="N777" s="192">
        <v>0</v>
      </c>
    </row>
    <row r="778" spans="14:14" ht="14.25" customHeight="1">
      <c r="N778" s="192">
        <v>0</v>
      </c>
    </row>
    <row r="779" spans="14:14" ht="14.25" customHeight="1">
      <c r="N779" s="192">
        <v>0</v>
      </c>
    </row>
    <row r="780" spans="14:14" ht="14.25" customHeight="1">
      <c r="N780" s="192">
        <v>0</v>
      </c>
    </row>
    <row r="781" spans="14:14" ht="14.25" customHeight="1">
      <c r="N781" s="192">
        <v>0</v>
      </c>
    </row>
    <row r="782" spans="14:14" ht="14.25" customHeight="1">
      <c r="N782" s="192">
        <v>0</v>
      </c>
    </row>
    <row r="783" spans="14:14" ht="14.25" customHeight="1">
      <c r="N783" s="192">
        <v>0</v>
      </c>
    </row>
    <row r="784" spans="14:14" ht="14.25" customHeight="1">
      <c r="N784" s="192">
        <v>0</v>
      </c>
    </row>
    <row r="785" spans="14:14" ht="14.25" customHeight="1">
      <c r="N785" s="192">
        <v>0</v>
      </c>
    </row>
    <row r="786" spans="14:14" ht="14.25" customHeight="1">
      <c r="N786" s="192">
        <v>0</v>
      </c>
    </row>
    <row r="787" spans="14:14" ht="14.25" customHeight="1">
      <c r="N787" s="192">
        <v>0</v>
      </c>
    </row>
    <row r="788" spans="14:14" ht="14.25" customHeight="1">
      <c r="N788" s="192">
        <v>0</v>
      </c>
    </row>
    <row r="789" spans="14:14" ht="14.25" customHeight="1">
      <c r="N789" s="192">
        <v>0</v>
      </c>
    </row>
    <row r="790" spans="14:14" ht="14.25" customHeight="1">
      <c r="N790" s="192">
        <v>0</v>
      </c>
    </row>
    <row r="791" spans="14:14" ht="14.25" customHeight="1">
      <c r="N791" s="192">
        <v>0</v>
      </c>
    </row>
    <row r="792" spans="14:14" ht="14.25" customHeight="1">
      <c r="N792" s="192">
        <v>0</v>
      </c>
    </row>
    <row r="793" spans="14:14" ht="14.25" customHeight="1">
      <c r="N793" s="192">
        <v>0</v>
      </c>
    </row>
    <row r="794" spans="14:14" ht="14.25" customHeight="1">
      <c r="N794" s="192">
        <v>0</v>
      </c>
    </row>
    <row r="795" spans="14:14" ht="14.25" customHeight="1">
      <c r="N795" s="192">
        <v>0</v>
      </c>
    </row>
    <row r="796" spans="14:14" ht="14.25" customHeight="1">
      <c r="N796" s="192">
        <v>0</v>
      </c>
    </row>
    <row r="797" spans="14:14" ht="14.25" customHeight="1">
      <c r="N797" s="192">
        <v>0</v>
      </c>
    </row>
    <row r="798" spans="14:14" ht="14.25" customHeight="1">
      <c r="N798" s="192">
        <v>0</v>
      </c>
    </row>
    <row r="799" spans="14:14" ht="14.25" customHeight="1">
      <c r="N799" s="192">
        <v>0</v>
      </c>
    </row>
    <row r="800" spans="14:14" ht="14.25" customHeight="1">
      <c r="N800" s="192">
        <v>0</v>
      </c>
    </row>
    <row r="801" spans="14:14" ht="14.25" customHeight="1">
      <c r="N801" s="192">
        <v>0</v>
      </c>
    </row>
    <row r="802" spans="14:14" ht="14.25" customHeight="1">
      <c r="N802" s="192">
        <v>0</v>
      </c>
    </row>
    <row r="803" spans="14:14" ht="14.25" customHeight="1">
      <c r="N803" s="192">
        <v>0</v>
      </c>
    </row>
    <row r="804" spans="14:14" ht="14.25" customHeight="1">
      <c r="N804" s="192">
        <v>0</v>
      </c>
    </row>
    <row r="805" spans="14:14" ht="14.25" customHeight="1">
      <c r="N805" s="192">
        <v>0</v>
      </c>
    </row>
    <row r="806" spans="14:14" ht="14.25" customHeight="1">
      <c r="N806" s="192">
        <v>0</v>
      </c>
    </row>
    <row r="807" spans="14:14" ht="14.25" customHeight="1">
      <c r="N807" s="192">
        <v>0</v>
      </c>
    </row>
    <row r="808" spans="14:14" ht="14.25" customHeight="1">
      <c r="N808" s="192">
        <v>0</v>
      </c>
    </row>
    <row r="809" spans="14:14" ht="14.25" customHeight="1">
      <c r="N809" s="192">
        <v>0</v>
      </c>
    </row>
    <row r="810" spans="14:14" ht="14.25" customHeight="1">
      <c r="N810" s="192">
        <v>0</v>
      </c>
    </row>
    <row r="811" spans="14:14" ht="14.25" customHeight="1">
      <c r="N811" s="192">
        <v>0</v>
      </c>
    </row>
    <row r="812" spans="14:14" ht="14.25" customHeight="1">
      <c r="N812" s="192">
        <v>0</v>
      </c>
    </row>
    <row r="813" spans="14:14" ht="14.25" customHeight="1">
      <c r="N813" s="192">
        <v>0</v>
      </c>
    </row>
    <row r="814" spans="14:14" ht="14.25" customHeight="1">
      <c r="N814" s="192">
        <v>0</v>
      </c>
    </row>
    <row r="815" spans="14:14" ht="14.25" customHeight="1">
      <c r="N815" s="192">
        <v>0</v>
      </c>
    </row>
    <row r="816" spans="14:14" ht="14.25" customHeight="1">
      <c r="N816" s="192">
        <v>0</v>
      </c>
    </row>
    <row r="817" spans="14:14" ht="14.25" customHeight="1">
      <c r="N817" s="192">
        <v>0</v>
      </c>
    </row>
    <row r="818" spans="14:14" ht="14.25" customHeight="1">
      <c r="N818" s="192">
        <v>0</v>
      </c>
    </row>
    <row r="819" spans="14:14" ht="14.25" customHeight="1">
      <c r="N819" s="192">
        <v>0</v>
      </c>
    </row>
    <row r="820" spans="14:14" ht="14.25" customHeight="1">
      <c r="N820" s="192">
        <v>0</v>
      </c>
    </row>
    <row r="821" spans="14:14" ht="14.25" customHeight="1">
      <c r="N821" s="192">
        <v>0</v>
      </c>
    </row>
    <row r="822" spans="14:14" ht="14.25" customHeight="1">
      <c r="N822" s="192">
        <v>0</v>
      </c>
    </row>
    <row r="823" spans="14:14" ht="14.25" customHeight="1">
      <c r="N823" s="192">
        <v>0</v>
      </c>
    </row>
    <row r="824" spans="14:14" ht="14.25" customHeight="1">
      <c r="N824" s="192">
        <v>0</v>
      </c>
    </row>
    <row r="825" spans="14:14" ht="14.25" customHeight="1">
      <c r="N825" s="192">
        <v>0</v>
      </c>
    </row>
    <row r="826" spans="14:14" ht="14.25" customHeight="1">
      <c r="N826" s="192">
        <v>0</v>
      </c>
    </row>
    <row r="827" spans="14:14" ht="14.25" customHeight="1">
      <c r="N827" s="192">
        <v>0</v>
      </c>
    </row>
    <row r="828" spans="14:14" ht="14.25" customHeight="1">
      <c r="N828" s="192">
        <v>0</v>
      </c>
    </row>
    <row r="829" spans="14:14" ht="14.25" customHeight="1">
      <c r="N829" s="192">
        <v>0</v>
      </c>
    </row>
    <row r="830" spans="14:14" ht="14.25" customHeight="1">
      <c r="N830" s="192">
        <v>0</v>
      </c>
    </row>
    <row r="831" spans="14:14" ht="14.25" customHeight="1">
      <c r="N831" s="192">
        <v>0</v>
      </c>
    </row>
    <row r="832" spans="14:14" ht="14.25" customHeight="1">
      <c r="N832" s="192">
        <v>0</v>
      </c>
    </row>
    <row r="833" spans="14:14" ht="14.25" customHeight="1">
      <c r="N833" s="192">
        <v>0</v>
      </c>
    </row>
    <row r="834" spans="14:14" ht="14.25" customHeight="1">
      <c r="N834" s="192">
        <v>0</v>
      </c>
    </row>
    <row r="835" spans="14:14" ht="14.25" customHeight="1">
      <c r="N835" s="192">
        <v>0</v>
      </c>
    </row>
    <row r="836" spans="14:14" ht="14.25" customHeight="1">
      <c r="N836" s="192">
        <v>0</v>
      </c>
    </row>
    <row r="837" spans="14:14" ht="14.25" customHeight="1">
      <c r="N837" s="192">
        <v>0</v>
      </c>
    </row>
    <row r="838" spans="14:14" ht="14.25" customHeight="1">
      <c r="N838" s="192">
        <v>0</v>
      </c>
    </row>
    <row r="839" spans="14:14" ht="14.25" customHeight="1">
      <c r="N839" s="192">
        <v>0</v>
      </c>
    </row>
    <row r="840" spans="14:14" ht="14.25" customHeight="1">
      <c r="N840" s="192">
        <v>0</v>
      </c>
    </row>
    <row r="841" spans="14:14" ht="14.25" customHeight="1">
      <c r="N841" s="192">
        <v>0</v>
      </c>
    </row>
    <row r="842" spans="14:14" ht="14.25" customHeight="1">
      <c r="N842" s="192">
        <v>0</v>
      </c>
    </row>
    <row r="843" spans="14:14" ht="14.25" customHeight="1">
      <c r="N843" s="192">
        <v>0</v>
      </c>
    </row>
    <row r="844" spans="14:14" ht="14.25" customHeight="1">
      <c r="N844" s="192">
        <v>0</v>
      </c>
    </row>
    <row r="845" spans="14:14" ht="14.25" customHeight="1">
      <c r="N845" s="192">
        <v>0</v>
      </c>
    </row>
    <row r="846" spans="14:14" ht="14.25" customHeight="1">
      <c r="N846" s="192">
        <v>0</v>
      </c>
    </row>
    <row r="847" spans="14:14" ht="14.25" customHeight="1">
      <c r="N847" s="192">
        <v>0</v>
      </c>
    </row>
    <row r="848" spans="14:14" ht="14.25" customHeight="1">
      <c r="N848" s="192">
        <v>0</v>
      </c>
    </row>
    <row r="849" spans="14:14" ht="14.25" customHeight="1">
      <c r="N849" s="192">
        <v>0</v>
      </c>
    </row>
    <row r="850" spans="14:14" ht="14.25" customHeight="1">
      <c r="N850" s="192">
        <v>0</v>
      </c>
    </row>
    <row r="851" spans="14:14" ht="14.25" customHeight="1">
      <c r="N851" s="192">
        <v>0</v>
      </c>
    </row>
    <row r="852" spans="14:14" ht="14.25" customHeight="1">
      <c r="N852" s="192">
        <v>0</v>
      </c>
    </row>
    <row r="853" spans="14:14" ht="14.25" customHeight="1">
      <c r="N853" s="192">
        <v>0</v>
      </c>
    </row>
    <row r="854" spans="14:14" ht="14.25" customHeight="1">
      <c r="N854" s="192">
        <v>0</v>
      </c>
    </row>
    <row r="855" spans="14:14" ht="14.25" customHeight="1">
      <c r="N855" s="192">
        <v>0</v>
      </c>
    </row>
    <row r="856" spans="14:14" ht="14.25" customHeight="1">
      <c r="N856" s="192">
        <v>0</v>
      </c>
    </row>
    <row r="857" spans="14:14" ht="14.25" customHeight="1">
      <c r="N857" s="192">
        <v>0</v>
      </c>
    </row>
    <row r="858" spans="14:14" ht="14.25" customHeight="1">
      <c r="N858" s="192">
        <v>0</v>
      </c>
    </row>
    <row r="859" spans="14:14" ht="14.25" customHeight="1">
      <c r="N859" s="192">
        <v>0</v>
      </c>
    </row>
    <row r="860" spans="14:14" ht="14.25" customHeight="1">
      <c r="N860" s="192">
        <v>0</v>
      </c>
    </row>
    <row r="861" spans="14:14" ht="14.25" customHeight="1">
      <c r="N861" s="192">
        <v>0</v>
      </c>
    </row>
    <row r="862" spans="14:14" ht="14.25" customHeight="1">
      <c r="N862" s="192">
        <v>0</v>
      </c>
    </row>
    <row r="863" spans="14:14" ht="14.25" customHeight="1">
      <c r="N863" s="192">
        <v>0</v>
      </c>
    </row>
    <row r="864" spans="14:14" ht="14.25" customHeight="1">
      <c r="N864" s="192">
        <v>0</v>
      </c>
    </row>
    <row r="865" spans="14:14" ht="14.25" customHeight="1">
      <c r="N865" s="192">
        <v>0</v>
      </c>
    </row>
    <row r="866" spans="14:14" ht="14.25" customHeight="1">
      <c r="N866" s="192">
        <v>0</v>
      </c>
    </row>
    <row r="867" spans="14:14" ht="14.25" customHeight="1">
      <c r="N867" s="192">
        <v>0</v>
      </c>
    </row>
    <row r="868" spans="14:14" ht="14.25" customHeight="1">
      <c r="N868" s="192">
        <v>0</v>
      </c>
    </row>
    <row r="869" spans="14:14" ht="14.25" customHeight="1">
      <c r="N869" s="192">
        <v>0</v>
      </c>
    </row>
    <row r="870" spans="14:14" ht="14.25" customHeight="1">
      <c r="N870" s="192">
        <v>0</v>
      </c>
    </row>
    <row r="871" spans="14:14" ht="14.25" customHeight="1">
      <c r="N871" s="192">
        <v>0</v>
      </c>
    </row>
    <row r="872" spans="14:14" ht="14.25" customHeight="1">
      <c r="N872" s="192">
        <v>0</v>
      </c>
    </row>
    <row r="873" spans="14:14" ht="14.25" customHeight="1">
      <c r="N873" s="192">
        <v>0</v>
      </c>
    </row>
    <row r="874" spans="14:14" ht="14.25" customHeight="1">
      <c r="N874" s="192">
        <v>0</v>
      </c>
    </row>
    <row r="875" spans="14:14" ht="14.25" customHeight="1">
      <c r="N875" s="192">
        <v>0</v>
      </c>
    </row>
    <row r="876" spans="14:14" ht="14.25" customHeight="1">
      <c r="N876" s="192">
        <v>0</v>
      </c>
    </row>
    <row r="877" spans="14:14" ht="14.25" customHeight="1">
      <c r="N877" s="192">
        <v>0</v>
      </c>
    </row>
    <row r="878" spans="14:14" ht="14.25" customHeight="1">
      <c r="N878" s="192">
        <v>0</v>
      </c>
    </row>
    <row r="879" spans="14:14" ht="14.25" customHeight="1">
      <c r="N879" s="192">
        <v>0</v>
      </c>
    </row>
    <row r="880" spans="14:14" ht="14.25" customHeight="1">
      <c r="N880" s="192">
        <v>0</v>
      </c>
    </row>
    <row r="881" spans="14:14" ht="14.25" customHeight="1">
      <c r="N881" s="192">
        <v>0</v>
      </c>
    </row>
    <row r="882" spans="14:14" ht="14.25" customHeight="1">
      <c r="N882" s="192">
        <v>0</v>
      </c>
    </row>
    <row r="883" spans="14:14" ht="14.25" customHeight="1">
      <c r="N883" s="192">
        <v>0</v>
      </c>
    </row>
    <row r="884" spans="14:14" ht="14.25" customHeight="1">
      <c r="N884" s="192">
        <v>0</v>
      </c>
    </row>
    <row r="885" spans="14:14" ht="14.25" customHeight="1">
      <c r="N885" s="192">
        <v>0</v>
      </c>
    </row>
    <row r="886" spans="14:14" ht="14.25" customHeight="1">
      <c r="N886" s="192">
        <v>0</v>
      </c>
    </row>
    <row r="887" spans="14:14" ht="14.25" customHeight="1">
      <c r="N887" s="192">
        <v>0</v>
      </c>
    </row>
    <row r="888" spans="14:14" ht="14.25" customHeight="1">
      <c r="N888" s="192">
        <v>0</v>
      </c>
    </row>
    <row r="889" spans="14:14" ht="14.25" customHeight="1">
      <c r="N889" s="192">
        <v>0</v>
      </c>
    </row>
    <row r="890" spans="14:14" ht="14.25" customHeight="1">
      <c r="N890" s="192">
        <v>0</v>
      </c>
    </row>
    <row r="891" spans="14:14" ht="14.25" customHeight="1">
      <c r="N891" s="192">
        <v>0</v>
      </c>
    </row>
    <row r="892" spans="14:14" ht="14.25" customHeight="1">
      <c r="N892" s="192">
        <v>0</v>
      </c>
    </row>
    <row r="893" spans="14:14" ht="14.25" customHeight="1">
      <c r="N893" s="192">
        <v>0</v>
      </c>
    </row>
    <row r="894" spans="14:14" ht="14.25" customHeight="1">
      <c r="N894" s="192">
        <v>0</v>
      </c>
    </row>
    <row r="895" spans="14:14" ht="14.25" customHeight="1">
      <c r="N895" s="192">
        <v>0</v>
      </c>
    </row>
    <row r="896" spans="14:14" ht="14.25" customHeight="1">
      <c r="N896" s="192">
        <v>0</v>
      </c>
    </row>
    <row r="897" spans="14:14" ht="14.25" customHeight="1">
      <c r="N897" s="192">
        <v>0</v>
      </c>
    </row>
    <row r="898" spans="14:14" ht="14.25" customHeight="1">
      <c r="N898" s="192">
        <v>0</v>
      </c>
    </row>
    <row r="899" spans="14:14" ht="14.25" customHeight="1">
      <c r="N899" s="192">
        <v>0</v>
      </c>
    </row>
    <row r="900" spans="14:14" ht="14.25" customHeight="1">
      <c r="N900" s="192">
        <v>0</v>
      </c>
    </row>
    <row r="901" spans="14:14" ht="14.25" customHeight="1">
      <c r="N901" s="192">
        <v>0</v>
      </c>
    </row>
    <row r="902" spans="14:14" ht="14.25" customHeight="1">
      <c r="N902" s="192">
        <v>0</v>
      </c>
    </row>
    <row r="903" spans="14:14" ht="14.25" customHeight="1">
      <c r="N903" s="192">
        <v>0</v>
      </c>
    </row>
    <row r="904" spans="14:14" ht="14.25" customHeight="1">
      <c r="N904" s="192">
        <v>0</v>
      </c>
    </row>
    <row r="905" spans="14:14" ht="14.25" customHeight="1">
      <c r="N905" s="192">
        <v>0</v>
      </c>
    </row>
    <row r="906" spans="14:14" ht="14.25" customHeight="1">
      <c r="N906" s="192">
        <v>0</v>
      </c>
    </row>
    <row r="907" spans="14:14" ht="14.25" customHeight="1">
      <c r="N907" s="192">
        <v>0</v>
      </c>
    </row>
    <row r="908" spans="14:14" ht="14.25" customHeight="1">
      <c r="N908" s="192">
        <v>0</v>
      </c>
    </row>
    <row r="909" spans="14:14" ht="14.25" customHeight="1">
      <c r="N909" s="192">
        <v>0</v>
      </c>
    </row>
    <row r="910" spans="14:14" ht="14.25" customHeight="1">
      <c r="N910" s="192">
        <v>0</v>
      </c>
    </row>
    <row r="911" spans="14:14" ht="14.25" customHeight="1">
      <c r="N911" s="192">
        <v>0</v>
      </c>
    </row>
    <row r="912" spans="14:14" ht="14.25" customHeight="1">
      <c r="N912" s="192">
        <v>0</v>
      </c>
    </row>
    <row r="913" spans="14:14" ht="14.25" customHeight="1">
      <c r="N913" s="192">
        <v>0</v>
      </c>
    </row>
    <row r="914" spans="14:14" ht="14.25" customHeight="1">
      <c r="N914" s="192">
        <v>0</v>
      </c>
    </row>
    <row r="915" spans="14:14" ht="14.25" customHeight="1">
      <c r="N915" s="192">
        <v>0</v>
      </c>
    </row>
    <row r="916" spans="14:14" ht="14.25" customHeight="1">
      <c r="N916" s="192">
        <v>0</v>
      </c>
    </row>
    <row r="917" spans="14:14" ht="14.25" customHeight="1">
      <c r="N917" s="192">
        <v>0</v>
      </c>
    </row>
    <row r="918" spans="14:14" ht="14.25" customHeight="1">
      <c r="N918" s="192">
        <v>0</v>
      </c>
    </row>
    <row r="919" spans="14:14" ht="14.25" customHeight="1">
      <c r="N919" s="192">
        <v>0</v>
      </c>
    </row>
    <row r="920" spans="14:14" ht="14.25" customHeight="1">
      <c r="N920" s="192">
        <v>0</v>
      </c>
    </row>
    <row r="921" spans="14:14" ht="14.25" customHeight="1">
      <c r="N921" s="192">
        <v>0</v>
      </c>
    </row>
    <row r="922" spans="14:14" ht="14.25" customHeight="1">
      <c r="N922" s="192">
        <v>0</v>
      </c>
    </row>
    <row r="923" spans="14:14" ht="14.25" customHeight="1">
      <c r="N923" s="192">
        <v>0</v>
      </c>
    </row>
    <row r="924" spans="14:14" ht="14.25" customHeight="1">
      <c r="N924" s="192">
        <v>0</v>
      </c>
    </row>
    <row r="925" spans="14:14" ht="14.25" customHeight="1">
      <c r="N925" s="192">
        <v>0</v>
      </c>
    </row>
    <row r="926" spans="14:14" ht="14.25" customHeight="1">
      <c r="N926" s="192">
        <v>0</v>
      </c>
    </row>
    <row r="927" spans="14:14" ht="14.25" customHeight="1">
      <c r="N927" s="192">
        <v>0</v>
      </c>
    </row>
    <row r="928" spans="14:14" ht="14.25" customHeight="1">
      <c r="N928" s="192">
        <v>0</v>
      </c>
    </row>
    <row r="929" spans="14:14" ht="14.25" customHeight="1">
      <c r="N929" s="192">
        <v>0</v>
      </c>
    </row>
    <row r="930" spans="14:14" ht="14.25" customHeight="1">
      <c r="N930" s="192">
        <v>0</v>
      </c>
    </row>
    <row r="931" spans="14:14" ht="14.25" customHeight="1">
      <c r="N931" s="192">
        <v>0</v>
      </c>
    </row>
    <row r="932" spans="14:14" ht="14.25" customHeight="1">
      <c r="N932" s="192">
        <v>0</v>
      </c>
    </row>
    <row r="933" spans="14:14" ht="14.25" customHeight="1">
      <c r="N933" s="192">
        <v>0</v>
      </c>
    </row>
    <row r="934" spans="14:14" ht="14.25" customHeight="1">
      <c r="N934" s="192">
        <v>0</v>
      </c>
    </row>
    <row r="935" spans="14:14" ht="14.25" customHeight="1">
      <c r="N935" s="192">
        <v>0</v>
      </c>
    </row>
    <row r="936" spans="14:14" ht="14.25" customHeight="1">
      <c r="N936" s="192">
        <v>0</v>
      </c>
    </row>
    <row r="937" spans="14:14" ht="14.25" customHeight="1">
      <c r="N937" s="192">
        <v>0</v>
      </c>
    </row>
    <row r="938" spans="14:14" ht="14.25" customHeight="1">
      <c r="N938" s="192">
        <v>0</v>
      </c>
    </row>
    <row r="939" spans="14:14" ht="14.25" customHeight="1">
      <c r="N939" s="192">
        <v>0</v>
      </c>
    </row>
    <row r="940" spans="14:14" ht="14.25" customHeight="1">
      <c r="N940" s="192">
        <v>0</v>
      </c>
    </row>
    <row r="941" spans="14:14" ht="14.25" customHeight="1">
      <c r="N941" s="192">
        <v>0</v>
      </c>
    </row>
    <row r="942" spans="14:14" ht="14.25" customHeight="1">
      <c r="N942" s="192">
        <v>0</v>
      </c>
    </row>
    <row r="943" spans="14:14" ht="14.25" customHeight="1">
      <c r="N943" s="192">
        <v>0</v>
      </c>
    </row>
    <row r="944" spans="14:14" ht="14.25" customHeight="1">
      <c r="N944" s="192">
        <v>0</v>
      </c>
    </row>
    <row r="945" spans="14:14" ht="14.25" customHeight="1">
      <c r="N945" s="192">
        <v>0</v>
      </c>
    </row>
    <row r="946" spans="14:14" ht="14.25" customHeight="1">
      <c r="N946" s="192">
        <v>0</v>
      </c>
    </row>
    <row r="947" spans="14:14" ht="14.25" customHeight="1">
      <c r="N947" s="192">
        <v>0</v>
      </c>
    </row>
    <row r="948" spans="14:14" ht="14.25" customHeight="1">
      <c r="N948" s="192">
        <v>0</v>
      </c>
    </row>
    <row r="949" spans="14:14" ht="14.25" customHeight="1">
      <c r="N949" s="192">
        <v>0</v>
      </c>
    </row>
    <row r="950" spans="14:14" ht="14.25" customHeight="1">
      <c r="N950" s="192">
        <v>0</v>
      </c>
    </row>
    <row r="951" spans="14:14" ht="14.25" customHeight="1">
      <c r="N951" s="192">
        <v>0</v>
      </c>
    </row>
    <row r="952" spans="14:14" ht="14.25" customHeight="1">
      <c r="N952" s="192">
        <v>0</v>
      </c>
    </row>
    <row r="953" spans="14:14" ht="14.25" customHeight="1">
      <c r="N953" s="192">
        <v>0</v>
      </c>
    </row>
    <row r="954" spans="14:14" ht="14.25" customHeight="1">
      <c r="N954" s="192">
        <v>0</v>
      </c>
    </row>
    <row r="955" spans="14:14" ht="14.25" customHeight="1">
      <c r="N955" s="192">
        <v>0</v>
      </c>
    </row>
    <row r="956" spans="14:14" ht="14.25" customHeight="1">
      <c r="N956" s="192">
        <v>0</v>
      </c>
    </row>
    <row r="957" spans="14:14" ht="14.25" customHeight="1">
      <c r="N957" s="192">
        <v>0</v>
      </c>
    </row>
    <row r="958" spans="14:14" ht="14.25" customHeight="1">
      <c r="N958" s="192">
        <v>0</v>
      </c>
    </row>
    <row r="959" spans="14:14" ht="14.25" customHeight="1">
      <c r="N959" s="192">
        <v>0</v>
      </c>
    </row>
    <row r="960" spans="14:14" ht="14.25" customHeight="1">
      <c r="N960" s="192">
        <v>0</v>
      </c>
    </row>
    <row r="961" spans="14:14" ht="14.25" customHeight="1">
      <c r="N961" s="192">
        <v>0</v>
      </c>
    </row>
    <row r="962" spans="14:14" ht="14.25" customHeight="1">
      <c r="N962" s="192">
        <v>0</v>
      </c>
    </row>
    <row r="963" spans="14:14" ht="14.25" customHeight="1">
      <c r="N963" s="192">
        <v>0</v>
      </c>
    </row>
    <row r="964" spans="14:14" ht="14.25" customHeight="1">
      <c r="N964" s="192">
        <v>0</v>
      </c>
    </row>
    <row r="965" spans="14:14" ht="14.25" customHeight="1">
      <c r="N965" s="192">
        <v>0</v>
      </c>
    </row>
    <row r="966" spans="14:14" ht="14.25" customHeight="1">
      <c r="N966" s="192">
        <v>0</v>
      </c>
    </row>
    <row r="967" spans="14:14" ht="14.25" customHeight="1">
      <c r="N967" s="192">
        <v>0</v>
      </c>
    </row>
    <row r="968" spans="14:14" ht="14.25" customHeight="1">
      <c r="N968" s="192">
        <v>0</v>
      </c>
    </row>
    <row r="969" spans="14:14" ht="14.25" customHeight="1">
      <c r="N969" s="192">
        <v>0</v>
      </c>
    </row>
    <row r="970" spans="14:14" ht="14.25" customHeight="1">
      <c r="N970" s="192">
        <v>0</v>
      </c>
    </row>
    <row r="971" spans="14:14" ht="14.25" customHeight="1">
      <c r="N971" s="192">
        <v>0</v>
      </c>
    </row>
    <row r="972" spans="14:14" ht="14.25" customHeight="1">
      <c r="N972" s="192">
        <v>0</v>
      </c>
    </row>
    <row r="973" spans="14:14" ht="14.25" customHeight="1">
      <c r="N973" s="192">
        <v>0</v>
      </c>
    </row>
    <row r="974" spans="14:14" ht="14.25" customHeight="1">
      <c r="N974" s="192">
        <v>0</v>
      </c>
    </row>
    <row r="975" spans="14:14" ht="14.25" customHeight="1">
      <c r="N975" s="192">
        <v>0</v>
      </c>
    </row>
    <row r="976" spans="14:14" ht="14.25" customHeight="1">
      <c r="N976" s="192">
        <v>0</v>
      </c>
    </row>
    <row r="977" spans="14:14" ht="14.25" customHeight="1">
      <c r="N977" s="192">
        <v>0</v>
      </c>
    </row>
    <row r="978" spans="14:14" ht="14.25" customHeight="1">
      <c r="N978" s="192">
        <v>0</v>
      </c>
    </row>
    <row r="979" spans="14:14" ht="14.25" customHeight="1">
      <c r="N979" s="192">
        <v>0</v>
      </c>
    </row>
    <row r="980" spans="14:14" ht="14.25" customHeight="1">
      <c r="N980" s="192">
        <v>0</v>
      </c>
    </row>
    <row r="981" spans="14:14" ht="14.25" customHeight="1">
      <c r="N981" s="192">
        <v>0</v>
      </c>
    </row>
    <row r="982" spans="14:14" ht="14.25" customHeight="1">
      <c r="N982" s="192">
        <v>0</v>
      </c>
    </row>
    <row r="983" spans="14:14" ht="14.25" customHeight="1">
      <c r="N983" s="192">
        <v>0</v>
      </c>
    </row>
    <row r="984" spans="14:14" ht="14.25" customHeight="1">
      <c r="N984" s="192">
        <v>0</v>
      </c>
    </row>
    <row r="985" spans="14:14" ht="14.25" customHeight="1">
      <c r="N985" s="192">
        <v>0</v>
      </c>
    </row>
    <row r="986" spans="14:14" ht="14.25" customHeight="1">
      <c r="N986" s="192">
        <v>0</v>
      </c>
    </row>
    <row r="987" spans="14:14" ht="14.25" customHeight="1">
      <c r="N987" s="192">
        <v>0</v>
      </c>
    </row>
    <row r="988" spans="14:14" ht="14.25" customHeight="1">
      <c r="N988" s="192">
        <v>0</v>
      </c>
    </row>
    <row r="989" spans="14:14" ht="14.25" customHeight="1">
      <c r="N989" s="192">
        <v>0</v>
      </c>
    </row>
    <row r="990" spans="14:14" ht="14.25" customHeight="1">
      <c r="N990" s="192">
        <v>0</v>
      </c>
    </row>
    <row r="991" spans="14:14" ht="14.25" customHeight="1">
      <c r="N991" s="192">
        <v>0</v>
      </c>
    </row>
    <row r="992" spans="14:14" ht="14.25" customHeight="1">
      <c r="N992" s="192">
        <v>0</v>
      </c>
    </row>
    <row r="993" spans="14:14" ht="14.25" customHeight="1">
      <c r="N993" s="192">
        <v>0</v>
      </c>
    </row>
    <row r="994" spans="14:14" ht="14.25" customHeight="1">
      <c r="N994" s="192">
        <v>0</v>
      </c>
    </row>
    <row r="995" spans="14:14" ht="14.25" customHeight="1">
      <c r="N995" s="192">
        <v>0</v>
      </c>
    </row>
    <row r="996" spans="14:14" ht="14.25" customHeight="1">
      <c r="N996" s="192">
        <v>0</v>
      </c>
    </row>
    <row r="997" spans="14:14" ht="14.25" customHeight="1">
      <c r="N997" s="192">
        <v>0</v>
      </c>
    </row>
    <row r="998" spans="14:14" ht="14.25" customHeight="1">
      <c r="N998" s="192">
        <v>0</v>
      </c>
    </row>
    <row r="999" spans="14:14" ht="14.25" customHeight="1">
      <c r="N999" s="192">
        <v>0</v>
      </c>
    </row>
    <row r="1000" spans="14:14" ht="14.25" customHeight="1">
      <c r="N1000" s="192">
        <v>0</v>
      </c>
    </row>
    <row r="1001" spans="14:14" ht="14.25" customHeight="1">
      <c r="N1001" s="192">
        <v>0</v>
      </c>
    </row>
    <row r="1002" spans="14:14" ht="14.25" customHeight="1">
      <c r="N1002" s="192">
        <v>0</v>
      </c>
    </row>
    <row r="1003" spans="14:14" ht="14.25" customHeight="1">
      <c r="N1003" s="192">
        <v>0</v>
      </c>
    </row>
    <row r="1004" spans="14:14" ht="14.25" customHeight="1">
      <c r="N1004" s="192">
        <v>0</v>
      </c>
    </row>
    <row r="1005" spans="14:14" ht="14.25" customHeight="1">
      <c r="N1005" s="192">
        <v>0</v>
      </c>
    </row>
    <row r="1006" spans="14:14" ht="14.25" customHeight="1">
      <c r="N1006" s="192">
        <v>0</v>
      </c>
    </row>
    <row r="1007" spans="14:14" ht="14.25" customHeight="1">
      <c r="N1007" s="192">
        <v>0</v>
      </c>
    </row>
    <row r="1008" spans="14:14" ht="14.25" customHeight="1">
      <c r="N1008" s="192">
        <v>0</v>
      </c>
    </row>
    <row r="1009" spans="14:14" ht="14.25" customHeight="1">
      <c r="N1009" s="192">
        <v>0</v>
      </c>
    </row>
    <row r="1010" spans="14:14" ht="14.25" customHeight="1">
      <c r="N1010" s="192">
        <v>0</v>
      </c>
    </row>
    <row r="1011" spans="14:14" ht="14.25" customHeight="1">
      <c r="N1011" s="192">
        <v>0</v>
      </c>
    </row>
    <row r="1012" spans="14:14" ht="14.25" customHeight="1">
      <c r="N1012" s="192">
        <v>0</v>
      </c>
    </row>
    <row r="1013" spans="14:14" ht="14.25" customHeight="1">
      <c r="N1013" s="192">
        <v>0</v>
      </c>
    </row>
    <row r="1014" spans="14:14" ht="14.25" customHeight="1">
      <c r="N1014" s="192">
        <v>0</v>
      </c>
    </row>
    <row r="1015" spans="14:14" ht="14.25" customHeight="1">
      <c r="N1015" s="192">
        <v>0</v>
      </c>
    </row>
    <row r="1016" spans="14:14" ht="14.25" customHeight="1">
      <c r="N1016" s="192">
        <v>0</v>
      </c>
    </row>
    <row r="1017" spans="14:14" ht="14.25" customHeight="1">
      <c r="N1017" s="192">
        <v>0</v>
      </c>
    </row>
    <row r="1018" spans="14:14" ht="14.25" customHeight="1">
      <c r="N1018" s="192">
        <v>0</v>
      </c>
    </row>
    <row r="1019" spans="14:14" ht="14.25" customHeight="1">
      <c r="N1019" s="192">
        <v>0</v>
      </c>
    </row>
    <row r="1020" spans="14:14" ht="14.25" customHeight="1">
      <c r="N1020" s="192">
        <v>0</v>
      </c>
    </row>
    <row r="1021" spans="14:14" ht="14.25" customHeight="1">
      <c r="N1021" s="192">
        <v>0</v>
      </c>
    </row>
    <row r="1022" spans="14:14" ht="14.25" customHeight="1">
      <c r="N1022" s="192">
        <v>0</v>
      </c>
    </row>
    <row r="1023" spans="14:14" ht="14.25" customHeight="1">
      <c r="N1023" s="192">
        <v>0</v>
      </c>
    </row>
    <row r="1024" spans="14:14" ht="14.25" customHeight="1">
      <c r="N1024" s="192">
        <v>0</v>
      </c>
    </row>
    <row r="1025" spans="14:14" ht="14.25" customHeight="1">
      <c r="N1025" s="192">
        <v>0</v>
      </c>
    </row>
    <row r="1026" spans="14:14" ht="14.25" customHeight="1">
      <c r="N1026" s="192">
        <v>0</v>
      </c>
    </row>
    <row r="1027" spans="14:14" ht="14.25" customHeight="1">
      <c r="N1027" s="192">
        <v>0</v>
      </c>
    </row>
    <row r="1028" spans="14:14" ht="14.25" customHeight="1">
      <c r="N1028" s="192">
        <v>0</v>
      </c>
    </row>
    <row r="1029" spans="14:14" ht="14.25" customHeight="1">
      <c r="N1029" s="192">
        <v>0</v>
      </c>
    </row>
    <row r="1030" spans="14:14" ht="14.25" customHeight="1">
      <c r="N1030" s="192">
        <v>0</v>
      </c>
    </row>
    <row r="1031" spans="14:14" ht="14.25" customHeight="1">
      <c r="N1031" s="192">
        <v>0</v>
      </c>
    </row>
    <row r="1032" spans="14:14" ht="14.25" customHeight="1">
      <c r="N1032" s="192">
        <v>0</v>
      </c>
    </row>
    <row r="1033" spans="14:14" ht="14.25" customHeight="1">
      <c r="N1033" s="192">
        <v>0</v>
      </c>
    </row>
    <row r="1034" spans="14:14" ht="14.25" customHeight="1">
      <c r="N1034" s="192">
        <v>0</v>
      </c>
    </row>
    <row r="1035" spans="14:14" ht="14.25" customHeight="1">
      <c r="N1035" s="192">
        <v>0</v>
      </c>
    </row>
    <row r="1036" spans="14:14" ht="14.25" customHeight="1">
      <c r="N1036" s="192">
        <v>0</v>
      </c>
    </row>
    <row r="1037" spans="14:14" ht="14.25" customHeight="1">
      <c r="N1037" s="192">
        <v>0</v>
      </c>
    </row>
    <row r="1038" spans="14:14" ht="14.25" customHeight="1">
      <c r="N1038" s="192">
        <v>0</v>
      </c>
    </row>
    <row r="1039" spans="14:14" ht="14.25" customHeight="1">
      <c r="N1039" s="192">
        <v>0</v>
      </c>
    </row>
    <row r="1040" spans="14:14" ht="14.25" customHeight="1">
      <c r="N1040" s="192">
        <v>0</v>
      </c>
    </row>
    <row r="1041" spans="14:14" ht="14.25" customHeight="1">
      <c r="N1041" s="192">
        <v>0</v>
      </c>
    </row>
    <row r="1042" spans="14:14" ht="14.25" customHeight="1">
      <c r="N1042" s="192">
        <v>0</v>
      </c>
    </row>
    <row r="1043" spans="14:14" ht="14.25" customHeight="1">
      <c r="N1043" s="192">
        <v>0</v>
      </c>
    </row>
    <row r="1044" spans="14:14" ht="14.25" customHeight="1">
      <c r="N1044" s="192">
        <v>0</v>
      </c>
    </row>
    <row r="1045" spans="14:14" ht="14.25" customHeight="1">
      <c r="N1045" s="192">
        <v>0</v>
      </c>
    </row>
    <row r="1046" spans="14:14" ht="14.25" customHeight="1">
      <c r="N1046" s="192">
        <v>0</v>
      </c>
    </row>
    <row r="1047" spans="14:14" ht="14.25" customHeight="1">
      <c r="N1047" s="192">
        <v>0</v>
      </c>
    </row>
    <row r="1048" spans="14:14" ht="14.25" customHeight="1">
      <c r="N1048" s="192">
        <v>0</v>
      </c>
    </row>
    <row r="1049" spans="14:14" ht="14.25" customHeight="1">
      <c r="N1049" s="192">
        <v>0</v>
      </c>
    </row>
    <row r="1050" spans="14:14" ht="14.25" customHeight="1">
      <c r="N1050" s="192">
        <v>0</v>
      </c>
    </row>
    <row r="1051" spans="14:14" ht="14.25" customHeight="1">
      <c r="N1051" s="192">
        <v>0</v>
      </c>
    </row>
    <row r="1052" spans="14:14" ht="14.25" customHeight="1">
      <c r="N1052" s="192">
        <v>0</v>
      </c>
    </row>
    <row r="1053" spans="14:14" ht="14.25" customHeight="1">
      <c r="N1053" s="192">
        <v>0</v>
      </c>
    </row>
    <row r="1054" spans="14:14" ht="14.25" customHeight="1">
      <c r="N1054" s="192">
        <v>0</v>
      </c>
    </row>
    <row r="1055" spans="14:14" ht="14.25" customHeight="1">
      <c r="N1055" s="192">
        <v>0</v>
      </c>
    </row>
    <row r="1056" spans="14:14" ht="14.25" customHeight="1">
      <c r="N1056" s="192">
        <v>0</v>
      </c>
    </row>
    <row r="1057" spans="14:14" ht="14.25" customHeight="1">
      <c r="N1057" s="192">
        <v>0</v>
      </c>
    </row>
    <row r="1058" spans="14:14" ht="14.25" customHeight="1">
      <c r="N1058" s="192">
        <v>0</v>
      </c>
    </row>
    <row r="1059" spans="14:14" ht="14.25" customHeight="1">
      <c r="N1059" s="192">
        <v>0</v>
      </c>
    </row>
    <row r="1060" spans="14:14" ht="14.25" customHeight="1">
      <c r="N1060" s="192">
        <v>0</v>
      </c>
    </row>
    <row r="1061" spans="14:14" ht="14.25" customHeight="1">
      <c r="N1061" s="192">
        <v>0</v>
      </c>
    </row>
    <row r="1062" spans="14:14" ht="14.25" customHeight="1">
      <c r="N1062" s="192">
        <v>0</v>
      </c>
    </row>
    <row r="1063" spans="14:14" ht="14.25" customHeight="1">
      <c r="N1063" s="192">
        <v>0</v>
      </c>
    </row>
    <row r="1064" spans="14:14" ht="14.25" customHeight="1">
      <c r="N1064" s="192">
        <v>0</v>
      </c>
    </row>
    <row r="1065" spans="14:14" ht="14.25" customHeight="1">
      <c r="N1065" s="192">
        <v>0</v>
      </c>
    </row>
    <row r="1066" spans="14:14" ht="14.25" customHeight="1">
      <c r="N1066" s="192">
        <v>0</v>
      </c>
    </row>
    <row r="1067" spans="14:14" ht="14.25" customHeight="1">
      <c r="N1067" s="192">
        <v>0</v>
      </c>
    </row>
    <row r="1068" spans="14:14" ht="14.25" customHeight="1">
      <c r="N1068" s="192">
        <v>0</v>
      </c>
    </row>
    <row r="1069" spans="14:14" ht="14.25" customHeight="1">
      <c r="N1069" s="192">
        <v>0</v>
      </c>
    </row>
    <row r="1070" spans="14:14" ht="14.25" customHeight="1">
      <c r="N1070" s="192">
        <v>0</v>
      </c>
    </row>
    <row r="1071" spans="14:14" ht="14.25" customHeight="1">
      <c r="N1071" s="192">
        <v>0</v>
      </c>
    </row>
    <row r="1072" spans="14:14" ht="14.25" customHeight="1">
      <c r="N1072" s="192">
        <v>0</v>
      </c>
    </row>
    <row r="1073" spans="14:14" ht="14.25" customHeight="1">
      <c r="N1073" s="192">
        <v>0</v>
      </c>
    </row>
    <row r="1074" spans="14:14" ht="14.25" customHeight="1">
      <c r="N1074" s="192">
        <v>0</v>
      </c>
    </row>
    <row r="1075" spans="14:14" ht="14.25" customHeight="1">
      <c r="N1075" s="192">
        <v>0</v>
      </c>
    </row>
    <row r="1076" spans="14:14" ht="14.25" customHeight="1">
      <c r="N1076" s="192">
        <v>0</v>
      </c>
    </row>
    <row r="1077" spans="14:14" ht="14.25" customHeight="1">
      <c r="N1077" s="192">
        <v>0</v>
      </c>
    </row>
    <row r="1078" spans="14:14" ht="14.25" customHeight="1">
      <c r="N1078" s="192">
        <v>0</v>
      </c>
    </row>
    <row r="1079" spans="14:14" ht="14.25" customHeight="1">
      <c r="N1079" s="192">
        <v>0</v>
      </c>
    </row>
    <row r="1080" spans="14:14" ht="14.25" customHeight="1">
      <c r="N1080" s="192">
        <v>0</v>
      </c>
    </row>
    <row r="1081" spans="14:14" ht="14.25" customHeight="1">
      <c r="N1081" s="192">
        <v>0</v>
      </c>
    </row>
    <row r="1082" spans="14:14" ht="14.25" customHeight="1">
      <c r="N1082" s="192">
        <v>0</v>
      </c>
    </row>
    <row r="1083" spans="14:14" ht="14.25" customHeight="1">
      <c r="N1083" s="192">
        <v>0</v>
      </c>
    </row>
    <row r="1084" spans="14:14" ht="14.25" customHeight="1">
      <c r="N1084" s="192">
        <v>0</v>
      </c>
    </row>
    <row r="1085" spans="14:14" ht="14.25" customHeight="1">
      <c r="N1085" s="192">
        <v>0</v>
      </c>
    </row>
    <row r="1086" spans="14:14" ht="14.25" customHeight="1">
      <c r="N1086" s="192">
        <v>0</v>
      </c>
    </row>
    <row r="1087" spans="14:14" ht="14.25" customHeight="1">
      <c r="N1087" s="192">
        <v>0</v>
      </c>
    </row>
    <row r="1088" spans="14:14" ht="14.25" customHeight="1">
      <c r="N1088" s="192">
        <v>0</v>
      </c>
    </row>
    <row r="1089" spans="14:14" ht="14.25" customHeight="1">
      <c r="N1089" s="192">
        <v>0</v>
      </c>
    </row>
    <row r="1090" spans="14:14" ht="14.25" customHeight="1">
      <c r="N1090" s="192">
        <v>0</v>
      </c>
    </row>
    <row r="1091" spans="14:14" ht="14.25" customHeight="1">
      <c r="N1091" s="192">
        <v>0</v>
      </c>
    </row>
    <row r="1092" spans="14:14" ht="14.25" customHeight="1">
      <c r="N1092" s="192">
        <v>0</v>
      </c>
    </row>
    <row r="1093" spans="14:14" ht="14.25" customHeight="1">
      <c r="N1093" s="192">
        <v>0</v>
      </c>
    </row>
    <row r="1094" spans="14:14" ht="14.25" customHeight="1">
      <c r="N1094" s="192">
        <v>0</v>
      </c>
    </row>
    <row r="1095" spans="14:14" ht="14.25" customHeight="1">
      <c r="N1095" s="192">
        <v>0</v>
      </c>
    </row>
    <row r="1096" spans="14:14" ht="14.25" customHeight="1">
      <c r="N1096" s="192">
        <v>0</v>
      </c>
    </row>
    <row r="1097" spans="14:14" ht="14.25" customHeight="1">
      <c r="N1097" s="192">
        <v>0</v>
      </c>
    </row>
    <row r="1098" spans="14:14" ht="14.25" customHeight="1">
      <c r="N1098" s="192">
        <v>0</v>
      </c>
    </row>
    <row r="1099" spans="14:14" ht="14.25" customHeight="1">
      <c r="N1099" s="192">
        <v>0</v>
      </c>
    </row>
    <row r="1100" spans="14:14" ht="14.25" customHeight="1">
      <c r="N1100" s="192">
        <v>0</v>
      </c>
    </row>
    <row r="1101" spans="14:14" ht="14.25" customHeight="1">
      <c r="N1101" s="192">
        <v>0</v>
      </c>
    </row>
    <row r="1102" spans="14:14" ht="14.25" customHeight="1">
      <c r="N1102" s="192">
        <v>0</v>
      </c>
    </row>
    <row r="1103" spans="14:14" ht="14.25" customHeight="1">
      <c r="N1103" s="192">
        <v>0</v>
      </c>
    </row>
    <row r="1104" spans="14:14" ht="14.25" customHeight="1">
      <c r="N1104" s="192">
        <v>0</v>
      </c>
    </row>
    <row r="1105" spans="14:14" ht="14.25" customHeight="1">
      <c r="N1105" s="192">
        <v>0</v>
      </c>
    </row>
    <row r="1106" spans="14:14" ht="14.25" customHeight="1">
      <c r="N1106" s="192">
        <v>0</v>
      </c>
    </row>
    <row r="1107" spans="14:14" ht="14.25" customHeight="1">
      <c r="N1107" s="192">
        <v>0</v>
      </c>
    </row>
    <row r="1108" spans="14:14" ht="14.25" customHeight="1">
      <c r="N1108" s="192">
        <v>0</v>
      </c>
    </row>
    <row r="1109" spans="14:14" ht="14.25" customHeight="1">
      <c r="N1109" s="192">
        <v>0</v>
      </c>
    </row>
    <row r="1110" spans="14:14" ht="14.25" customHeight="1">
      <c r="N1110" s="192">
        <v>0</v>
      </c>
    </row>
    <row r="1111" spans="14:14" ht="14.25" customHeight="1">
      <c r="N1111" s="192">
        <v>0</v>
      </c>
    </row>
    <row r="1112" spans="14:14" ht="14.25" customHeight="1">
      <c r="N1112" s="192">
        <v>0</v>
      </c>
    </row>
    <row r="1113" spans="14:14" ht="14.25" customHeight="1">
      <c r="N1113" s="192">
        <v>0</v>
      </c>
    </row>
    <row r="1114" spans="14:14" ht="14.25" customHeight="1">
      <c r="N1114" s="192">
        <v>0</v>
      </c>
    </row>
    <row r="1115" spans="14:14" ht="14.25" customHeight="1">
      <c r="N1115" s="192">
        <v>0</v>
      </c>
    </row>
    <row r="1116" spans="14:14" ht="14.25" customHeight="1">
      <c r="N1116" s="192">
        <v>0</v>
      </c>
    </row>
    <row r="1117" spans="14:14" ht="14.25" customHeight="1">
      <c r="N1117" s="192">
        <v>0</v>
      </c>
    </row>
    <row r="1118" spans="14:14" ht="14.25" customHeight="1">
      <c r="N1118" s="192">
        <v>0</v>
      </c>
    </row>
    <row r="1119" spans="14:14" ht="14.25" customHeight="1">
      <c r="N1119" s="192">
        <v>0</v>
      </c>
    </row>
    <row r="1120" spans="14:14" ht="14.25" customHeight="1">
      <c r="N1120" s="192">
        <v>0</v>
      </c>
    </row>
    <row r="1121" spans="14:14" ht="14.25" customHeight="1">
      <c r="N1121" s="192">
        <v>0</v>
      </c>
    </row>
    <row r="1122" spans="14:14" ht="14.25" customHeight="1">
      <c r="N1122" s="192">
        <v>0</v>
      </c>
    </row>
    <row r="1123" spans="14:14" ht="14.25" customHeight="1">
      <c r="N1123" s="192">
        <v>0</v>
      </c>
    </row>
    <row r="1124" spans="14:14" ht="14.25" customHeight="1">
      <c r="N1124" s="192">
        <v>0</v>
      </c>
    </row>
    <row r="1125" spans="14:14" ht="14.25" customHeight="1">
      <c r="N1125" s="192">
        <v>0</v>
      </c>
    </row>
    <row r="1126" spans="14:14" ht="14.25" customHeight="1">
      <c r="N1126" s="192">
        <v>0</v>
      </c>
    </row>
    <row r="1127" spans="14:14" ht="14.25" customHeight="1">
      <c r="N1127" s="192">
        <v>0</v>
      </c>
    </row>
    <row r="1128" spans="14:14" ht="14.25" customHeight="1">
      <c r="N1128" s="192">
        <v>0</v>
      </c>
    </row>
    <row r="1129" spans="14:14" ht="14.25" customHeight="1">
      <c r="N1129" s="192">
        <v>0</v>
      </c>
    </row>
    <row r="1130" spans="14:14" ht="14.25" customHeight="1">
      <c r="N1130" s="192">
        <v>0</v>
      </c>
    </row>
    <row r="1131" spans="14:14" ht="14.25" customHeight="1">
      <c r="N1131" s="192">
        <v>0</v>
      </c>
    </row>
    <row r="1132" spans="14:14" ht="14.25" customHeight="1">
      <c r="N1132" s="192">
        <v>0</v>
      </c>
    </row>
    <row r="1133" spans="14:14" ht="14.25" customHeight="1">
      <c r="N1133" s="192">
        <v>0</v>
      </c>
    </row>
    <row r="1134" spans="14:14" ht="14.25" customHeight="1">
      <c r="N1134" s="192">
        <v>0</v>
      </c>
    </row>
    <row r="1135" spans="14:14" ht="14.25" customHeight="1">
      <c r="N1135" s="192">
        <v>0</v>
      </c>
    </row>
    <row r="1136" spans="14:14" ht="14.25" customHeight="1">
      <c r="N1136" s="192">
        <v>0</v>
      </c>
    </row>
    <row r="1137" spans="14:14" ht="14.25" customHeight="1">
      <c r="N1137" s="192">
        <v>0</v>
      </c>
    </row>
    <row r="1138" spans="14:14" ht="14.25" customHeight="1">
      <c r="N1138" s="192">
        <v>0</v>
      </c>
    </row>
    <row r="1139" spans="14:14" ht="14.25" customHeight="1">
      <c r="N1139" s="192">
        <v>0</v>
      </c>
    </row>
    <row r="1140" spans="14:14" ht="14.25" customHeight="1">
      <c r="N1140" s="192">
        <v>0</v>
      </c>
    </row>
    <row r="1141" spans="14:14" ht="14.25" customHeight="1">
      <c r="N1141" s="192">
        <v>0</v>
      </c>
    </row>
    <row r="1142" spans="14:14" ht="14.25" customHeight="1">
      <c r="N1142" s="192">
        <v>0</v>
      </c>
    </row>
    <row r="1143" spans="14:14" ht="14.25" customHeight="1">
      <c r="N1143" s="192">
        <v>0</v>
      </c>
    </row>
    <row r="1144" spans="14:14" ht="14.25" customHeight="1">
      <c r="N1144" s="192">
        <v>0</v>
      </c>
    </row>
    <row r="1145" spans="14:14" ht="14.25" customHeight="1">
      <c r="N1145" s="192">
        <v>0</v>
      </c>
    </row>
    <row r="1146" spans="14:14" ht="14.25" customHeight="1">
      <c r="N1146" s="192">
        <v>0</v>
      </c>
    </row>
    <row r="1147" spans="14:14" ht="14.25" customHeight="1">
      <c r="N1147" s="192">
        <v>0</v>
      </c>
    </row>
    <row r="1148" spans="14:14" ht="14.25" customHeight="1">
      <c r="N1148" s="192">
        <v>0</v>
      </c>
    </row>
    <row r="1149" spans="14:14" ht="14.25" customHeight="1">
      <c r="N1149" s="192">
        <v>0</v>
      </c>
    </row>
    <row r="1150" spans="14:14" ht="14.25" customHeight="1">
      <c r="N1150" s="192">
        <v>0</v>
      </c>
    </row>
    <row r="1151" spans="14:14" ht="14.25" customHeight="1">
      <c r="N1151" s="192">
        <v>0</v>
      </c>
    </row>
    <row r="1152" spans="14:14" ht="14.25" customHeight="1">
      <c r="N1152" s="192">
        <v>0</v>
      </c>
    </row>
    <row r="1153" spans="14:14" ht="14.25" customHeight="1">
      <c r="N1153" s="192">
        <v>0</v>
      </c>
    </row>
    <row r="1154" spans="14:14" ht="14.25" customHeight="1">
      <c r="N1154" s="192">
        <v>0</v>
      </c>
    </row>
    <row r="1155" spans="14:14" ht="14.25" customHeight="1">
      <c r="N1155" s="192">
        <v>0</v>
      </c>
    </row>
    <row r="1156" spans="14:14" ht="14.25" customHeight="1">
      <c r="N1156" s="192">
        <v>0</v>
      </c>
    </row>
    <row r="1157" spans="14:14" ht="14.25" customHeight="1">
      <c r="N1157" s="192">
        <v>0</v>
      </c>
    </row>
    <row r="1158" spans="14:14" ht="14.25" customHeight="1">
      <c r="N1158" s="192">
        <v>0</v>
      </c>
    </row>
    <row r="1159" spans="14:14" ht="14.25" customHeight="1">
      <c r="N1159" s="192">
        <v>0</v>
      </c>
    </row>
    <row r="1160" spans="14:14" ht="14.25" customHeight="1">
      <c r="N1160" s="192">
        <v>0</v>
      </c>
    </row>
    <row r="1161" spans="14:14" ht="14.25" customHeight="1">
      <c r="N1161" s="192">
        <v>0</v>
      </c>
    </row>
    <row r="1162" spans="14:14" ht="14.25" customHeight="1">
      <c r="N1162" s="192">
        <v>0</v>
      </c>
    </row>
    <row r="1163" spans="14:14" ht="14.25" customHeight="1">
      <c r="N1163" s="192">
        <v>0</v>
      </c>
    </row>
    <row r="1164" spans="14:14" ht="14.25" customHeight="1">
      <c r="N1164" s="192">
        <v>0</v>
      </c>
    </row>
    <row r="1165" spans="14:14" ht="14.25" customHeight="1">
      <c r="N1165" s="192">
        <v>0</v>
      </c>
    </row>
    <row r="1166" spans="14:14" ht="14.25" customHeight="1">
      <c r="N1166" s="192">
        <v>0</v>
      </c>
    </row>
    <row r="1167" spans="14:14" ht="14.25" customHeight="1">
      <c r="N1167" s="192">
        <v>0</v>
      </c>
    </row>
    <row r="1168" spans="14:14" ht="14.25" customHeight="1">
      <c r="N1168" s="192">
        <v>0</v>
      </c>
    </row>
    <row r="1169" spans="14:14" ht="14.25" customHeight="1">
      <c r="N1169" s="192">
        <v>0</v>
      </c>
    </row>
    <row r="1170" spans="14:14" ht="14.25" customHeight="1">
      <c r="N1170" s="192">
        <v>0</v>
      </c>
    </row>
    <row r="1171" spans="14:14" ht="14.25" customHeight="1">
      <c r="N1171" s="192">
        <v>0</v>
      </c>
    </row>
    <row r="1172" spans="14:14" ht="14.25" customHeight="1">
      <c r="N1172" s="192">
        <v>0</v>
      </c>
    </row>
    <row r="1173" spans="14:14" ht="14.25" customHeight="1">
      <c r="N1173" s="192">
        <v>0</v>
      </c>
    </row>
    <row r="1174" spans="14:14" ht="14.25" customHeight="1">
      <c r="N1174" s="192">
        <v>0</v>
      </c>
    </row>
    <row r="1175" spans="14:14" ht="14.25" customHeight="1">
      <c r="N1175" s="192">
        <v>0</v>
      </c>
    </row>
    <row r="1176" spans="14:14" ht="14.25" customHeight="1">
      <c r="N1176" s="192">
        <v>0</v>
      </c>
    </row>
    <row r="1177" spans="14:14" ht="14.25" customHeight="1">
      <c r="N1177" s="192">
        <v>0</v>
      </c>
    </row>
    <row r="1178" spans="14:14" ht="14.25" customHeight="1">
      <c r="N1178" s="192">
        <v>0</v>
      </c>
    </row>
    <row r="1179" spans="14:14" ht="14.25" customHeight="1">
      <c r="N1179" s="192">
        <v>0</v>
      </c>
    </row>
    <row r="1180" spans="14:14" ht="14.25" customHeight="1">
      <c r="N1180" s="192">
        <v>0</v>
      </c>
    </row>
    <row r="1181" spans="14:14" ht="14.25" customHeight="1">
      <c r="N1181" s="192">
        <v>0</v>
      </c>
    </row>
    <row r="1182" spans="14:14" ht="14.25" customHeight="1">
      <c r="N1182" s="192">
        <v>0</v>
      </c>
    </row>
    <row r="1183" spans="14:14" ht="14.25" customHeight="1">
      <c r="N1183" s="192">
        <v>0</v>
      </c>
    </row>
    <row r="1184" spans="14:14" ht="14.25" customHeight="1">
      <c r="N1184" s="192">
        <v>0</v>
      </c>
    </row>
    <row r="1185" spans="14:14" ht="14.25" customHeight="1">
      <c r="N1185" s="192">
        <v>0</v>
      </c>
    </row>
    <row r="1186" spans="14:14" ht="14.25" customHeight="1">
      <c r="N1186" s="192">
        <v>0</v>
      </c>
    </row>
    <row r="1187" spans="14:14" ht="14.25" customHeight="1">
      <c r="N1187" s="192">
        <v>0</v>
      </c>
    </row>
    <row r="1188" spans="14:14" ht="14.25" customHeight="1">
      <c r="N1188" s="192">
        <v>0</v>
      </c>
    </row>
    <row r="1189" spans="14:14" ht="14.25" customHeight="1">
      <c r="N1189" s="192">
        <v>0</v>
      </c>
    </row>
    <row r="1190" spans="14:14" ht="14.25" customHeight="1">
      <c r="N1190" s="192">
        <v>0</v>
      </c>
    </row>
    <row r="1191" spans="14:14" ht="14.25" customHeight="1">
      <c r="N1191" s="192">
        <v>0</v>
      </c>
    </row>
    <row r="1192" spans="14:14" ht="14.25" customHeight="1">
      <c r="N1192" s="192">
        <v>0</v>
      </c>
    </row>
    <row r="1193" spans="14:14" ht="14.25" customHeight="1">
      <c r="N1193" s="192">
        <v>0</v>
      </c>
    </row>
    <row r="1194" spans="14:14" ht="14.25" customHeight="1">
      <c r="N1194" s="192">
        <v>0</v>
      </c>
    </row>
    <row r="1195" spans="14:14" ht="14.25" customHeight="1">
      <c r="N1195" s="192">
        <v>0</v>
      </c>
    </row>
    <row r="1196" spans="14:14" ht="14.25" customHeight="1">
      <c r="N1196" s="192">
        <v>0</v>
      </c>
    </row>
    <row r="1197" spans="14:14" ht="14.25" customHeight="1">
      <c r="N1197" s="192">
        <v>0</v>
      </c>
    </row>
    <row r="1198" spans="14:14" ht="14.25" customHeight="1">
      <c r="N1198" s="192">
        <v>0</v>
      </c>
    </row>
    <row r="1199" spans="14:14" ht="14.25" customHeight="1">
      <c r="N1199" s="192">
        <v>0</v>
      </c>
    </row>
    <row r="1200" spans="14:14" ht="14.25" customHeight="1">
      <c r="N1200" s="192">
        <v>0</v>
      </c>
    </row>
    <row r="1201" spans="14:14" ht="14.25" customHeight="1">
      <c r="N1201" s="192">
        <v>0</v>
      </c>
    </row>
    <row r="1202" spans="14:14" ht="14.25" customHeight="1">
      <c r="N1202" s="192">
        <v>0</v>
      </c>
    </row>
    <row r="1203" spans="14:14" ht="14.25" customHeight="1">
      <c r="N1203" s="192">
        <v>0</v>
      </c>
    </row>
    <row r="1204" spans="14:14" ht="14.25" customHeight="1">
      <c r="N1204" s="192">
        <v>0</v>
      </c>
    </row>
    <row r="1205" spans="14:14" ht="14.25" customHeight="1">
      <c r="N1205" s="192">
        <v>0</v>
      </c>
    </row>
    <row r="1206" spans="14:14" ht="14.25" customHeight="1">
      <c r="N1206" s="192">
        <v>0</v>
      </c>
    </row>
    <row r="1207" spans="14:14" ht="14.25" customHeight="1">
      <c r="N1207" s="192">
        <v>0</v>
      </c>
    </row>
    <row r="1208" spans="14:14" ht="14.25" customHeight="1">
      <c r="N1208" s="192">
        <v>0</v>
      </c>
    </row>
    <row r="1209" spans="14:14" ht="14.25" customHeight="1">
      <c r="N1209" s="192">
        <v>0</v>
      </c>
    </row>
    <row r="1210" spans="14:14" ht="14.25" customHeight="1">
      <c r="N1210" s="192">
        <v>0</v>
      </c>
    </row>
    <row r="1211" spans="14:14" ht="14.25" customHeight="1">
      <c r="N1211" s="192">
        <v>0</v>
      </c>
    </row>
    <row r="1212" spans="14:14" ht="14.25" customHeight="1">
      <c r="N1212" s="192">
        <v>0</v>
      </c>
    </row>
    <row r="1213" spans="14:14" ht="14.25" customHeight="1">
      <c r="N1213" s="192">
        <v>0</v>
      </c>
    </row>
    <row r="1214" spans="14:14" ht="14.25" customHeight="1">
      <c r="N1214" s="192">
        <v>0</v>
      </c>
    </row>
    <row r="1215" spans="14:14" ht="14.25" customHeight="1">
      <c r="N1215" s="192">
        <v>0</v>
      </c>
    </row>
    <row r="1216" spans="14:14" ht="14.25" customHeight="1">
      <c r="N1216" s="192">
        <v>0</v>
      </c>
    </row>
    <row r="1217" spans="14:14" ht="14.25" customHeight="1">
      <c r="N1217" s="192">
        <v>0</v>
      </c>
    </row>
    <row r="1218" spans="14:14" ht="14.25" customHeight="1">
      <c r="N1218" s="192">
        <v>0</v>
      </c>
    </row>
    <row r="1219" spans="14:14" ht="14.25" customHeight="1">
      <c r="N1219" s="192">
        <v>0</v>
      </c>
    </row>
    <row r="1220" spans="14:14" ht="14.25" customHeight="1">
      <c r="N1220" s="192">
        <v>0</v>
      </c>
    </row>
    <row r="1221" spans="14:14" ht="14.25" customHeight="1">
      <c r="N1221" s="192">
        <v>0</v>
      </c>
    </row>
    <row r="1222" spans="14:14" ht="14.25" customHeight="1">
      <c r="N1222" s="192">
        <v>0</v>
      </c>
    </row>
    <row r="1223" spans="14:14" ht="14.25" customHeight="1">
      <c r="N1223" s="192">
        <v>0</v>
      </c>
    </row>
    <row r="1224" spans="14:14" ht="14.25" customHeight="1">
      <c r="N1224" s="192">
        <v>0</v>
      </c>
    </row>
    <row r="1225" spans="14:14" ht="14.25" customHeight="1">
      <c r="N1225" s="192">
        <v>0</v>
      </c>
    </row>
    <row r="1226" spans="14:14" ht="14.25" customHeight="1">
      <c r="N1226" s="192">
        <v>0</v>
      </c>
    </row>
    <row r="1227" spans="14:14" ht="14.25" customHeight="1">
      <c r="N1227" s="192">
        <v>0</v>
      </c>
    </row>
    <row r="1228" spans="14:14" ht="14.25" customHeight="1">
      <c r="N1228" s="192">
        <v>0</v>
      </c>
    </row>
    <row r="1229" spans="14:14" ht="14.25" customHeight="1">
      <c r="N1229" s="192">
        <v>0</v>
      </c>
    </row>
    <row r="1230" spans="14:14" ht="14.25" customHeight="1">
      <c r="N1230" s="192">
        <v>0</v>
      </c>
    </row>
    <row r="1231" spans="14:14" ht="14.25" customHeight="1">
      <c r="N1231" s="192">
        <v>0</v>
      </c>
    </row>
    <row r="1232" spans="14:14" ht="14.25" customHeight="1">
      <c r="N1232" s="192">
        <v>0</v>
      </c>
    </row>
    <row r="1233" spans="14:14" ht="14.25" customHeight="1">
      <c r="N1233" s="192">
        <v>0</v>
      </c>
    </row>
    <row r="1234" spans="14:14" ht="14.25" customHeight="1">
      <c r="N1234" s="192">
        <v>0</v>
      </c>
    </row>
    <row r="1235" spans="14:14" ht="14.25" customHeight="1">
      <c r="N1235" s="192">
        <v>0</v>
      </c>
    </row>
    <row r="1236" spans="14:14" ht="14.25" customHeight="1">
      <c r="N1236" s="192">
        <v>0</v>
      </c>
    </row>
    <row r="1237" spans="14:14" ht="14.25" customHeight="1">
      <c r="N1237" s="192">
        <v>0</v>
      </c>
    </row>
    <row r="1238" spans="14:14" ht="14.25" customHeight="1">
      <c r="N1238" s="192">
        <v>0</v>
      </c>
    </row>
    <row r="1239" spans="14:14" ht="14.25" customHeight="1">
      <c r="N1239" s="192">
        <v>0</v>
      </c>
    </row>
    <row r="1240" spans="14:14" ht="14.25" customHeight="1">
      <c r="N1240" s="192">
        <v>0</v>
      </c>
    </row>
    <row r="1241" spans="14:14" ht="14.25" customHeight="1">
      <c r="N1241" s="192">
        <v>0</v>
      </c>
    </row>
    <row r="1242" spans="14:14" ht="14.25" customHeight="1">
      <c r="N1242" s="192">
        <v>0</v>
      </c>
    </row>
    <row r="1243" spans="14:14" ht="14.25" customHeight="1">
      <c r="N1243" s="192">
        <v>0</v>
      </c>
    </row>
    <row r="1244" spans="14:14" ht="14.25" customHeight="1">
      <c r="N1244" s="192">
        <v>0</v>
      </c>
    </row>
    <row r="1245" spans="14:14" ht="14.25" customHeight="1">
      <c r="N1245" s="192">
        <v>0</v>
      </c>
    </row>
    <row r="1246" spans="14:14" ht="14.25" customHeight="1">
      <c r="N1246" s="192">
        <v>0</v>
      </c>
    </row>
    <row r="1247" spans="14:14" ht="14.25" customHeight="1">
      <c r="N1247" s="192">
        <v>0</v>
      </c>
    </row>
    <row r="1248" spans="14:14" ht="14.25" customHeight="1">
      <c r="N1248" s="192">
        <v>0</v>
      </c>
    </row>
    <row r="1249" spans="14:14" ht="14.25" customHeight="1">
      <c r="N1249" s="192">
        <v>0</v>
      </c>
    </row>
    <row r="1250" spans="14:14" ht="14.25" customHeight="1">
      <c r="N1250" s="192">
        <v>0</v>
      </c>
    </row>
    <row r="1251" spans="14:14" ht="14.25" customHeight="1">
      <c r="N1251" s="192">
        <v>0</v>
      </c>
    </row>
    <row r="1252" spans="14:14" ht="14.25" customHeight="1">
      <c r="N1252" s="192">
        <v>0</v>
      </c>
    </row>
    <row r="1253" spans="14:14" ht="14.25" customHeight="1">
      <c r="N1253" s="192">
        <v>0</v>
      </c>
    </row>
    <row r="1254" spans="14:14" ht="14.25" customHeight="1">
      <c r="N1254" s="192">
        <v>0</v>
      </c>
    </row>
    <row r="1255" spans="14:14" ht="14.25" customHeight="1">
      <c r="N1255" s="192">
        <v>0</v>
      </c>
    </row>
    <row r="1256" spans="14:14" ht="14.25" customHeight="1">
      <c r="N1256" s="192">
        <v>0</v>
      </c>
    </row>
    <row r="1257" spans="14:14" ht="14.25" customHeight="1">
      <c r="N1257" s="192">
        <v>0</v>
      </c>
    </row>
    <row r="1258" spans="14:14" ht="14.25" customHeight="1">
      <c r="N1258" s="192">
        <v>0</v>
      </c>
    </row>
    <row r="1259" spans="14:14" ht="14.25" customHeight="1">
      <c r="N1259" s="192">
        <v>0</v>
      </c>
    </row>
    <row r="1260" spans="14:14" ht="14.25" customHeight="1">
      <c r="N1260" s="192">
        <v>0</v>
      </c>
    </row>
    <row r="1261" spans="14:14" ht="14.25" customHeight="1">
      <c r="N1261" s="192">
        <v>0</v>
      </c>
    </row>
    <row r="1262" spans="14:14" ht="14.25" customHeight="1">
      <c r="N1262" s="192">
        <v>0</v>
      </c>
    </row>
    <row r="1263" spans="14:14" ht="14.25" customHeight="1">
      <c r="N1263" s="192">
        <v>0</v>
      </c>
    </row>
    <row r="1264" spans="14:14" ht="14.25" customHeight="1">
      <c r="N1264" s="192">
        <v>0</v>
      </c>
    </row>
    <row r="1265" spans="14:14" ht="14.25" customHeight="1">
      <c r="N1265" s="192">
        <v>0</v>
      </c>
    </row>
    <row r="1266" spans="14:14" ht="14.25" customHeight="1">
      <c r="N1266" s="192">
        <v>0</v>
      </c>
    </row>
    <row r="1267" spans="14:14" ht="14.25" customHeight="1">
      <c r="N1267" s="192">
        <v>0</v>
      </c>
    </row>
    <row r="1268" spans="14:14" ht="14.25" customHeight="1">
      <c r="N1268" s="192">
        <v>0</v>
      </c>
    </row>
    <row r="1269" spans="14:14" ht="14.25" customHeight="1">
      <c r="N1269" s="192">
        <v>0</v>
      </c>
    </row>
    <row r="1270" spans="14:14" ht="14.25" customHeight="1">
      <c r="N1270" s="192">
        <v>0</v>
      </c>
    </row>
    <row r="1271" spans="14:14" ht="14.25" customHeight="1">
      <c r="N1271" s="192">
        <v>0</v>
      </c>
    </row>
    <row r="1272" spans="14:14" ht="14.25" customHeight="1">
      <c r="N1272" s="192">
        <v>0</v>
      </c>
    </row>
    <row r="1273" spans="14:14" ht="14.25" customHeight="1">
      <c r="N1273" s="192">
        <v>0</v>
      </c>
    </row>
    <row r="1274" spans="14:14" ht="14.25" customHeight="1">
      <c r="N1274" s="192">
        <v>0</v>
      </c>
    </row>
    <row r="1275" spans="14:14" ht="14.25" customHeight="1">
      <c r="N1275" s="192">
        <v>0</v>
      </c>
    </row>
    <row r="1276" spans="14:14" ht="14.25" customHeight="1">
      <c r="N1276" s="192">
        <v>0</v>
      </c>
    </row>
    <row r="1277" spans="14:14" ht="14.25" customHeight="1">
      <c r="N1277" s="192">
        <v>0</v>
      </c>
    </row>
    <row r="1278" spans="14:14" ht="14.25" customHeight="1">
      <c r="N1278" s="192">
        <v>0</v>
      </c>
    </row>
    <row r="1279" spans="14:14" ht="14.25" customHeight="1">
      <c r="N1279" s="192">
        <v>0</v>
      </c>
    </row>
    <row r="1280" spans="14:14" ht="14.25" customHeight="1">
      <c r="N1280" s="192">
        <v>0</v>
      </c>
    </row>
    <row r="1281" spans="14:14" ht="14.25" customHeight="1">
      <c r="N1281" s="192">
        <v>0</v>
      </c>
    </row>
    <row r="1282" spans="14:14" ht="14.25" customHeight="1">
      <c r="N1282" s="192">
        <v>0</v>
      </c>
    </row>
    <row r="1283" spans="14:14" ht="14.25" customHeight="1">
      <c r="N1283" s="192">
        <v>0</v>
      </c>
    </row>
    <row r="1284" spans="14:14" ht="14.25" customHeight="1">
      <c r="N1284" s="192">
        <v>0</v>
      </c>
    </row>
    <row r="1285" spans="14:14" ht="14.25" customHeight="1">
      <c r="N1285" s="192">
        <v>0</v>
      </c>
    </row>
    <row r="1286" spans="14:14" ht="14.25" customHeight="1">
      <c r="N1286" s="192">
        <v>0</v>
      </c>
    </row>
    <row r="1287" spans="14:14" ht="14.25" customHeight="1">
      <c r="N1287" s="192">
        <v>0</v>
      </c>
    </row>
    <row r="1288" spans="14:14" ht="14.25" customHeight="1">
      <c r="N1288" s="192">
        <v>0</v>
      </c>
    </row>
    <row r="1289" spans="14:14" ht="14.25" customHeight="1">
      <c r="N1289" s="192">
        <v>0</v>
      </c>
    </row>
    <row r="1290" spans="14:14" ht="14.25" customHeight="1">
      <c r="N1290" s="192">
        <v>0</v>
      </c>
    </row>
    <row r="1291" spans="14:14" ht="14.25" customHeight="1">
      <c r="N1291" s="192">
        <v>0</v>
      </c>
    </row>
    <row r="1292" spans="14:14" ht="14.25" customHeight="1">
      <c r="N1292" s="192">
        <v>0</v>
      </c>
    </row>
    <row r="1293" spans="14:14" ht="14.25" customHeight="1">
      <c r="N1293" s="192">
        <v>0</v>
      </c>
    </row>
    <row r="1294" spans="14:14" ht="14.25" customHeight="1">
      <c r="N1294" s="192">
        <v>0</v>
      </c>
    </row>
    <row r="1295" spans="14:14" ht="14.25" customHeight="1">
      <c r="N1295" s="192">
        <v>0</v>
      </c>
    </row>
    <row r="1296" spans="14:14" ht="14.25" customHeight="1">
      <c r="N1296" s="192">
        <v>0</v>
      </c>
    </row>
    <row r="1297" spans="14:14" ht="14.25" customHeight="1">
      <c r="N1297" s="192">
        <v>0</v>
      </c>
    </row>
    <row r="1298" spans="14:14" ht="14.25" customHeight="1">
      <c r="N1298" s="192">
        <v>0</v>
      </c>
    </row>
    <row r="1299" spans="14:14" ht="14.25" customHeight="1">
      <c r="N1299" s="192">
        <v>0</v>
      </c>
    </row>
    <row r="1300" spans="14:14" ht="14.25" customHeight="1">
      <c r="N1300" s="192">
        <v>0</v>
      </c>
    </row>
    <row r="1301" spans="14:14" ht="14.25" customHeight="1">
      <c r="N1301" s="192">
        <v>0</v>
      </c>
    </row>
    <row r="1302" spans="14:14" ht="14.25" customHeight="1">
      <c r="N1302" s="192">
        <v>0</v>
      </c>
    </row>
    <row r="1303" spans="14:14" ht="14.25" customHeight="1">
      <c r="N1303" s="192">
        <v>0</v>
      </c>
    </row>
    <row r="1304" spans="14:14" ht="14.25" customHeight="1">
      <c r="N1304" s="192">
        <v>0</v>
      </c>
    </row>
    <row r="1305" spans="14:14" ht="14.25" customHeight="1">
      <c r="N1305" s="192">
        <v>0</v>
      </c>
    </row>
    <row r="1306" spans="14:14" ht="14.25" customHeight="1">
      <c r="N1306" s="192">
        <v>0</v>
      </c>
    </row>
    <row r="1307" spans="14:14" ht="14.25" customHeight="1">
      <c r="N1307" s="192">
        <v>0</v>
      </c>
    </row>
    <row r="1308" spans="14:14" ht="14.25" customHeight="1">
      <c r="N1308" s="192">
        <v>0</v>
      </c>
    </row>
    <row r="1309" spans="14:14" ht="14.25" customHeight="1">
      <c r="N1309" s="192">
        <v>0</v>
      </c>
    </row>
    <row r="1310" spans="14:14" ht="14.25" customHeight="1">
      <c r="N1310" s="192">
        <v>0</v>
      </c>
    </row>
    <row r="1311" spans="14:14" ht="14.25" customHeight="1">
      <c r="N1311" s="192">
        <v>0</v>
      </c>
    </row>
    <row r="1312" spans="14:14" ht="14.25" customHeight="1">
      <c r="N1312" s="192">
        <v>0</v>
      </c>
    </row>
    <row r="1313" spans="14:14" ht="14.25" customHeight="1">
      <c r="N1313" s="192">
        <v>0</v>
      </c>
    </row>
    <row r="1314" spans="14:14" ht="14.25" customHeight="1">
      <c r="N1314" s="192">
        <v>0</v>
      </c>
    </row>
    <row r="1315" spans="14:14" ht="14.25" customHeight="1">
      <c r="N1315" s="192">
        <v>0</v>
      </c>
    </row>
    <row r="1316" spans="14:14" ht="14.25" customHeight="1">
      <c r="N1316" s="192">
        <v>0</v>
      </c>
    </row>
    <row r="1317" spans="14:14" ht="14.25" customHeight="1">
      <c r="N1317" s="192">
        <v>0</v>
      </c>
    </row>
    <row r="1318" spans="14:14" ht="14.25" customHeight="1">
      <c r="N1318" s="192">
        <v>0</v>
      </c>
    </row>
    <row r="1319" spans="14:14" ht="14.25" customHeight="1">
      <c r="N1319" s="192">
        <v>0</v>
      </c>
    </row>
    <row r="1320" spans="14:14" ht="14.25" customHeight="1">
      <c r="N1320" s="192">
        <v>0</v>
      </c>
    </row>
    <row r="1321" spans="14:14" ht="14.25" customHeight="1">
      <c r="N1321" s="192">
        <v>0</v>
      </c>
    </row>
    <row r="1322" spans="14:14" ht="14.25" customHeight="1">
      <c r="N1322" s="192">
        <v>0</v>
      </c>
    </row>
    <row r="1323" spans="14:14" ht="14.25" customHeight="1">
      <c r="N1323" s="192">
        <v>0</v>
      </c>
    </row>
    <row r="1324" spans="14:14" ht="14.25" customHeight="1">
      <c r="N1324" s="192">
        <v>0</v>
      </c>
    </row>
    <row r="1325" spans="14:14" ht="14.25" customHeight="1">
      <c r="N1325" s="192">
        <v>0</v>
      </c>
    </row>
    <row r="1326" spans="14:14" ht="14.25" customHeight="1">
      <c r="N1326" s="192">
        <v>0</v>
      </c>
    </row>
    <row r="1327" spans="14:14" ht="14.25" customHeight="1">
      <c r="N1327" s="192">
        <v>0</v>
      </c>
    </row>
    <row r="1328" spans="14:14" ht="14.25" customHeight="1">
      <c r="N1328" s="192">
        <v>0</v>
      </c>
    </row>
    <row r="1329" spans="14:14" ht="14.25" customHeight="1">
      <c r="N1329" s="192">
        <v>0</v>
      </c>
    </row>
    <row r="1330" spans="14:14" ht="14.25" customHeight="1">
      <c r="N1330" s="192">
        <v>0</v>
      </c>
    </row>
    <row r="1331" spans="14:14" ht="14.25" customHeight="1">
      <c r="N1331" s="192">
        <v>0</v>
      </c>
    </row>
    <row r="1332" spans="14:14" ht="14.25" customHeight="1">
      <c r="N1332" s="192">
        <v>0</v>
      </c>
    </row>
    <row r="1333" spans="14:14" ht="14.25" customHeight="1">
      <c r="N1333" s="192">
        <v>0</v>
      </c>
    </row>
    <row r="1334" spans="14:14" ht="14.25" customHeight="1">
      <c r="N1334" s="192">
        <v>0</v>
      </c>
    </row>
    <row r="1335" spans="14:14" ht="14.25" customHeight="1">
      <c r="N1335" s="192">
        <v>0</v>
      </c>
    </row>
    <row r="1336" spans="14:14" ht="14.25" customHeight="1">
      <c r="N1336" s="192">
        <v>0</v>
      </c>
    </row>
    <row r="1337" spans="14:14" ht="14.25" customHeight="1">
      <c r="N1337" s="192">
        <v>0</v>
      </c>
    </row>
    <row r="1338" spans="14:14" ht="14.25" customHeight="1">
      <c r="N1338" s="192">
        <v>0</v>
      </c>
    </row>
    <row r="1339" spans="14:14" ht="14.25" customHeight="1">
      <c r="N1339" s="192">
        <v>0</v>
      </c>
    </row>
    <row r="1340" spans="14:14" ht="14.25" customHeight="1">
      <c r="N1340" s="192">
        <v>0</v>
      </c>
    </row>
    <row r="1341" spans="14:14" ht="14.25" customHeight="1">
      <c r="N1341" s="192">
        <v>0</v>
      </c>
    </row>
    <row r="1342" spans="14:14" ht="14.25" customHeight="1">
      <c r="N1342" s="192">
        <v>0</v>
      </c>
    </row>
    <row r="1343" spans="14:14" ht="14.25" customHeight="1">
      <c r="N1343" s="192">
        <v>0</v>
      </c>
    </row>
    <row r="1344" spans="14:14" ht="14.25" customHeight="1">
      <c r="N1344" s="192">
        <v>0</v>
      </c>
    </row>
    <row r="1345" spans="14:14" ht="14.25" customHeight="1">
      <c r="N1345" s="192">
        <v>0</v>
      </c>
    </row>
    <row r="1346" spans="14:14" ht="14.25" customHeight="1">
      <c r="N1346" s="192">
        <v>0</v>
      </c>
    </row>
    <row r="1347" spans="14:14" ht="14.25" customHeight="1">
      <c r="N1347" s="192">
        <v>0</v>
      </c>
    </row>
    <row r="1348" spans="14:14" ht="14.25" customHeight="1">
      <c r="N1348" s="192">
        <v>0</v>
      </c>
    </row>
    <row r="1349" spans="14:14" ht="14.25" customHeight="1">
      <c r="N1349" s="192">
        <v>0</v>
      </c>
    </row>
    <row r="1350" spans="14:14" ht="14.25" customHeight="1">
      <c r="N1350" s="192">
        <v>0</v>
      </c>
    </row>
    <row r="1351" spans="14:14" ht="14.25" customHeight="1">
      <c r="N1351" s="192">
        <v>0</v>
      </c>
    </row>
    <row r="1352" spans="14:14" ht="14.25" customHeight="1">
      <c r="N1352" s="192">
        <v>0</v>
      </c>
    </row>
    <row r="1353" spans="14:14" ht="14.25" customHeight="1">
      <c r="N1353" s="192">
        <v>0</v>
      </c>
    </row>
    <row r="1354" spans="14:14" ht="14.25" customHeight="1">
      <c r="N1354" s="192">
        <v>0</v>
      </c>
    </row>
    <row r="1355" spans="14:14" ht="14.25" customHeight="1">
      <c r="N1355" s="192">
        <v>0</v>
      </c>
    </row>
    <row r="1356" spans="14:14" ht="14.25" customHeight="1">
      <c r="N1356" s="192">
        <v>0</v>
      </c>
    </row>
    <row r="1357" spans="14:14" ht="14.25" customHeight="1">
      <c r="N1357" s="192">
        <v>0</v>
      </c>
    </row>
    <row r="1358" spans="14:14" ht="14.25" customHeight="1">
      <c r="N1358" s="192">
        <v>0</v>
      </c>
    </row>
    <row r="1359" spans="14:14" ht="14.25" customHeight="1">
      <c r="N1359" s="192">
        <v>0</v>
      </c>
    </row>
    <row r="1360" spans="14:14" ht="14.25" customHeight="1">
      <c r="N1360" s="192">
        <v>0</v>
      </c>
    </row>
    <row r="1361" spans="14:14" ht="14.25" customHeight="1">
      <c r="N1361" s="192">
        <v>0</v>
      </c>
    </row>
    <row r="1362" spans="14:14" ht="14.25" customHeight="1">
      <c r="N1362" s="192">
        <v>0</v>
      </c>
    </row>
    <row r="1363" spans="14:14" ht="14.25" customHeight="1">
      <c r="N1363" s="192">
        <v>0</v>
      </c>
    </row>
    <row r="1364" spans="14:14" ht="14.25" customHeight="1">
      <c r="N1364" s="192">
        <v>0</v>
      </c>
    </row>
    <row r="1365" spans="14:14" ht="14.25" customHeight="1">
      <c r="N1365" s="192">
        <v>0</v>
      </c>
    </row>
    <row r="1366" spans="14:14" ht="14.25" customHeight="1">
      <c r="N1366" s="192">
        <v>0</v>
      </c>
    </row>
    <row r="1367" spans="14:14" ht="14.25" customHeight="1">
      <c r="N1367" s="192">
        <v>0</v>
      </c>
    </row>
    <row r="1368" spans="14:14" ht="14.25" customHeight="1">
      <c r="N1368" s="192">
        <v>0</v>
      </c>
    </row>
    <row r="1369" spans="14:14" ht="14.25" customHeight="1">
      <c r="N1369" s="192">
        <v>0</v>
      </c>
    </row>
    <row r="1370" spans="14:14" ht="14.25" customHeight="1">
      <c r="N1370" s="192">
        <v>0</v>
      </c>
    </row>
    <row r="1371" spans="14:14" ht="14.25" customHeight="1">
      <c r="N1371" s="192">
        <v>0</v>
      </c>
    </row>
    <row r="1372" spans="14:14" ht="14.25" customHeight="1">
      <c r="N1372" s="192">
        <v>0</v>
      </c>
    </row>
    <row r="1373" spans="14:14" ht="14.25" customHeight="1">
      <c r="N1373" s="192">
        <v>0</v>
      </c>
    </row>
    <row r="1374" spans="14:14" ht="14.25" customHeight="1">
      <c r="N1374" s="192">
        <v>0</v>
      </c>
    </row>
    <row r="1375" spans="14:14" ht="14.25" customHeight="1">
      <c r="N1375" s="192">
        <v>0</v>
      </c>
    </row>
    <row r="1376" spans="14:14" ht="14.25" customHeight="1">
      <c r="N1376" s="192">
        <v>0</v>
      </c>
    </row>
    <row r="1377" spans="14:14" ht="14.25" customHeight="1">
      <c r="N1377" s="192">
        <v>0</v>
      </c>
    </row>
    <row r="1378" spans="14:14" ht="14.25" customHeight="1">
      <c r="N1378" s="192">
        <v>0</v>
      </c>
    </row>
    <row r="1379" spans="14:14" ht="14.25" customHeight="1">
      <c r="N1379" s="192">
        <v>0</v>
      </c>
    </row>
    <row r="1380" spans="14:14" ht="14.25" customHeight="1">
      <c r="N1380" s="192">
        <v>0</v>
      </c>
    </row>
    <row r="1381" spans="14:14" ht="14.25" customHeight="1">
      <c r="N1381" s="192">
        <v>0</v>
      </c>
    </row>
    <row r="1382" spans="14:14" ht="14.25" customHeight="1">
      <c r="N1382" s="192">
        <v>0</v>
      </c>
    </row>
    <row r="1383" spans="14:14" ht="14.25" customHeight="1">
      <c r="N1383" s="192">
        <v>0</v>
      </c>
    </row>
    <row r="1384" spans="14:14" ht="14.25" customHeight="1">
      <c r="N1384" s="192">
        <v>0</v>
      </c>
    </row>
    <row r="1385" spans="14:14" ht="14.25" customHeight="1">
      <c r="N1385" s="192">
        <v>0</v>
      </c>
    </row>
    <row r="1386" spans="14:14" ht="14.25" customHeight="1">
      <c r="N1386" s="192">
        <v>0</v>
      </c>
    </row>
    <row r="1387" spans="14:14" ht="14.25" customHeight="1">
      <c r="N1387" s="192">
        <v>0</v>
      </c>
    </row>
    <row r="1388" spans="14:14" ht="14.25" customHeight="1">
      <c r="N1388" s="192">
        <v>0</v>
      </c>
    </row>
    <row r="1389" spans="14:14" ht="14.25" customHeight="1">
      <c r="N1389" s="192">
        <v>0</v>
      </c>
    </row>
    <row r="1390" spans="14:14" ht="14.25" customHeight="1">
      <c r="N1390" s="192">
        <v>0</v>
      </c>
    </row>
    <row r="1391" spans="14:14" ht="14.25" customHeight="1">
      <c r="N1391" s="192">
        <v>0</v>
      </c>
    </row>
    <row r="1392" spans="14:14" ht="14.25" customHeight="1">
      <c r="N1392" s="192">
        <v>0</v>
      </c>
    </row>
    <row r="1393" spans="14:14" ht="14.25" customHeight="1">
      <c r="N1393" s="192">
        <v>0</v>
      </c>
    </row>
    <row r="1394" spans="14:14" ht="14.25" customHeight="1">
      <c r="N1394" s="192">
        <v>0</v>
      </c>
    </row>
    <row r="1395" spans="14:14" ht="14.25" customHeight="1">
      <c r="N1395" s="192">
        <v>0</v>
      </c>
    </row>
    <row r="1396" spans="14:14" ht="14.25" customHeight="1">
      <c r="N1396" s="192">
        <v>0</v>
      </c>
    </row>
    <row r="1397" spans="14:14" ht="14.25" customHeight="1">
      <c r="N1397" s="192">
        <v>0</v>
      </c>
    </row>
    <row r="1398" spans="14:14" ht="14.25" customHeight="1">
      <c r="N1398" s="192">
        <v>0</v>
      </c>
    </row>
    <row r="1399" spans="14:14" ht="14.25" customHeight="1">
      <c r="N1399" s="192">
        <v>0</v>
      </c>
    </row>
    <row r="1400" spans="14:14" ht="14.25" customHeight="1">
      <c r="N1400" s="192">
        <v>0</v>
      </c>
    </row>
    <row r="1401" spans="14:14" ht="14.25" customHeight="1">
      <c r="N1401" s="192">
        <v>0</v>
      </c>
    </row>
    <row r="1402" spans="14:14" ht="14.25" customHeight="1">
      <c r="N1402" s="192">
        <v>0</v>
      </c>
    </row>
    <row r="1403" spans="14:14" ht="14.25" customHeight="1">
      <c r="N1403" s="192">
        <v>0</v>
      </c>
    </row>
    <row r="1404" spans="14:14" ht="14.25" customHeight="1">
      <c r="N1404" s="192">
        <v>0</v>
      </c>
    </row>
    <row r="1405" spans="14:14" ht="14.25" customHeight="1">
      <c r="N1405" s="192">
        <v>0</v>
      </c>
    </row>
    <row r="1406" spans="14:14" ht="14.25" customHeight="1">
      <c r="N1406" s="192">
        <v>0</v>
      </c>
    </row>
    <row r="1407" spans="14:14" ht="14.25" customHeight="1">
      <c r="N1407" s="192">
        <v>0</v>
      </c>
    </row>
    <row r="1408" spans="14:14" ht="14.25" customHeight="1">
      <c r="N1408" s="192">
        <v>0</v>
      </c>
    </row>
    <row r="1409" spans="14:14" ht="14.25" customHeight="1">
      <c r="N1409" s="192">
        <v>0</v>
      </c>
    </row>
    <row r="1410" spans="14:14" ht="14.25" customHeight="1">
      <c r="N1410" s="192">
        <v>0</v>
      </c>
    </row>
    <row r="1411" spans="14:14" ht="14.25" customHeight="1">
      <c r="N1411" s="192">
        <v>0</v>
      </c>
    </row>
    <row r="1412" spans="14:14" ht="14.25" customHeight="1">
      <c r="N1412" s="192">
        <v>0</v>
      </c>
    </row>
    <row r="1413" spans="14:14" ht="14.25" customHeight="1">
      <c r="N1413" s="192">
        <v>0</v>
      </c>
    </row>
    <row r="1414" spans="14:14" ht="14.25" customHeight="1">
      <c r="N1414" s="192">
        <v>0</v>
      </c>
    </row>
    <row r="1415" spans="14:14" ht="14.25" customHeight="1">
      <c r="N1415" s="192">
        <v>0</v>
      </c>
    </row>
    <row r="1416" spans="14:14" ht="14.25" customHeight="1">
      <c r="N1416" s="192">
        <v>0</v>
      </c>
    </row>
    <row r="1417" spans="14:14" ht="14.25" customHeight="1">
      <c r="N1417" s="192">
        <v>0</v>
      </c>
    </row>
    <row r="1418" spans="14:14" ht="14.25" customHeight="1">
      <c r="N1418" s="192">
        <v>0</v>
      </c>
    </row>
    <row r="1419" spans="14:14" ht="14.25" customHeight="1">
      <c r="N1419" s="192">
        <v>0</v>
      </c>
    </row>
    <row r="1420" spans="14:14" ht="14.25" customHeight="1">
      <c r="N1420" s="192">
        <v>0</v>
      </c>
    </row>
    <row r="1421" spans="14:14" ht="14.25" customHeight="1">
      <c r="N1421" s="192">
        <v>0</v>
      </c>
    </row>
    <row r="1422" spans="14:14" ht="14.25" customHeight="1">
      <c r="N1422" s="192">
        <v>0</v>
      </c>
    </row>
    <row r="1423" spans="14:14" ht="14.25" customHeight="1">
      <c r="N1423" s="192">
        <v>0</v>
      </c>
    </row>
    <row r="1424" spans="14:14" ht="14.25" customHeight="1">
      <c r="N1424" s="192">
        <v>0</v>
      </c>
    </row>
    <row r="1425" spans="14:14" ht="14.25" customHeight="1">
      <c r="N1425" s="192">
        <v>0</v>
      </c>
    </row>
    <row r="1426" spans="14:14" ht="14.25" customHeight="1">
      <c r="N1426" s="192">
        <v>0</v>
      </c>
    </row>
    <row r="1427" spans="14:14" ht="14.25" customHeight="1">
      <c r="N1427" s="192">
        <v>0</v>
      </c>
    </row>
    <row r="1428" spans="14:14" ht="14.25" customHeight="1">
      <c r="N1428" s="192">
        <v>0</v>
      </c>
    </row>
    <row r="1429" spans="14:14" ht="14.25" customHeight="1">
      <c r="N1429" s="192">
        <v>0</v>
      </c>
    </row>
    <row r="1430" spans="14:14" ht="14.25" customHeight="1">
      <c r="N1430" s="192">
        <v>0</v>
      </c>
    </row>
    <row r="1431" spans="14:14" ht="14.25" customHeight="1">
      <c r="N1431" s="192">
        <v>0</v>
      </c>
    </row>
    <row r="1432" spans="14:14" ht="14.25" customHeight="1">
      <c r="N1432" s="192">
        <v>0</v>
      </c>
    </row>
    <row r="1433" spans="14:14" ht="14.25" customHeight="1">
      <c r="N1433" s="192">
        <v>0</v>
      </c>
    </row>
    <row r="1434" spans="14:14" ht="14.25" customHeight="1">
      <c r="N1434" s="192">
        <v>0</v>
      </c>
    </row>
    <row r="1435" spans="14:14" ht="14.25" customHeight="1">
      <c r="N1435" s="192">
        <v>0</v>
      </c>
    </row>
    <row r="1436" spans="14:14" ht="14.25" customHeight="1">
      <c r="N1436" s="192">
        <v>0</v>
      </c>
    </row>
    <row r="1437" spans="14:14" ht="14.25" customHeight="1">
      <c r="N1437" s="192">
        <v>0</v>
      </c>
    </row>
    <row r="1438" spans="14:14" ht="14.25" customHeight="1">
      <c r="N1438" s="192">
        <v>0</v>
      </c>
    </row>
    <row r="1439" spans="14:14" ht="14.25" customHeight="1">
      <c r="N1439" s="192">
        <v>0</v>
      </c>
    </row>
    <row r="1440" spans="14:14" ht="14.25" customHeight="1">
      <c r="N1440" s="192">
        <v>0</v>
      </c>
    </row>
    <row r="1441" spans="14:14" ht="14.25" customHeight="1">
      <c r="N1441" s="192">
        <v>0</v>
      </c>
    </row>
    <row r="1442" spans="14:14" ht="14.25" customHeight="1">
      <c r="N1442" s="192">
        <v>0</v>
      </c>
    </row>
    <row r="1443" spans="14:14" ht="14.25" customHeight="1">
      <c r="N1443" s="192">
        <v>0</v>
      </c>
    </row>
    <row r="1444" spans="14:14" ht="14.25" customHeight="1">
      <c r="N1444" s="192">
        <v>0</v>
      </c>
    </row>
    <row r="1445" spans="14:14" ht="14.25" customHeight="1">
      <c r="N1445" s="192">
        <v>0</v>
      </c>
    </row>
    <row r="1446" spans="14:14" ht="14.25" customHeight="1">
      <c r="N1446" s="192">
        <v>0</v>
      </c>
    </row>
    <row r="1447" spans="14:14" ht="14.25" customHeight="1">
      <c r="N1447" s="192">
        <v>0</v>
      </c>
    </row>
    <row r="1448" spans="14:14" ht="14.25" customHeight="1">
      <c r="N1448" s="192">
        <v>0</v>
      </c>
    </row>
    <row r="1449" spans="14:14" ht="14.25" customHeight="1">
      <c r="N1449" s="192">
        <v>0</v>
      </c>
    </row>
    <row r="1450" spans="14:14" ht="14.25" customHeight="1">
      <c r="N1450" s="192">
        <v>0</v>
      </c>
    </row>
    <row r="1451" spans="14:14" ht="14.25" customHeight="1">
      <c r="N1451" s="192">
        <v>0</v>
      </c>
    </row>
    <row r="1452" spans="14:14" ht="14.25" customHeight="1">
      <c r="N1452" s="192">
        <v>0</v>
      </c>
    </row>
    <row r="1453" spans="14:14" ht="14.25" customHeight="1">
      <c r="N1453" s="192">
        <v>0</v>
      </c>
    </row>
    <row r="1454" spans="14:14" ht="14.25" customHeight="1">
      <c r="N1454" s="192">
        <v>0</v>
      </c>
    </row>
    <row r="1455" spans="14:14" ht="14.25" customHeight="1">
      <c r="N1455" s="192">
        <v>0</v>
      </c>
    </row>
    <row r="1456" spans="14:14" ht="14.25" customHeight="1">
      <c r="N1456" s="192">
        <v>0</v>
      </c>
    </row>
    <row r="1457" spans="14:14" ht="14.25" customHeight="1">
      <c r="N1457" s="192">
        <v>0</v>
      </c>
    </row>
    <row r="1458" spans="14:14" ht="14.25" customHeight="1">
      <c r="N1458" s="192">
        <v>0</v>
      </c>
    </row>
    <row r="1459" spans="14:14" ht="14.25" customHeight="1">
      <c r="N1459" s="192">
        <v>0</v>
      </c>
    </row>
    <row r="1460" spans="14:14" ht="14.25" customHeight="1">
      <c r="N1460" s="192">
        <v>0</v>
      </c>
    </row>
    <row r="1461" spans="14:14" ht="14.25" customHeight="1">
      <c r="N1461" s="192">
        <v>0</v>
      </c>
    </row>
    <row r="1462" spans="14:14" ht="14.25" customHeight="1">
      <c r="N1462" s="192">
        <v>0</v>
      </c>
    </row>
    <row r="1463" spans="14:14" ht="14.25" customHeight="1">
      <c r="N1463" s="192">
        <v>0</v>
      </c>
    </row>
    <row r="1464" spans="14:14" ht="14.25" customHeight="1">
      <c r="N1464" s="192">
        <v>0</v>
      </c>
    </row>
    <row r="1465" spans="14:14" ht="14.25" customHeight="1">
      <c r="N1465" s="192">
        <v>0</v>
      </c>
    </row>
    <row r="1466" spans="14:14" ht="14.25" customHeight="1">
      <c r="N1466" s="192">
        <v>0</v>
      </c>
    </row>
    <row r="1467" spans="14:14" ht="14.25" customHeight="1">
      <c r="N1467" s="192">
        <v>0</v>
      </c>
    </row>
    <row r="1468" spans="14:14" ht="14.25" customHeight="1">
      <c r="N1468" s="192">
        <v>0</v>
      </c>
    </row>
    <row r="1469" spans="14:14" ht="14.25" customHeight="1">
      <c r="N1469" s="192">
        <v>0</v>
      </c>
    </row>
    <row r="1470" spans="14:14" ht="14.25" customHeight="1">
      <c r="N1470" s="192">
        <v>0</v>
      </c>
    </row>
    <row r="1471" spans="14:14" ht="14.25" customHeight="1">
      <c r="N1471" s="192">
        <v>0</v>
      </c>
    </row>
    <row r="1472" spans="14:14" ht="14.25" customHeight="1">
      <c r="N1472" s="192">
        <v>0</v>
      </c>
    </row>
    <row r="1473" spans="14:14" ht="14.25" customHeight="1">
      <c r="N1473" s="192">
        <v>0</v>
      </c>
    </row>
    <row r="1474" spans="14:14" ht="14.25" customHeight="1">
      <c r="N1474" s="192">
        <v>0</v>
      </c>
    </row>
    <row r="1475" spans="14:14" ht="14.25" customHeight="1">
      <c r="N1475" s="192">
        <v>0</v>
      </c>
    </row>
    <row r="1476" spans="14:14" ht="14.25" customHeight="1">
      <c r="N1476" s="192">
        <v>0</v>
      </c>
    </row>
    <row r="1477" spans="14:14" ht="14.25" customHeight="1">
      <c r="N1477" s="192">
        <v>0</v>
      </c>
    </row>
    <row r="1478" spans="14:14" ht="14.25" customHeight="1">
      <c r="N1478" s="192">
        <v>0</v>
      </c>
    </row>
    <row r="1479" spans="14:14" ht="14.25" customHeight="1">
      <c r="N1479" s="192">
        <v>0</v>
      </c>
    </row>
    <row r="1480" spans="14:14" ht="14.25" customHeight="1">
      <c r="N1480" s="192">
        <v>0</v>
      </c>
    </row>
    <row r="1481" spans="14:14" ht="14.25" customHeight="1">
      <c r="N1481" s="192">
        <v>0</v>
      </c>
    </row>
    <row r="1482" spans="14:14" ht="14.25" customHeight="1">
      <c r="N1482" s="192">
        <v>0</v>
      </c>
    </row>
    <row r="1483" spans="14:14" ht="14.25" customHeight="1">
      <c r="N1483" s="192">
        <v>0</v>
      </c>
    </row>
    <row r="1484" spans="14:14" ht="14.25" customHeight="1">
      <c r="N1484" s="192">
        <v>0</v>
      </c>
    </row>
    <row r="1485" spans="14:14" ht="14.25" customHeight="1">
      <c r="N1485" s="192">
        <v>0</v>
      </c>
    </row>
    <row r="1486" spans="14:14" ht="14.25" customHeight="1">
      <c r="N1486" s="192">
        <v>0</v>
      </c>
    </row>
    <row r="1487" spans="14:14" ht="14.25" customHeight="1">
      <c r="N1487" s="192">
        <v>0</v>
      </c>
    </row>
    <row r="1488" spans="14:14" ht="14.25" customHeight="1">
      <c r="N1488" s="192">
        <v>0</v>
      </c>
    </row>
    <row r="1489" spans="14:14" ht="14.25" customHeight="1">
      <c r="N1489" s="192">
        <v>0</v>
      </c>
    </row>
    <row r="1490" spans="14:14" ht="14.25" customHeight="1">
      <c r="N1490" s="192">
        <v>0</v>
      </c>
    </row>
    <row r="1491" spans="14:14" ht="14.25" customHeight="1">
      <c r="N1491" s="192">
        <v>0</v>
      </c>
    </row>
    <row r="1492" spans="14:14" ht="14.25" customHeight="1">
      <c r="N1492" s="192">
        <v>0</v>
      </c>
    </row>
    <row r="1493" spans="14:14" ht="14.25" customHeight="1">
      <c r="N1493" s="192">
        <v>0</v>
      </c>
    </row>
    <row r="1494" spans="14:14" ht="14.25" customHeight="1">
      <c r="N1494" s="192">
        <v>0</v>
      </c>
    </row>
    <row r="1495" spans="14:14" ht="14.25" customHeight="1">
      <c r="N1495" s="192">
        <v>0</v>
      </c>
    </row>
    <row r="1496" spans="14:14" ht="14.25" customHeight="1">
      <c r="N1496" s="192">
        <v>0</v>
      </c>
    </row>
    <row r="1497" spans="14:14" ht="14.25" customHeight="1">
      <c r="N1497" s="192">
        <v>0</v>
      </c>
    </row>
    <row r="1498" spans="14:14" ht="14.25" customHeight="1">
      <c r="N1498" s="192">
        <v>0</v>
      </c>
    </row>
    <row r="1499" spans="14:14" ht="14.25" customHeight="1">
      <c r="N1499" s="192">
        <v>0</v>
      </c>
    </row>
    <row r="1500" spans="14:14" ht="14.25" customHeight="1">
      <c r="N1500" s="192">
        <v>0</v>
      </c>
    </row>
    <row r="1501" spans="14:14" ht="14.25" customHeight="1">
      <c r="N1501" s="192">
        <v>0</v>
      </c>
    </row>
    <row r="1502" spans="14:14" ht="14.25" customHeight="1">
      <c r="N1502" s="192">
        <v>0</v>
      </c>
    </row>
    <row r="1503" spans="14:14" ht="14.25" customHeight="1">
      <c r="N1503" s="192">
        <v>0</v>
      </c>
    </row>
    <row r="1504" spans="14:14" ht="14.25" customHeight="1">
      <c r="N1504" s="192">
        <v>0</v>
      </c>
    </row>
    <row r="1505" spans="14:14" ht="14.25" customHeight="1">
      <c r="N1505" s="192">
        <v>0</v>
      </c>
    </row>
    <row r="1506" spans="14:14" ht="14.25" customHeight="1">
      <c r="N1506" s="192">
        <v>0</v>
      </c>
    </row>
    <row r="1507" spans="14:14" ht="14.25" customHeight="1">
      <c r="N1507" s="192">
        <v>0</v>
      </c>
    </row>
    <row r="1508" spans="14:14" ht="14.25" customHeight="1">
      <c r="N1508" s="192">
        <v>0</v>
      </c>
    </row>
    <row r="1509" spans="14:14" ht="14.25" customHeight="1">
      <c r="N1509" s="192">
        <v>0</v>
      </c>
    </row>
    <row r="1510" spans="14:14" ht="14.25" customHeight="1">
      <c r="N1510" s="192">
        <v>0</v>
      </c>
    </row>
    <row r="1511" spans="14:14" ht="14.25" customHeight="1">
      <c r="N1511" s="192">
        <v>0</v>
      </c>
    </row>
    <row r="1512" spans="14:14" ht="14.25" customHeight="1">
      <c r="N1512" s="192">
        <v>0</v>
      </c>
    </row>
    <row r="1513" spans="14:14" ht="14.25" customHeight="1">
      <c r="N1513" s="192">
        <v>0</v>
      </c>
    </row>
    <row r="1514" spans="14:14" ht="14.25" customHeight="1">
      <c r="N1514" s="192">
        <v>0</v>
      </c>
    </row>
    <row r="1515" spans="14:14" ht="14.25" customHeight="1">
      <c r="N1515" s="192">
        <v>0</v>
      </c>
    </row>
    <row r="1516" spans="14:14" ht="14.25" customHeight="1">
      <c r="N1516" s="192">
        <v>0</v>
      </c>
    </row>
    <row r="1517" spans="14:14" ht="14.25" customHeight="1">
      <c r="N1517" s="192">
        <v>0</v>
      </c>
    </row>
    <row r="1518" spans="14:14" ht="14.25" customHeight="1">
      <c r="N1518" s="192">
        <v>0</v>
      </c>
    </row>
    <row r="1519" spans="14:14" ht="14.25" customHeight="1">
      <c r="N1519" s="192">
        <v>0</v>
      </c>
    </row>
    <row r="1520" spans="14:14" ht="14.25" customHeight="1">
      <c r="N1520" s="192">
        <v>0</v>
      </c>
    </row>
    <row r="1521" spans="14:14" ht="14.25" customHeight="1">
      <c r="N1521" s="192">
        <v>0</v>
      </c>
    </row>
    <row r="1522" spans="14:14" ht="14.25" customHeight="1">
      <c r="N1522" s="192">
        <v>0</v>
      </c>
    </row>
    <row r="1523" spans="14:14" ht="14.25" customHeight="1">
      <c r="N1523" s="192">
        <v>0</v>
      </c>
    </row>
    <row r="1524" spans="14:14" ht="14.25" customHeight="1">
      <c r="N1524" s="192">
        <v>0</v>
      </c>
    </row>
    <row r="1525" spans="14:14" ht="14.25" customHeight="1">
      <c r="N1525" s="192">
        <v>0</v>
      </c>
    </row>
    <row r="1526" spans="14:14" ht="14.25" customHeight="1">
      <c r="N1526" s="192">
        <v>0</v>
      </c>
    </row>
    <row r="1527" spans="14:14" ht="14.25" customHeight="1">
      <c r="N1527" s="192">
        <v>0</v>
      </c>
    </row>
    <row r="1528" spans="14:14" ht="14.25" customHeight="1">
      <c r="N1528" s="192">
        <v>0</v>
      </c>
    </row>
    <row r="1529" spans="14:14" ht="14.25" customHeight="1">
      <c r="N1529" s="192">
        <v>0</v>
      </c>
    </row>
    <row r="1530" spans="14:14" ht="14.25" customHeight="1">
      <c r="N1530" s="192">
        <v>0</v>
      </c>
    </row>
    <row r="1531" spans="14:14" ht="14.25" customHeight="1">
      <c r="N1531" s="192">
        <v>0</v>
      </c>
    </row>
    <row r="1532" spans="14:14" ht="14.25" customHeight="1">
      <c r="N1532" s="192">
        <v>0</v>
      </c>
    </row>
    <row r="1533" spans="14:14" ht="14.25" customHeight="1">
      <c r="N1533" s="192">
        <v>0</v>
      </c>
    </row>
    <row r="1534" spans="14:14" ht="14.25" customHeight="1">
      <c r="N1534" s="192">
        <v>0</v>
      </c>
    </row>
    <row r="1535" spans="14:14" ht="14.25" customHeight="1">
      <c r="N1535" s="192">
        <v>0</v>
      </c>
    </row>
    <row r="1536" spans="14:14" ht="14.25" customHeight="1">
      <c r="N1536" s="192">
        <v>0</v>
      </c>
    </row>
    <row r="1537" spans="14:14" ht="14.25" customHeight="1">
      <c r="N1537" s="192">
        <v>0</v>
      </c>
    </row>
    <row r="1538" spans="14:14" ht="14.25" customHeight="1">
      <c r="N1538" s="192">
        <v>0</v>
      </c>
    </row>
    <row r="1539" spans="14:14" ht="14.25" customHeight="1">
      <c r="N1539" s="192">
        <v>0</v>
      </c>
    </row>
    <row r="1540" spans="14:14" ht="14.25" customHeight="1">
      <c r="N1540" s="192">
        <v>0</v>
      </c>
    </row>
    <row r="1541" spans="14:14" ht="14.25" customHeight="1">
      <c r="N1541" s="192">
        <v>0</v>
      </c>
    </row>
    <row r="1542" spans="14:14" ht="14.25" customHeight="1">
      <c r="N1542" s="192">
        <v>0</v>
      </c>
    </row>
    <row r="1543" spans="14:14" ht="14.25" customHeight="1">
      <c r="N1543" s="192">
        <v>0</v>
      </c>
    </row>
    <row r="1544" spans="14:14" ht="14.25" customHeight="1">
      <c r="N1544" s="192">
        <v>0</v>
      </c>
    </row>
    <row r="1545" spans="14:14" ht="14.25" customHeight="1">
      <c r="N1545" s="192">
        <v>0</v>
      </c>
    </row>
    <row r="1546" spans="14:14" ht="14.25" customHeight="1">
      <c r="N1546" s="192">
        <v>0</v>
      </c>
    </row>
    <row r="1547" spans="14:14" ht="14.25" customHeight="1">
      <c r="N1547" s="192">
        <v>0</v>
      </c>
    </row>
    <row r="1548" spans="14:14" ht="14.25" customHeight="1">
      <c r="N1548" s="192">
        <v>0</v>
      </c>
    </row>
    <row r="1549" spans="14:14" ht="14.25" customHeight="1">
      <c r="N1549" s="192">
        <v>0</v>
      </c>
    </row>
    <row r="1550" spans="14:14" ht="14.25" customHeight="1">
      <c r="N1550" s="192">
        <v>0</v>
      </c>
    </row>
    <row r="1551" spans="14:14" ht="14.25" customHeight="1">
      <c r="N1551" s="192">
        <v>0</v>
      </c>
    </row>
    <row r="1552" spans="14:14" ht="14.25" customHeight="1">
      <c r="N1552" s="192">
        <v>0</v>
      </c>
    </row>
    <row r="1553" spans="14:14" ht="14.25" customHeight="1">
      <c r="N1553" s="192">
        <v>0</v>
      </c>
    </row>
    <row r="1554" spans="14:14" ht="14.25" customHeight="1">
      <c r="N1554" s="192">
        <v>0</v>
      </c>
    </row>
    <row r="1555" spans="14:14" ht="14.25" customHeight="1">
      <c r="N1555" s="192">
        <v>0</v>
      </c>
    </row>
    <row r="1556" spans="14:14" ht="14.25" customHeight="1">
      <c r="N1556" s="192">
        <v>0</v>
      </c>
    </row>
    <row r="1557" spans="14:14" ht="14.25" customHeight="1">
      <c r="N1557" s="192">
        <v>0</v>
      </c>
    </row>
    <row r="1558" spans="14:14" ht="14.25" customHeight="1">
      <c r="N1558" s="192">
        <v>0</v>
      </c>
    </row>
    <row r="1559" spans="14:14" ht="14.25" customHeight="1">
      <c r="N1559" s="192">
        <v>0</v>
      </c>
    </row>
    <row r="1560" spans="14:14" ht="14.25" customHeight="1">
      <c r="N1560" s="192">
        <v>0</v>
      </c>
    </row>
    <row r="1561" spans="14:14" ht="14.25" customHeight="1">
      <c r="N1561" s="192">
        <v>0</v>
      </c>
    </row>
    <row r="1562" spans="14:14" ht="14.25" customHeight="1">
      <c r="N1562" s="192">
        <v>0</v>
      </c>
    </row>
    <row r="1563" spans="14:14" ht="14.25" customHeight="1">
      <c r="N1563" s="192">
        <v>0</v>
      </c>
    </row>
    <row r="1564" spans="14:14" ht="14.25" customHeight="1">
      <c r="N1564" s="192">
        <v>0</v>
      </c>
    </row>
    <row r="1565" spans="14:14" ht="14.25" customHeight="1">
      <c r="N1565" s="192">
        <v>0</v>
      </c>
    </row>
    <row r="1566" spans="14:14" ht="14.25" customHeight="1">
      <c r="N1566" s="192">
        <v>0</v>
      </c>
    </row>
    <row r="1567" spans="14:14" ht="14.25" customHeight="1">
      <c r="N1567" s="192">
        <v>0</v>
      </c>
    </row>
    <row r="1568" spans="14:14" ht="14.25" customHeight="1">
      <c r="N1568" s="192">
        <v>0</v>
      </c>
    </row>
    <row r="1569" spans="14:14" ht="14.25" customHeight="1">
      <c r="N1569" s="192">
        <v>0</v>
      </c>
    </row>
    <row r="1570" spans="14:14" ht="14.25" customHeight="1">
      <c r="N1570" s="192">
        <v>0</v>
      </c>
    </row>
    <row r="1571" spans="14:14" ht="14.25" customHeight="1">
      <c r="N1571" s="192">
        <v>0</v>
      </c>
    </row>
    <row r="1572" spans="14:14" ht="14.25" customHeight="1">
      <c r="N1572" s="192">
        <v>0</v>
      </c>
    </row>
    <row r="1573" spans="14:14" ht="14.25" customHeight="1">
      <c r="N1573" s="192">
        <v>0</v>
      </c>
    </row>
    <row r="1574" spans="14:14" ht="14.25" customHeight="1">
      <c r="N1574" s="192">
        <v>0</v>
      </c>
    </row>
    <row r="1575" spans="14:14" ht="14.25" customHeight="1">
      <c r="N1575" s="192">
        <v>0</v>
      </c>
    </row>
    <row r="1576" spans="14:14" ht="14.25" customHeight="1">
      <c r="N1576" s="192">
        <v>0</v>
      </c>
    </row>
    <row r="1577" spans="14:14" ht="14.25" customHeight="1">
      <c r="N1577" s="192">
        <v>0</v>
      </c>
    </row>
    <row r="1578" spans="14:14" ht="14.25" customHeight="1">
      <c r="N1578" s="192">
        <v>0</v>
      </c>
    </row>
    <row r="1579" spans="14:14" ht="14.25" customHeight="1">
      <c r="N1579" s="192">
        <v>0</v>
      </c>
    </row>
    <row r="1580" spans="14:14" ht="14.25" customHeight="1">
      <c r="N1580" s="192">
        <v>0</v>
      </c>
    </row>
    <row r="1581" spans="14:14" ht="14.25" customHeight="1">
      <c r="N1581" s="192">
        <v>0</v>
      </c>
    </row>
    <row r="1582" spans="14:14" ht="14.25" customHeight="1">
      <c r="N1582" s="192">
        <v>0</v>
      </c>
    </row>
    <row r="1583" spans="14:14" ht="14.25" customHeight="1">
      <c r="N1583" s="192">
        <v>0</v>
      </c>
    </row>
    <row r="1584" spans="14:14" ht="14.25" customHeight="1">
      <c r="N1584" s="192">
        <v>0</v>
      </c>
    </row>
    <row r="1585" spans="14:14" ht="14.25" customHeight="1">
      <c r="N1585" s="192">
        <v>0</v>
      </c>
    </row>
    <row r="1586" spans="14:14" ht="14.25" customHeight="1">
      <c r="N1586" s="192">
        <v>0</v>
      </c>
    </row>
    <row r="1587" spans="14:14" ht="14.25" customHeight="1">
      <c r="N1587" s="192">
        <v>0</v>
      </c>
    </row>
    <row r="1588" spans="14:14" ht="14.25" customHeight="1">
      <c r="N1588" s="192">
        <v>0</v>
      </c>
    </row>
    <row r="1589" spans="14:14" ht="14.25" customHeight="1">
      <c r="N1589" s="192">
        <v>0</v>
      </c>
    </row>
    <row r="1590" spans="14:14" ht="14.25" customHeight="1">
      <c r="N1590" s="192">
        <v>0</v>
      </c>
    </row>
    <row r="1591" spans="14:14" ht="14.25" customHeight="1">
      <c r="N1591" s="192">
        <v>0</v>
      </c>
    </row>
    <row r="1592" spans="14:14" ht="14.25" customHeight="1">
      <c r="N1592" s="192">
        <v>0</v>
      </c>
    </row>
    <row r="1593" spans="14:14" ht="14.25" customHeight="1">
      <c r="N1593" s="192">
        <v>0</v>
      </c>
    </row>
    <row r="1594" spans="14:14" ht="14.25" customHeight="1">
      <c r="N1594" s="192">
        <v>0</v>
      </c>
    </row>
    <row r="1595" spans="14:14" ht="14.25" customHeight="1">
      <c r="N1595" s="192">
        <v>0</v>
      </c>
    </row>
    <row r="1596" spans="14:14" ht="14.25" customHeight="1">
      <c r="N1596" s="192">
        <v>0</v>
      </c>
    </row>
    <row r="1597" spans="14:14" ht="14.25" customHeight="1">
      <c r="N1597" s="192">
        <v>0</v>
      </c>
    </row>
    <row r="1598" spans="14:14" ht="14.25" customHeight="1">
      <c r="N1598" s="192">
        <v>0</v>
      </c>
    </row>
    <row r="1599" spans="14:14" ht="14.25" customHeight="1">
      <c r="N1599" s="192">
        <v>0</v>
      </c>
    </row>
    <row r="1600" spans="14:14" ht="14.25" customHeight="1">
      <c r="N1600" s="192">
        <v>0</v>
      </c>
    </row>
    <row r="1601" spans="14:14" ht="14.25" customHeight="1">
      <c r="N1601" s="192">
        <v>0</v>
      </c>
    </row>
    <row r="1602" spans="14:14" ht="14.25" customHeight="1">
      <c r="N1602" s="192">
        <v>0</v>
      </c>
    </row>
    <row r="1603" spans="14:14" ht="14.25" customHeight="1">
      <c r="N1603" s="192">
        <v>0</v>
      </c>
    </row>
    <row r="1604" spans="14:14" ht="14.25" customHeight="1">
      <c r="N1604" s="192">
        <v>0</v>
      </c>
    </row>
    <row r="1605" spans="14:14" ht="14.25" customHeight="1">
      <c r="N1605" s="192">
        <v>0</v>
      </c>
    </row>
    <row r="1606" spans="14:14" ht="14.25" customHeight="1">
      <c r="N1606" s="192">
        <v>0</v>
      </c>
    </row>
    <row r="1607" spans="14:14" ht="14.25" customHeight="1">
      <c r="N1607" s="192">
        <v>0</v>
      </c>
    </row>
    <row r="1608" spans="14:14" ht="14.25" customHeight="1">
      <c r="N1608" s="192">
        <v>0</v>
      </c>
    </row>
    <row r="1609" spans="14:14" ht="14.25" customHeight="1">
      <c r="N1609" s="192">
        <v>0</v>
      </c>
    </row>
    <row r="1610" spans="14:14" ht="14.25" customHeight="1">
      <c r="N1610" s="192">
        <v>0</v>
      </c>
    </row>
    <row r="1611" spans="14:14" ht="14.25" customHeight="1">
      <c r="N1611" s="192">
        <v>0</v>
      </c>
    </row>
    <row r="1612" spans="14:14" ht="14.25" customHeight="1">
      <c r="N1612" s="192">
        <v>0</v>
      </c>
    </row>
    <row r="1613" spans="14:14" ht="14.25" customHeight="1">
      <c r="N1613" s="192">
        <v>0</v>
      </c>
    </row>
    <row r="1614" spans="14:14" ht="14.25" customHeight="1">
      <c r="N1614" s="192">
        <v>0</v>
      </c>
    </row>
    <row r="1615" spans="14:14" ht="14.25" customHeight="1">
      <c r="N1615" s="192">
        <v>0</v>
      </c>
    </row>
    <row r="1616" spans="14:14" ht="14.25" customHeight="1">
      <c r="N1616" s="192">
        <v>0</v>
      </c>
    </row>
    <row r="1617" spans="14:14" ht="14.25" customHeight="1">
      <c r="N1617" s="192">
        <v>0</v>
      </c>
    </row>
    <row r="1618" spans="14:14" ht="14.25" customHeight="1">
      <c r="N1618" s="192">
        <v>0</v>
      </c>
    </row>
    <row r="1619" spans="14:14" ht="14.25" customHeight="1">
      <c r="N1619" s="192">
        <v>0</v>
      </c>
    </row>
    <row r="1620" spans="14:14" ht="14.25" customHeight="1">
      <c r="N1620" s="192">
        <v>0</v>
      </c>
    </row>
    <row r="1621" spans="14:14" ht="14.25" customHeight="1">
      <c r="N1621" s="192">
        <v>0</v>
      </c>
    </row>
    <row r="1622" spans="14:14" ht="14.25" customHeight="1">
      <c r="N1622" s="192">
        <v>0</v>
      </c>
    </row>
    <row r="1623" spans="14:14" ht="14.25" customHeight="1">
      <c r="N1623" s="192">
        <v>0</v>
      </c>
    </row>
    <row r="1624" spans="14:14" ht="14.25" customHeight="1">
      <c r="N1624" s="192">
        <v>0</v>
      </c>
    </row>
    <row r="1625" spans="14:14" ht="14.25" customHeight="1">
      <c r="N1625" s="192">
        <v>0</v>
      </c>
    </row>
    <row r="1626" spans="14:14" ht="14.25" customHeight="1">
      <c r="N1626" s="192">
        <v>0</v>
      </c>
    </row>
    <row r="1627" spans="14:14" ht="14.25" customHeight="1">
      <c r="N1627" s="192">
        <v>0</v>
      </c>
    </row>
    <row r="1628" spans="14:14" ht="14.25" customHeight="1">
      <c r="N1628" s="192">
        <v>0</v>
      </c>
    </row>
    <row r="1629" spans="14:14" ht="14.25" customHeight="1">
      <c r="N1629" s="192">
        <v>0</v>
      </c>
    </row>
    <row r="1630" spans="14:14" ht="14.25" customHeight="1">
      <c r="N1630" s="192">
        <v>0</v>
      </c>
    </row>
    <row r="1631" spans="14:14" ht="14.25" customHeight="1">
      <c r="N1631" s="192">
        <v>0</v>
      </c>
    </row>
    <row r="1632" spans="14:14" ht="14.25" customHeight="1">
      <c r="N1632" s="192">
        <v>0</v>
      </c>
    </row>
    <row r="1633" spans="14:14" ht="14.25" customHeight="1">
      <c r="N1633" s="192">
        <v>0</v>
      </c>
    </row>
    <row r="1634" spans="14:14" ht="14.25" customHeight="1">
      <c r="N1634" s="192">
        <v>0</v>
      </c>
    </row>
    <row r="1635" spans="14:14" ht="14.25" customHeight="1">
      <c r="N1635" s="192">
        <v>0</v>
      </c>
    </row>
    <row r="1636" spans="14:14" ht="14.25" customHeight="1">
      <c r="N1636" s="192">
        <v>0</v>
      </c>
    </row>
    <row r="1637" spans="14:14" ht="14.25" customHeight="1">
      <c r="N1637" s="192">
        <v>0</v>
      </c>
    </row>
    <row r="1638" spans="14:14" ht="14.25" customHeight="1">
      <c r="N1638" s="192">
        <v>0</v>
      </c>
    </row>
    <row r="1639" spans="14:14" ht="14.25" customHeight="1">
      <c r="N1639" s="192">
        <v>0</v>
      </c>
    </row>
    <row r="1640" spans="14:14" ht="14.25" customHeight="1">
      <c r="N1640" s="192">
        <v>0</v>
      </c>
    </row>
    <row r="1641" spans="14:14" ht="14.25" customHeight="1">
      <c r="N1641" s="192">
        <v>0</v>
      </c>
    </row>
    <row r="1642" spans="14:14" ht="14.25" customHeight="1">
      <c r="N1642" s="192">
        <v>0</v>
      </c>
    </row>
    <row r="1643" spans="14:14" ht="14.25" customHeight="1">
      <c r="N1643" s="192">
        <v>0</v>
      </c>
    </row>
    <row r="1644" spans="14:14" ht="14.25" customHeight="1">
      <c r="N1644" s="192">
        <v>0</v>
      </c>
    </row>
    <row r="1645" spans="14:14" ht="14.25" customHeight="1">
      <c r="N1645" s="192">
        <v>0</v>
      </c>
    </row>
    <row r="1646" spans="14:14" ht="14.25" customHeight="1">
      <c r="N1646" s="192">
        <v>0</v>
      </c>
    </row>
    <row r="1647" spans="14:14" ht="14.25" customHeight="1">
      <c r="N1647" s="192">
        <v>0</v>
      </c>
    </row>
    <row r="1648" spans="14:14" ht="14.25" customHeight="1">
      <c r="N1648" s="192">
        <v>0</v>
      </c>
    </row>
    <row r="1649" spans="14:14" ht="14.25" customHeight="1">
      <c r="N1649" s="192">
        <v>0</v>
      </c>
    </row>
    <row r="1650" spans="14:14" ht="14.25" customHeight="1">
      <c r="N1650" s="192">
        <v>0</v>
      </c>
    </row>
    <row r="1651" spans="14:14" ht="14.25" customHeight="1">
      <c r="N1651" s="192">
        <v>0</v>
      </c>
    </row>
    <row r="1652" spans="14:14" ht="14.25" customHeight="1">
      <c r="N1652" s="192">
        <v>0</v>
      </c>
    </row>
    <row r="1653" spans="14:14" ht="14.25" customHeight="1">
      <c r="N1653" s="192">
        <v>0</v>
      </c>
    </row>
    <row r="1654" spans="14:14" ht="14.25" customHeight="1">
      <c r="N1654" s="192">
        <v>0</v>
      </c>
    </row>
    <row r="1655" spans="14:14" ht="14.25" customHeight="1">
      <c r="N1655" s="192">
        <v>0</v>
      </c>
    </row>
    <row r="1656" spans="14:14" ht="14.25" customHeight="1">
      <c r="N1656" s="192">
        <v>0</v>
      </c>
    </row>
    <row r="1657" spans="14:14" ht="14.25" customHeight="1">
      <c r="N1657" s="192">
        <v>0</v>
      </c>
    </row>
    <row r="1658" spans="14:14" ht="14.25" customHeight="1">
      <c r="N1658" s="192">
        <v>0</v>
      </c>
    </row>
    <row r="1659" spans="14:14" ht="14.25" customHeight="1">
      <c r="N1659" s="192">
        <v>0</v>
      </c>
    </row>
    <row r="1660" spans="14:14" ht="14.25" customHeight="1">
      <c r="N1660" s="192">
        <v>0</v>
      </c>
    </row>
    <row r="1661" spans="14:14" ht="14.25" customHeight="1">
      <c r="N1661" s="192">
        <v>0</v>
      </c>
    </row>
    <row r="1662" spans="14:14" ht="14.25" customHeight="1">
      <c r="N1662" s="192">
        <v>0</v>
      </c>
    </row>
    <row r="1663" spans="14:14" ht="14.25" customHeight="1">
      <c r="N1663" s="192">
        <v>0</v>
      </c>
    </row>
    <row r="1664" spans="14:14" ht="14.25" customHeight="1">
      <c r="N1664" s="192">
        <v>0</v>
      </c>
    </row>
    <row r="1665" spans="14:14" ht="14.25" customHeight="1">
      <c r="N1665" s="192">
        <v>0</v>
      </c>
    </row>
    <row r="1666" spans="14:14" ht="14.25" customHeight="1">
      <c r="N1666" s="192">
        <v>0</v>
      </c>
    </row>
    <row r="1667" spans="14:14" ht="14.25" customHeight="1">
      <c r="N1667" s="192">
        <v>0</v>
      </c>
    </row>
    <row r="1668" spans="14:14" ht="14.25" customHeight="1">
      <c r="N1668" s="192">
        <v>0</v>
      </c>
    </row>
    <row r="1669" spans="14:14" ht="14.25" customHeight="1">
      <c r="N1669" s="192">
        <v>0</v>
      </c>
    </row>
    <row r="1670" spans="14:14" ht="14.25" customHeight="1">
      <c r="N1670" s="192">
        <v>0</v>
      </c>
    </row>
    <row r="1671" spans="14:14" ht="14.25" customHeight="1">
      <c r="N1671" s="192">
        <v>0</v>
      </c>
    </row>
    <row r="1672" spans="14:14" ht="14.25" customHeight="1">
      <c r="N1672" s="192">
        <v>0</v>
      </c>
    </row>
    <row r="1673" spans="14:14" ht="14.25" customHeight="1">
      <c r="N1673" s="192">
        <v>0</v>
      </c>
    </row>
    <row r="1674" spans="14:14" ht="14.25" customHeight="1">
      <c r="N1674" s="192">
        <v>0</v>
      </c>
    </row>
    <row r="1675" spans="14:14" ht="14.25" customHeight="1">
      <c r="N1675" s="192">
        <v>0</v>
      </c>
    </row>
    <row r="1676" spans="14:14" ht="14.25" customHeight="1">
      <c r="N1676" s="192">
        <v>0</v>
      </c>
    </row>
    <row r="1677" spans="14:14" ht="14.25" customHeight="1">
      <c r="N1677" s="192">
        <v>0</v>
      </c>
    </row>
    <row r="1678" spans="14:14" ht="14.25" customHeight="1">
      <c r="N1678" s="192">
        <v>0</v>
      </c>
    </row>
    <row r="1679" spans="14:14" ht="14.25" customHeight="1">
      <c r="N1679" s="192">
        <v>0</v>
      </c>
    </row>
    <row r="1680" spans="14:14" ht="14.25" customHeight="1">
      <c r="N1680" s="192">
        <v>0</v>
      </c>
    </row>
    <row r="1681" spans="14:14" ht="14.25" customHeight="1">
      <c r="N1681" s="192">
        <v>0</v>
      </c>
    </row>
    <row r="1682" spans="14:14" ht="14.25" customHeight="1">
      <c r="N1682" s="192">
        <v>0</v>
      </c>
    </row>
    <row r="1683" spans="14:14" ht="14.25" customHeight="1">
      <c r="N1683" s="192">
        <v>0</v>
      </c>
    </row>
    <row r="1684" spans="14:14" ht="14.25" customHeight="1">
      <c r="N1684" s="192">
        <v>0</v>
      </c>
    </row>
    <row r="1685" spans="14:14" ht="14.25" customHeight="1">
      <c r="N1685" s="192">
        <v>0</v>
      </c>
    </row>
    <row r="1686" spans="14:14" ht="14.25" customHeight="1">
      <c r="N1686" s="192">
        <v>0</v>
      </c>
    </row>
    <row r="1687" spans="14:14" ht="14.25" customHeight="1">
      <c r="N1687" s="192">
        <v>0</v>
      </c>
    </row>
    <row r="1688" spans="14:14" ht="14.25" customHeight="1">
      <c r="N1688" s="192">
        <v>0</v>
      </c>
    </row>
    <row r="1689" spans="14:14" ht="14.25" customHeight="1">
      <c r="N1689" s="192">
        <v>0</v>
      </c>
    </row>
    <row r="1690" spans="14:14" ht="14.25" customHeight="1">
      <c r="N1690" s="192">
        <v>0</v>
      </c>
    </row>
    <row r="1691" spans="14:14" ht="14.25" customHeight="1">
      <c r="N1691" s="192">
        <v>0</v>
      </c>
    </row>
    <row r="1692" spans="14:14" ht="14.25" customHeight="1">
      <c r="N1692" s="192">
        <v>0</v>
      </c>
    </row>
    <row r="1693" spans="14:14" ht="14.25" customHeight="1">
      <c r="N1693" s="192">
        <v>0</v>
      </c>
    </row>
    <row r="1694" spans="14:14" ht="14.25" customHeight="1">
      <c r="N1694" s="192">
        <v>0</v>
      </c>
    </row>
    <row r="1695" spans="14:14" ht="14.25" customHeight="1">
      <c r="N1695" s="192">
        <v>0</v>
      </c>
    </row>
    <row r="1696" spans="14:14" ht="14.25" customHeight="1">
      <c r="N1696" s="192">
        <v>0</v>
      </c>
    </row>
    <row r="1697" spans="14:14" ht="14.25" customHeight="1">
      <c r="N1697" s="192">
        <v>0</v>
      </c>
    </row>
    <row r="1698" spans="14:14" ht="14.25" customHeight="1">
      <c r="N1698" s="192">
        <v>0</v>
      </c>
    </row>
    <row r="1699" spans="14:14" ht="14.25" customHeight="1">
      <c r="N1699" s="192">
        <v>0</v>
      </c>
    </row>
    <row r="1700" spans="14:14" ht="14.25" customHeight="1">
      <c r="N1700" s="192">
        <v>0</v>
      </c>
    </row>
    <row r="1701" spans="14:14" ht="14.25" customHeight="1">
      <c r="N1701" s="192">
        <v>0</v>
      </c>
    </row>
    <row r="1702" spans="14:14" ht="14.25" customHeight="1">
      <c r="N1702" s="192">
        <v>0</v>
      </c>
    </row>
    <row r="1703" spans="14:14" ht="14.25" customHeight="1">
      <c r="N1703" s="192">
        <v>0</v>
      </c>
    </row>
    <row r="1704" spans="14:14" ht="14.25" customHeight="1">
      <c r="N1704" s="192">
        <v>0</v>
      </c>
    </row>
    <row r="1705" spans="14:14" ht="14.25" customHeight="1">
      <c r="N1705" s="192">
        <v>0</v>
      </c>
    </row>
    <row r="1706" spans="14:14" ht="14.25" customHeight="1">
      <c r="N1706" s="192">
        <v>0</v>
      </c>
    </row>
    <row r="1707" spans="14:14" ht="14.25" customHeight="1">
      <c r="N1707" s="192">
        <v>0</v>
      </c>
    </row>
    <row r="1708" spans="14:14" ht="14.25" customHeight="1">
      <c r="N1708" s="192">
        <v>0</v>
      </c>
    </row>
    <row r="1709" spans="14:14" ht="14.25" customHeight="1">
      <c r="N1709" s="192">
        <v>0</v>
      </c>
    </row>
    <row r="1710" spans="14:14" ht="14.25" customHeight="1">
      <c r="N1710" s="192">
        <v>0</v>
      </c>
    </row>
    <row r="1711" spans="14:14" ht="14.25" customHeight="1">
      <c r="N1711" s="192">
        <v>0</v>
      </c>
    </row>
    <row r="1712" spans="14:14" ht="14.25" customHeight="1">
      <c r="N1712" s="192">
        <v>0</v>
      </c>
    </row>
    <row r="1713" spans="14:14" ht="14.25" customHeight="1">
      <c r="N1713" s="192">
        <v>0</v>
      </c>
    </row>
    <row r="1714" spans="14:14" ht="14.25" customHeight="1">
      <c r="N1714" s="192">
        <v>0</v>
      </c>
    </row>
    <row r="1715" spans="14:14" ht="14.25" customHeight="1">
      <c r="N1715" s="192">
        <v>0</v>
      </c>
    </row>
    <row r="1716" spans="14:14" ht="14.25" customHeight="1">
      <c r="N1716" s="192">
        <v>0</v>
      </c>
    </row>
    <row r="1717" spans="14:14" ht="14.25" customHeight="1">
      <c r="N1717" s="192">
        <v>0</v>
      </c>
    </row>
    <row r="1718" spans="14:14" ht="14.25" customHeight="1">
      <c r="N1718" s="192">
        <v>0</v>
      </c>
    </row>
    <row r="1719" spans="14:14" ht="14.25" customHeight="1">
      <c r="N1719" s="192">
        <v>0</v>
      </c>
    </row>
    <row r="1720" spans="14:14" ht="14.25" customHeight="1">
      <c r="N1720" s="192">
        <v>0</v>
      </c>
    </row>
    <row r="1721" spans="14:14" ht="14.25" customHeight="1">
      <c r="N1721" s="192">
        <v>0</v>
      </c>
    </row>
    <row r="1722" spans="14:14" ht="14.25" customHeight="1">
      <c r="N1722" s="192">
        <v>0</v>
      </c>
    </row>
    <row r="1723" spans="14:14" ht="14.25" customHeight="1">
      <c r="N1723" s="192">
        <v>0</v>
      </c>
    </row>
    <row r="1724" spans="14:14" ht="14.25" customHeight="1">
      <c r="N1724" s="192">
        <v>0</v>
      </c>
    </row>
    <row r="1725" spans="14:14" ht="14.25" customHeight="1">
      <c r="N1725" s="192">
        <v>0</v>
      </c>
    </row>
    <row r="1726" spans="14:14" ht="14.25" customHeight="1">
      <c r="N1726" s="192">
        <v>0</v>
      </c>
    </row>
    <row r="1727" spans="14:14" ht="14.25" customHeight="1">
      <c r="N1727" s="192">
        <v>0</v>
      </c>
    </row>
    <row r="1728" spans="14:14" ht="14.25" customHeight="1">
      <c r="N1728" s="192">
        <v>0</v>
      </c>
    </row>
    <row r="1729" spans="14:14" ht="14.25" customHeight="1">
      <c r="N1729" s="192">
        <v>0</v>
      </c>
    </row>
    <row r="1730" spans="14:14" ht="14.25" customHeight="1">
      <c r="N1730" s="192">
        <v>0</v>
      </c>
    </row>
    <row r="1731" spans="14:14" ht="14.25" customHeight="1">
      <c r="N1731" s="192">
        <v>0</v>
      </c>
    </row>
    <row r="1732" spans="14:14" ht="14.25" customHeight="1">
      <c r="N1732" s="192">
        <v>0</v>
      </c>
    </row>
    <row r="1733" spans="14:14" ht="14.25" customHeight="1">
      <c r="N1733" s="192">
        <v>0</v>
      </c>
    </row>
    <row r="1734" spans="14:14" ht="14.25" customHeight="1">
      <c r="N1734" s="192">
        <v>0</v>
      </c>
    </row>
    <row r="1735" spans="14:14" ht="14.25" customHeight="1">
      <c r="N1735" s="192">
        <v>0</v>
      </c>
    </row>
    <row r="1736" spans="14:14" ht="14.25" customHeight="1">
      <c r="N1736" s="192">
        <v>0</v>
      </c>
    </row>
    <row r="1737" spans="14:14" ht="14.25" customHeight="1">
      <c r="N1737" s="192">
        <v>0</v>
      </c>
    </row>
    <row r="1738" spans="14:14" ht="14.25" customHeight="1">
      <c r="N1738" s="192">
        <v>0</v>
      </c>
    </row>
    <row r="1739" spans="14:14" ht="14.25" customHeight="1">
      <c r="N1739" s="192">
        <v>0</v>
      </c>
    </row>
    <row r="1740" spans="14:14" ht="14.25" customHeight="1">
      <c r="N1740" s="192">
        <v>0</v>
      </c>
    </row>
    <row r="1741" spans="14:14" ht="14.25" customHeight="1">
      <c r="N1741" s="192">
        <v>0</v>
      </c>
    </row>
    <row r="1742" spans="14:14" ht="14.25" customHeight="1">
      <c r="N1742" s="192">
        <v>0</v>
      </c>
    </row>
    <row r="1743" spans="14:14" ht="14.25" customHeight="1">
      <c r="N1743" s="192">
        <v>0</v>
      </c>
    </row>
    <row r="1744" spans="14:14" ht="14.25" customHeight="1">
      <c r="N1744" s="192">
        <v>0</v>
      </c>
    </row>
    <row r="1745" spans="14:14" ht="14.25" customHeight="1">
      <c r="N1745" s="192">
        <v>0</v>
      </c>
    </row>
    <row r="1746" spans="14:14" ht="14.25" customHeight="1">
      <c r="N1746" s="192">
        <v>0</v>
      </c>
    </row>
    <row r="1747" spans="14:14" ht="14.25" customHeight="1">
      <c r="N1747" s="192">
        <v>0</v>
      </c>
    </row>
    <row r="1748" spans="14:14" ht="14.25" customHeight="1">
      <c r="N1748" s="192">
        <v>0</v>
      </c>
    </row>
    <row r="1749" spans="14:14" ht="14.25" customHeight="1">
      <c r="N1749" s="192">
        <v>0</v>
      </c>
    </row>
    <row r="1750" spans="14:14" ht="14.25" customHeight="1">
      <c r="N1750" s="192">
        <v>0</v>
      </c>
    </row>
    <row r="1751" spans="14:14" ht="14.25" customHeight="1">
      <c r="N1751" s="192">
        <v>0</v>
      </c>
    </row>
    <row r="1752" spans="14:14" ht="14.25" customHeight="1">
      <c r="N1752" s="192">
        <v>0</v>
      </c>
    </row>
    <row r="1753" spans="14:14" ht="14.25" customHeight="1">
      <c r="N1753" s="192">
        <v>0</v>
      </c>
    </row>
    <row r="1754" spans="14:14" ht="14.25" customHeight="1">
      <c r="N1754" s="192">
        <v>0</v>
      </c>
    </row>
    <row r="1755" spans="14:14" ht="14.25" customHeight="1">
      <c r="N1755" s="192">
        <v>0</v>
      </c>
    </row>
    <row r="1756" spans="14:14" ht="14.25" customHeight="1">
      <c r="N1756" s="192">
        <v>0</v>
      </c>
    </row>
    <row r="1757" spans="14:14" ht="14.25" customHeight="1">
      <c r="N1757" s="192">
        <v>0</v>
      </c>
    </row>
    <row r="1758" spans="14:14" ht="14.25" customHeight="1">
      <c r="N1758" s="192">
        <v>0</v>
      </c>
    </row>
    <row r="1759" spans="14:14" ht="14.25" customHeight="1">
      <c r="N1759" s="192">
        <v>0</v>
      </c>
    </row>
    <row r="1760" spans="14:14" ht="14.25" customHeight="1">
      <c r="N1760" s="192">
        <v>0</v>
      </c>
    </row>
    <row r="1761" spans="14:14" ht="14.25" customHeight="1">
      <c r="N1761" s="192">
        <v>0</v>
      </c>
    </row>
    <row r="1762" spans="14:14" ht="14.25" customHeight="1">
      <c r="N1762" s="192">
        <v>0</v>
      </c>
    </row>
    <row r="1763" spans="14:14" ht="14.25" customHeight="1">
      <c r="N1763" s="192">
        <v>0</v>
      </c>
    </row>
    <row r="1764" spans="14:14" ht="14.25" customHeight="1">
      <c r="N1764" s="192">
        <v>0</v>
      </c>
    </row>
    <row r="1765" spans="14:14" ht="14.25" customHeight="1">
      <c r="N1765" s="192">
        <v>0</v>
      </c>
    </row>
    <row r="1766" spans="14:14" ht="14.25" customHeight="1">
      <c r="N1766" s="192">
        <v>0</v>
      </c>
    </row>
    <row r="1767" spans="14:14" ht="14.25" customHeight="1">
      <c r="N1767" s="192">
        <v>0</v>
      </c>
    </row>
    <row r="1768" spans="14:14" ht="14.25" customHeight="1">
      <c r="N1768" s="192">
        <v>0</v>
      </c>
    </row>
    <row r="1769" spans="14:14" ht="14.25" customHeight="1">
      <c r="N1769" s="192">
        <v>0</v>
      </c>
    </row>
    <row r="1770" spans="14:14" ht="14.25" customHeight="1">
      <c r="N1770" s="192">
        <v>0</v>
      </c>
    </row>
    <row r="1771" spans="14:14" ht="14.25" customHeight="1">
      <c r="N1771" s="192">
        <v>0</v>
      </c>
    </row>
    <row r="1772" spans="14:14" ht="14.25" customHeight="1">
      <c r="N1772" s="192">
        <v>0</v>
      </c>
    </row>
    <row r="1773" spans="14:14" ht="14.25" customHeight="1">
      <c r="N1773" s="192">
        <v>0</v>
      </c>
    </row>
    <row r="1774" spans="14:14" ht="14.25" customHeight="1">
      <c r="N1774" s="192">
        <v>0</v>
      </c>
    </row>
    <row r="1775" spans="14:14" ht="14.25" customHeight="1">
      <c r="N1775" s="192">
        <v>0</v>
      </c>
    </row>
    <row r="1776" spans="14:14" ht="14.25" customHeight="1">
      <c r="N1776" s="192">
        <v>0</v>
      </c>
    </row>
    <row r="1777" spans="14:14" ht="14.25" customHeight="1">
      <c r="N1777" s="192">
        <v>0</v>
      </c>
    </row>
    <row r="1778" spans="14:14" ht="14.25" customHeight="1">
      <c r="N1778" s="192">
        <v>0</v>
      </c>
    </row>
    <row r="1779" spans="14:14" ht="14.25" customHeight="1">
      <c r="N1779" s="192">
        <v>0</v>
      </c>
    </row>
    <row r="1780" spans="14:14" ht="14.25" customHeight="1">
      <c r="N1780" s="192">
        <v>0</v>
      </c>
    </row>
    <row r="1781" spans="14:14" ht="14.25" customHeight="1">
      <c r="N1781" s="192">
        <v>0</v>
      </c>
    </row>
    <row r="1782" spans="14:14" ht="14.25" customHeight="1">
      <c r="N1782" s="192">
        <v>0</v>
      </c>
    </row>
    <row r="1783" spans="14:14" ht="14.25" customHeight="1">
      <c r="N1783" s="192">
        <v>0</v>
      </c>
    </row>
    <row r="1784" spans="14:14" ht="14.25" customHeight="1">
      <c r="N1784" s="192">
        <v>0</v>
      </c>
    </row>
    <row r="1785" spans="14:14" ht="14.25" customHeight="1">
      <c r="N1785" s="192">
        <v>0</v>
      </c>
    </row>
    <row r="1786" spans="14:14" ht="14.25" customHeight="1">
      <c r="N1786" s="192">
        <v>0</v>
      </c>
    </row>
    <row r="1787" spans="14:14" ht="14.25" customHeight="1">
      <c r="N1787" s="192">
        <v>0</v>
      </c>
    </row>
    <row r="1788" spans="14:14" ht="14.25" customHeight="1">
      <c r="N1788" s="192">
        <v>0</v>
      </c>
    </row>
    <row r="1789" spans="14:14" ht="14.25" customHeight="1">
      <c r="N1789" s="192">
        <v>0</v>
      </c>
    </row>
    <row r="1790" spans="14:14" ht="14.25" customHeight="1">
      <c r="N1790" s="192">
        <v>0</v>
      </c>
    </row>
    <row r="1791" spans="14:14" ht="14.25" customHeight="1">
      <c r="N1791" s="192">
        <v>0</v>
      </c>
    </row>
    <row r="1792" spans="14:14" ht="14.25" customHeight="1">
      <c r="N1792" s="192">
        <v>0</v>
      </c>
    </row>
    <row r="1793" spans="14:14" ht="14.25" customHeight="1">
      <c r="N1793" s="192">
        <v>0</v>
      </c>
    </row>
    <row r="1794" spans="14:14" ht="14.25" customHeight="1">
      <c r="N1794" s="192">
        <v>0</v>
      </c>
    </row>
    <row r="1795" spans="14:14" ht="14.25" customHeight="1">
      <c r="N1795" s="192">
        <v>0</v>
      </c>
    </row>
    <row r="1796" spans="14:14" ht="14.25" customHeight="1">
      <c r="N1796" s="192">
        <v>0</v>
      </c>
    </row>
    <row r="1797" spans="14:14" ht="14.25" customHeight="1">
      <c r="N1797" s="192">
        <v>0</v>
      </c>
    </row>
    <row r="1798" spans="14:14" ht="14.25" customHeight="1">
      <c r="N1798" s="192">
        <v>0</v>
      </c>
    </row>
    <row r="1799" spans="14:14" ht="14.25" customHeight="1">
      <c r="N1799" s="192">
        <v>0</v>
      </c>
    </row>
    <row r="1800" spans="14:14" ht="14.25" customHeight="1">
      <c r="N1800" s="192">
        <v>0</v>
      </c>
    </row>
    <row r="1801" spans="14:14" ht="14.25" customHeight="1">
      <c r="N1801" s="192">
        <v>0</v>
      </c>
    </row>
    <row r="1802" spans="14:14" ht="14.25" customHeight="1">
      <c r="N1802" s="192">
        <v>0</v>
      </c>
    </row>
    <row r="1803" spans="14:14" ht="14.25" customHeight="1">
      <c r="N1803" s="192">
        <v>0</v>
      </c>
    </row>
    <row r="1804" spans="14:14" ht="14.25" customHeight="1">
      <c r="N1804" s="192">
        <v>0</v>
      </c>
    </row>
    <row r="1805" spans="14:14" ht="14.25" customHeight="1">
      <c r="N1805" s="192">
        <v>0</v>
      </c>
    </row>
    <row r="1806" spans="14:14" ht="14.25" customHeight="1">
      <c r="N1806" s="192">
        <v>0</v>
      </c>
    </row>
    <row r="1807" spans="14:14" ht="14.25" customHeight="1">
      <c r="N1807" s="192">
        <v>0</v>
      </c>
    </row>
    <row r="1808" spans="14:14" ht="14.25" customHeight="1">
      <c r="N1808" s="192">
        <v>0</v>
      </c>
    </row>
    <row r="1809" spans="14:14" ht="14.25" customHeight="1">
      <c r="N1809" s="192">
        <v>0</v>
      </c>
    </row>
    <row r="1810" spans="14:14" ht="14.25" customHeight="1">
      <c r="N1810" s="192">
        <v>0</v>
      </c>
    </row>
    <row r="1811" spans="14:14" ht="14.25" customHeight="1">
      <c r="N1811" s="192">
        <v>0</v>
      </c>
    </row>
    <row r="1812" spans="14:14" ht="14.25" customHeight="1">
      <c r="N1812" s="192">
        <v>0</v>
      </c>
    </row>
    <row r="1813" spans="14:14" ht="14.25" customHeight="1">
      <c r="N1813" s="192">
        <v>0</v>
      </c>
    </row>
    <row r="1814" spans="14:14" ht="14.25" customHeight="1">
      <c r="N1814" s="192">
        <v>0</v>
      </c>
    </row>
    <row r="1815" spans="14:14" ht="14.25" customHeight="1">
      <c r="N1815" s="192">
        <v>0</v>
      </c>
    </row>
    <row r="1816" spans="14:14" ht="14.25" customHeight="1">
      <c r="N1816" s="192">
        <v>0</v>
      </c>
    </row>
    <row r="1817" spans="14:14" ht="14.25" customHeight="1">
      <c r="N1817" s="192">
        <v>0</v>
      </c>
    </row>
    <row r="1818" spans="14:14" ht="14.25" customHeight="1">
      <c r="N1818" s="192">
        <v>0</v>
      </c>
    </row>
    <row r="1819" spans="14:14" ht="14.25" customHeight="1">
      <c r="N1819" s="192">
        <v>0</v>
      </c>
    </row>
    <row r="1820" spans="14:14" ht="14.25" customHeight="1">
      <c r="N1820" s="192">
        <v>0</v>
      </c>
    </row>
    <row r="1821" spans="14:14" ht="14.25" customHeight="1">
      <c r="N1821" s="192">
        <v>0</v>
      </c>
    </row>
    <row r="1822" spans="14:14" ht="14.25" customHeight="1">
      <c r="N1822" s="192">
        <v>0</v>
      </c>
    </row>
    <row r="1823" spans="14:14" ht="14.25" customHeight="1">
      <c r="N1823" s="192">
        <v>0</v>
      </c>
    </row>
    <row r="1824" spans="14:14" ht="14.25" customHeight="1">
      <c r="N1824" s="192">
        <v>0</v>
      </c>
    </row>
    <row r="1825" spans="14:14" ht="14.25" customHeight="1">
      <c r="N1825" s="192">
        <v>0</v>
      </c>
    </row>
    <row r="1826" spans="14:14" ht="14.25" customHeight="1">
      <c r="N1826" s="192">
        <v>0</v>
      </c>
    </row>
    <row r="1827" spans="14:14" ht="14.25" customHeight="1">
      <c r="N1827" s="192">
        <v>0</v>
      </c>
    </row>
    <row r="1828" spans="14:14" ht="14.25" customHeight="1">
      <c r="N1828" s="192">
        <v>0</v>
      </c>
    </row>
    <row r="1829" spans="14:14" ht="14.25" customHeight="1">
      <c r="N1829" s="192">
        <v>0</v>
      </c>
    </row>
    <row r="1830" spans="14:14" ht="14.25" customHeight="1">
      <c r="N1830" s="192">
        <v>0</v>
      </c>
    </row>
    <row r="1831" spans="14:14" ht="14.25" customHeight="1">
      <c r="N1831" s="192">
        <v>0</v>
      </c>
    </row>
    <row r="1832" spans="14:14" ht="14.25" customHeight="1">
      <c r="N1832" s="192">
        <v>0</v>
      </c>
    </row>
    <row r="1833" spans="14:14" ht="14.25" customHeight="1">
      <c r="N1833" s="192">
        <v>0</v>
      </c>
    </row>
    <row r="1834" spans="14:14" ht="14.25" customHeight="1">
      <c r="N1834" s="192">
        <v>0</v>
      </c>
    </row>
    <row r="1835" spans="14:14" ht="14.25" customHeight="1">
      <c r="N1835" s="192">
        <v>0</v>
      </c>
    </row>
    <row r="1836" spans="14:14" ht="14.25" customHeight="1">
      <c r="N1836" s="192">
        <v>0</v>
      </c>
    </row>
    <row r="1837" spans="14:14" ht="14.25" customHeight="1">
      <c r="N1837" s="192">
        <v>0</v>
      </c>
    </row>
    <row r="1838" spans="14:14" ht="14.25" customHeight="1">
      <c r="N1838" s="192">
        <v>0</v>
      </c>
    </row>
    <row r="1839" spans="14:14" ht="14.25" customHeight="1">
      <c r="N1839" s="192">
        <v>0</v>
      </c>
    </row>
    <row r="1840" spans="14:14" ht="14.25" customHeight="1">
      <c r="N1840" s="192">
        <v>0</v>
      </c>
    </row>
    <row r="1841" spans="14:14" ht="14.25" customHeight="1">
      <c r="N1841" s="192">
        <v>0</v>
      </c>
    </row>
    <row r="1842" spans="14:14" ht="14.25" customHeight="1">
      <c r="N1842" s="192">
        <v>0</v>
      </c>
    </row>
    <row r="1843" spans="14:14" ht="14.25" customHeight="1">
      <c r="N1843" s="192">
        <v>0</v>
      </c>
    </row>
    <row r="1844" spans="14:14" ht="14.25" customHeight="1">
      <c r="N1844" s="192">
        <v>0</v>
      </c>
    </row>
    <row r="1845" spans="14:14" ht="14.25" customHeight="1">
      <c r="N1845" s="192">
        <v>0</v>
      </c>
    </row>
    <row r="1846" spans="14:14" ht="14.25" customHeight="1">
      <c r="N1846" s="192">
        <v>0</v>
      </c>
    </row>
    <row r="1847" spans="14:14" ht="14.25" customHeight="1">
      <c r="N1847" s="192">
        <v>0</v>
      </c>
    </row>
    <row r="1848" spans="14:14" ht="14.25" customHeight="1">
      <c r="N1848" s="192">
        <v>0</v>
      </c>
    </row>
    <row r="1849" spans="14:14" ht="14.25" customHeight="1">
      <c r="N1849" s="192">
        <v>0</v>
      </c>
    </row>
    <row r="1850" spans="14:14" ht="14.25" customHeight="1">
      <c r="N1850" s="192">
        <v>0</v>
      </c>
    </row>
    <row r="1851" spans="14:14" ht="14.25" customHeight="1">
      <c r="N1851" s="192">
        <v>0</v>
      </c>
    </row>
    <row r="1852" spans="14:14" ht="14.25" customHeight="1">
      <c r="N1852" s="192">
        <v>0</v>
      </c>
    </row>
    <row r="1853" spans="14:14" ht="14.25" customHeight="1">
      <c r="N1853" s="192">
        <v>0</v>
      </c>
    </row>
    <row r="1854" spans="14:14" ht="14.25" customHeight="1">
      <c r="N1854" s="192">
        <v>0</v>
      </c>
    </row>
    <row r="1855" spans="14:14" ht="14.25" customHeight="1">
      <c r="N1855" s="192">
        <v>0</v>
      </c>
    </row>
    <row r="1856" spans="14:14" ht="14.25" customHeight="1">
      <c r="N1856" s="192">
        <v>0</v>
      </c>
    </row>
    <row r="1857" spans="14:14" ht="14.25" customHeight="1">
      <c r="N1857" s="192">
        <v>0</v>
      </c>
    </row>
    <row r="1858" spans="14:14" ht="14.25" customHeight="1">
      <c r="N1858" s="192">
        <v>0</v>
      </c>
    </row>
    <row r="1859" spans="14:14" ht="14.25" customHeight="1">
      <c r="N1859" s="192">
        <v>0</v>
      </c>
    </row>
    <row r="1860" spans="14:14" ht="14.25" customHeight="1">
      <c r="N1860" s="192">
        <v>0</v>
      </c>
    </row>
    <row r="1861" spans="14:14" ht="14.25" customHeight="1">
      <c r="N1861" s="192">
        <v>0</v>
      </c>
    </row>
    <row r="1862" spans="14:14" ht="14.25" customHeight="1">
      <c r="N1862" s="192">
        <v>0</v>
      </c>
    </row>
    <row r="1863" spans="14:14" ht="14.25" customHeight="1">
      <c r="N1863" s="192">
        <v>0</v>
      </c>
    </row>
    <row r="1864" spans="14:14" ht="14.25" customHeight="1">
      <c r="N1864" s="192">
        <v>0</v>
      </c>
    </row>
    <row r="1865" spans="14:14" ht="14.25" customHeight="1">
      <c r="N1865" s="192">
        <v>0</v>
      </c>
    </row>
    <row r="1866" spans="14:14" ht="14.25" customHeight="1">
      <c r="N1866" s="192">
        <v>0</v>
      </c>
    </row>
    <row r="1867" spans="14:14" ht="14.25" customHeight="1">
      <c r="N1867" s="192">
        <v>0</v>
      </c>
    </row>
    <row r="1868" spans="14:14" ht="14.25" customHeight="1">
      <c r="N1868" s="192">
        <v>0</v>
      </c>
    </row>
    <row r="1869" spans="14:14" ht="14.25" customHeight="1">
      <c r="N1869" s="192">
        <v>0</v>
      </c>
    </row>
    <row r="1870" spans="14:14" ht="14.25" customHeight="1">
      <c r="N1870" s="192">
        <v>0</v>
      </c>
    </row>
    <row r="1871" spans="14:14" ht="14.25" customHeight="1">
      <c r="N1871" s="192">
        <v>0</v>
      </c>
    </row>
    <row r="1872" spans="14:14" ht="14.25" customHeight="1">
      <c r="N1872" s="192">
        <v>0</v>
      </c>
    </row>
    <row r="1873" spans="14:14" ht="14.25" customHeight="1">
      <c r="N1873" s="192">
        <v>0</v>
      </c>
    </row>
    <row r="1874" spans="14:14" ht="14.25" customHeight="1">
      <c r="N1874" s="192">
        <v>0</v>
      </c>
    </row>
    <row r="1875" spans="14:14" ht="14.25" customHeight="1">
      <c r="N1875" s="192">
        <v>0</v>
      </c>
    </row>
    <row r="1876" spans="14:14" ht="14.25" customHeight="1">
      <c r="N1876" s="192">
        <v>0</v>
      </c>
    </row>
    <row r="1877" spans="14:14" ht="14.25" customHeight="1">
      <c r="N1877" s="192">
        <v>0</v>
      </c>
    </row>
    <row r="1878" spans="14:14" ht="14.25" customHeight="1">
      <c r="N1878" s="192">
        <v>0</v>
      </c>
    </row>
    <row r="1879" spans="14:14" ht="14.25" customHeight="1">
      <c r="N1879" s="192">
        <v>0</v>
      </c>
    </row>
    <row r="1880" spans="14:14" ht="14.25" customHeight="1">
      <c r="N1880" s="192">
        <v>0</v>
      </c>
    </row>
    <row r="1881" spans="14:14" ht="14.25" customHeight="1">
      <c r="N1881" s="192">
        <v>0</v>
      </c>
    </row>
    <row r="1882" spans="14:14" ht="14.25" customHeight="1">
      <c r="N1882" s="192">
        <v>0</v>
      </c>
    </row>
    <row r="1883" spans="14:14" ht="14.25" customHeight="1">
      <c r="N1883" s="192">
        <v>0</v>
      </c>
    </row>
    <row r="1884" spans="14:14" ht="14.25" customHeight="1">
      <c r="N1884" s="192">
        <v>0</v>
      </c>
    </row>
    <row r="1885" spans="14:14" ht="14.25" customHeight="1">
      <c r="N1885" s="192">
        <v>0</v>
      </c>
    </row>
    <row r="1886" spans="14:14" ht="14.25" customHeight="1">
      <c r="N1886" s="192">
        <v>0</v>
      </c>
    </row>
    <row r="1887" spans="14:14" ht="14.25" customHeight="1">
      <c r="N1887" s="192">
        <v>0</v>
      </c>
    </row>
    <row r="1888" spans="14:14" ht="14.25" customHeight="1">
      <c r="N1888" s="192">
        <v>0</v>
      </c>
    </row>
    <row r="1889" spans="14:14" ht="14.25" customHeight="1">
      <c r="N1889" s="192">
        <v>0</v>
      </c>
    </row>
    <row r="1890" spans="14:14" ht="14.25" customHeight="1">
      <c r="N1890" s="192">
        <v>0</v>
      </c>
    </row>
    <row r="1891" spans="14:14" ht="14.25" customHeight="1">
      <c r="N1891" s="192">
        <v>0</v>
      </c>
    </row>
    <row r="1892" spans="14:14" ht="14.25" customHeight="1">
      <c r="N1892" s="192">
        <v>0</v>
      </c>
    </row>
    <row r="1893" spans="14:14" ht="14.25" customHeight="1">
      <c r="N1893" s="192">
        <v>0</v>
      </c>
    </row>
    <row r="1894" spans="14:14" ht="14.25" customHeight="1">
      <c r="N1894" s="192">
        <v>0</v>
      </c>
    </row>
    <row r="1895" spans="14:14" ht="14.25" customHeight="1">
      <c r="N1895" s="192">
        <v>0</v>
      </c>
    </row>
    <row r="1896" spans="14:14" ht="14.25" customHeight="1">
      <c r="N1896" s="192">
        <v>0</v>
      </c>
    </row>
    <row r="1897" spans="14:14" ht="14.25" customHeight="1">
      <c r="N1897" s="192">
        <v>0</v>
      </c>
    </row>
    <row r="1898" spans="14:14" ht="14.25" customHeight="1">
      <c r="N1898" s="192">
        <v>0</v>
      </c>
    </row>
    <row r="1899" spans="14:14" ht="14.25" customHeight="1">
      <c r="N1899" s="192">
        <v>0</v>
      </c>
    </row>
    <row r="1900" spans="14:14" ht="14.25" customHeight="1">
      <c r="N1900" s="192">
        <v>0</v>
      </c>
    </row>
    <row r="1901" spans="14:14" ht="14.25" customHeight="1">
      <c r="N1901" s="192">
        <v>0</v>
      </c>
    </row>
    <row r="1902" spans="14:14" ht="14.25" customHeight="1">
      <c r="N1902" s="192">
        <v>0</v>
      </c>
    </row>
    <row r="1903" spans="14:14" ht="14.25" customHeight="1">
      <c r="N1903" s="192">
        <v>0</v>
      </c>
    </row>
    <row r="1904" spans="14:14" ht="14.25" customHeight="1">
      <c r="N1904" s="192">
        <v>0</v>
      </c>
    </row>
    <row r="1905" spans="14:14" ht="14.25" customHeight="1">
      <c r="N1905" s="192">
        <v>0</v>
      </c>
    </row>
    <row r="1906" spans="14:14" ht="14.25" customHeight="1">
      <c r="N1906" s="192">
        <v>0</v>
      </c>
    </row>
    <row r="1907" spans="14:14" ht="14.25" customHeight="1">
      <c r="N1907" s="192">
        <v>0</v>
      </c>
    </row>
    <row r="1908" spans="14:14" ht="14.25" customHeight="1">
      <c r="N1908" s="192">
        <v>0</v>
      </c>
    </row>
    <row r="1909" spans="14:14" ht="14.25" customHeight="1">
      <c r="N1909" s="192">
        <v>0</v>
      </c>
    </row>
    <row r="1910" spans="14:14" ht="14.25" customHeight="1">
      <c r="N1910" s="192">
        <v>0</v>
      </c>
    </row>
    <row r="1911" spans="14:14" ht="14.25" customHeight="1">
      <c r="N1911" s="192">
        <v>0</v>
      </c>
    </row>
    <row r="1912" spans="14:14" ht="14.25" customHeight="1">
      <c r="N1912" s="192">
        <v>0</v>
      </c>
    </row>
    <row r="1913" spans="14:14" ht="14.25" customHeight="1">
      <c r="N1913" s="192">
        <v>0</v>
      </c>
    </row>
    <row r="1914" spans="14:14" ht="14.25" customHeight="1">
      <c r="N1914" s="192">
        <v>0</v>
      </c>
    </row>
    <row r="1915" spans="14:14" ht="14.25" customHeight="1">
      <c r="N1915" s="192">
        <v>0</v>
      </c>
    </row>
    <row r="1916" spans="14:14" ht="14.25" customHeight="1">
      <c r="N1916" s="192">
        <v>0</v>
      </c>
    </row>
    <row r="1917" spans="14:14" ht="14.25" customHeight="1">
      <c r="N1917" s="192">
        <v>0</v>
      </c>
    </row>
    <row r="1918" spans="14:14" ht="14.25" customHeight="1">
      <c r="N1918" s="192">
        <v>0</v>
      </c>
    </row>
    <row r="1919" spans="14:14" ht="14.25" customHeight="1">
      <c r="N1919" s="192">
        <v>0</v>
      </c>
    </row>
    <row r="1920" spans="14:14" ht="14.25" customHeight="1">
      <c r="N1920" s="192">
        <v>0</v>
      </c>
    </row>
    <row r="1921" spans="14:14" ht="14.25" customHeight="1">
      <c r="N1921" s="192">
        <v>0</v>
      </c>
    </row>
    <row r="1922" spans="14:14" ht="14.25" customHeight="1">
      <c r="N1922" s="192">
        <v>0</v>
      </c>
    </row>
    <row r="1923" spans="14:14" ht="14.25" customHeight="1">
      <c r="N1923" s="192">
        <v>0</v>
      </c>
    </row>
    <row r="1924" spans="14:14" ht="14.25" customHeight="1">
      <c r="N1924" s="192">
        <v>0</v>
      </c>
    </row>
    <row r="1925" spans="14:14" ht="14.25" customHeight="1">
      <c r="N1925" s="192">
        <v>0</v>
      </c>
    </row>
    <row r="1926" spans="14:14" ht="14.25" customHeight="1">
      <c r="N1926" s="192">
        <v>0</v>
      </c>
    </row>
    <row r="1927" spans="14:14" ht="14.25" customHeight="1">
      <c r="N1927" s="192">
        <v>0</v>
      </c>
    </row>
    <row r="1928" spans="14:14" ht="14.25" customHeight="1">
      <c r="N1928" s="192">
        <v>0</v>
      </c>
    </row>
    <row r="1929" spans="14:14" ht="14.25" customHeight="1">
      <c r="N1929" s="192">
        <v>0</v>
      </c>
    </row>
    <row r="1930" spans="14:14" ht="14.25" customHeight="1">
      <c r="N1930" s="192">
        <v>0</v>
      </c>
    </row>
    <row r="1931" spans="14:14" ht="14.25" customHeight="1">
      <c r="N1931" s="192">
        <v>0</v>
      </c>
    </row>
    <row r="1932" spans="14:14" ht="14.25" customHeight="1">
      <c r="N1932" s="192">
        <v>0</v>
      </c>
    </row>
    <row r="1933" spans="14:14" ht="14.25" customHeight="1">
      <c r="N1933" s="192">
        <v>0</v>
      </c>
    </row>
    <row r="1934" spans="14:14" ht="14.25" customHeight="1">
      <c r="N1934" s="192">
        <v>0</v>
      </c>
    </row>
    <row r="1935" spans="14:14" ht="14.25" customHeight="1">
      <c r="N1935" s="192">
        <v>0</v>
      </c>
    </row>
    <row r="1936" spans="14:14" ht="14.25" customHeight="1">
      <c r="N1936" s="192">
        <v>0</v>
      </c>
    </row>
    <row r="1937" spans="14:14" ht="14.25" customHeight="1">
      <c r="N1937" s="192">
        <v>0</v>
      </c>
    </row>
    <row r="1938" spans="14:14" ht="14.25" customHeight="1">
      <c r="N1938" s="192">
        <v>0</v>
      </c>
    </row>
    <row r="1939" spans="14:14" ht="14.25" customHeight="1">
      <c r="N1939" s="192">
        <v>0</v>
      </c>
    </row>
    <row r="1940" spans="14:14" ht="14.25" customHeight="1">
      <c r="N1940" s="192">
        <v>0</v>
      </c>
    </row>
    <row r="1941" spans="14:14" ht="14.25" customHeight="1">
      <c r="N1941" s="192">
        <v>0</v>
      </c>
    </row>
    <row r="1942" spans="14:14" ht="14.25" customHeight="1">
      <c r="N1942" s="192">
        <v>0</v>
      </c>
    </row>
    <row r="1943" spans="14:14" ht="14.25" customHeight="1">
      <c r="N1943" s="192">
        <v>0</v>
      </c>
    </row>
    <row r="1944" spans="14:14" ht="14.25" customHeight="1">
      <c r="N1944" s="192">
        <v>0</v>
      </c>
    </row>
    <row r="1945" spans="14:14" ht="14.25" customHeight="1">
      <c r="N1945" s="192">
        <v>0</v>
      </c>
    </row>
    <row r="1946" spans="14:14" ht="14.25" customHeight="1">
      <c r="N1946" s="192">
        <v>0</v>
      </c>
    </row>
    <row r="1947" spans="14:14" ht="14.25" customHeight="1">
      <c r="N1947" s="192">
        <v>0</v>
      </c>
    </row>
    <row r="1948" spans="14:14" ht="14.25" customHeight="1">
      <c r="N1948" s="192">
        <v>0</v>
      </c>
    </row>
    <row r="1949" spans="14:14" ht="14.25" customHeight="1">
      <c r="N1949" s="192">
        <v>0</v>
      </c>
    </row>
    <row r="1950" spans="14:14" ht="14.25" customHeight="1">
      <c r="N1950" s="192">
        <v>0</v>
      </c>
    </row>
    <row r="1951" spans="14:14" ht="14.25" customHeight="1">
      <c r="N1951" s="192">
        <v>0</v>
      </c>
    </row>
    <row r="1952" spans="14:14" ht="14.25" customHeight="1">
      <c r="N1952" s="192">
        <v>0</v>
      </c>
    </row>
    <row r="1953" spans="14:14" ht="14.25" customHeight="1">
      <c r="N1953" s="192">
        <v>0</v>
      </c>
    </row>
    <row r="1954" spans="14:14" ht="14.25" customHeight="1">
      <c r="N1954" s="192">
        <v>0</v>
      </c>
    </row>
    <row r="1955" spans="14:14" ht="14.25" customHeight="1">
      <c r="N1955" s="192">
        <v>0</v>
      </c>
    </row>
    <row r="1956" spans="14:14" ht="14.25" customHeight="1">
      <c r="N1956" s="192">
        <v>0</v>
      </c>
    </row>
    <row r="1957" spans="14:14" ht="14.25" customHeight="1">
      <c r="N1957" s="192">
        <v>0</v>
      </c>
    </row>
    <row r="1958" spans="14:14" ht="14.25" customHeight="1">
      <c r="N1958" s="192">
        <v>0</v>
      </c>
    </row>
    <row r="1959" spans="14:14" ht="14.25" customHeight="1">
      <c r="N1959" s="192">
        <v>0</v>
      </c>
    </row>
    <row r="1960" spans="14:14" ht="14.25" customHeight="1">
      <c r="N1960" s="192">
        <v>0</v>
      </c>
    </row>
    <row r="1961" spans="14:14" ht="14.25" customHeight="1">
      <c r="N1961" s="192">
        <v>0</v>
      </c>
    </row>
    <row r="1962" spans="14:14" ht="14.25" customHeight="1">
      <c r="N1962" s="192">
        <v>0</v>
      </c>
    </row>
    <row r="1963" spans="14:14" ht="14.25" customHeight="1">
      <c r="N1963" s="192">
        <v>0</v>
      </c>
    </row>
    <row r="1964" spans="14:14" ht="14.25" customHeight="1">
      <c r="N1964" s="192">
        <v>0</v>
      </c>
    </row>
    <row r="1965" spans="14:14" ht="14.25" customHeight="1">
      <c r="N1965" s="192">
        <v>0</v>
      </c>
    </row>
    <row r="1966" spans="14:14" ht="14.25" customHeight="1">
      <c r="N1966" s="192">
        <v>0</v>
      </c>
    </row>
    <row r="1967" spans="14:14" ht="14.25" customHeight="1">
      <c r="N1967" s="192">
        <v>0</v>
      </c>
    </row>
    <row r="1968" spans="14:14" ht="14.25" customHeight="1">
      <c r="N1968" s="192">
        <v>0</v>
      </c>
    </row>
    <row r="1969" spans="14:14" ht="14.25" customHeight="1">
      <c r="N1969" s="192">
        <v>0</v>
      </c>
    </row>
    <row r="1970" spans="14:14" ht="14.25" customHeight="1">
      <c r="N1970" s="192">
        <v>0</v>
      </c>
    </row>
    <row r="1971" spans="14:14" ht="14.25" customHeight="1">
      <c r="N1971" s="192">
        <v>0</v>
      </c>
    </row>
    <row r="1972" spans="14:14" ht="14.25" customHeight="1">
      <c r="N1972" s="192">
        <v>0</v>
      </c>
    </row>
    <row r="1973" spans="14:14" ht="14.25" customHeight="1">
      <c r="N1973" s="192">
        <v>0</v>
      </c>
    </row>
    <row r="1974" spans="14:14" ht="14.25" customHeight="1">
      <c r="N1974" s="192">
        <v>0</v>
      </c>
    </row>
    <row r="1975" spans="14:14" ht="14.25" customHeight="1">
      <c r="N1975" s="192">
        <v>0</v>
      </c>
    </row>
    <row r="1976" spans="14:14" ht="14.25" customHeight="1">
      <c r="N1976" s="192">
        <v>0</v>
      </c>
    </row>
    <row r="1977" spans="14:14" ht="14.25" customHeight="1">
      <c r="N1977" s="192">
        <v>0</v>
      </c>
    </row>
    <row r="1978" spans="14:14" ht="14.25" customHeight="1">
      <c r="N1978" s="192">
        <v>0</v>
      </c>
    </row>
    <row r="1979" spans="14:14" ht="14.25" customHeight="1">
      <c r="N1979" s="192">
        <v>0</v>
      </c>
    </row>
    <row r="1980" spans="14:14" ht="14.25" customHeight="1">
      <c r="N1980" s="192">
        <v>0</v>
      </c>
    </row>
    <row r="1981" spans="14:14" ht="14.25" customHeight="1">
      <c r="N1981" s="192">
        <v>0</v>
      </c>
    </row>
    <row r="1982" spans="14:14" ht="14.25" customHeight="1">
      <c r="N1982" s="192">
        <v>0</v>
      </c>
    </row>
    <row r="1983" spans="14:14" ht="14.25" customHeight="1">
      <c r="N1983" s="192">
        <v>0</v>
      </c>
    </row>
    <row r="1984" spans="14:14" ht="14.25" customHeight="1">
      <c r="N1984" s="192">
        <v>0</v>
      </c>
    </row>
    <row r="1985" spans="14:14" ht="14.25" customHeight="1">
      <c r="N1985" s="192">
        <v>0</v>
      </c>
    </row>
    <row r="1986" spans="14:14" ht="14.25" customHeight="1">
      <c r="N1986" s="192">
        <v>0</v>
      </c>
    </row>
    <row r="1987" spans="14:14" ht="14.25" customHeight="1">
      <c r="N1987" s="192">
        <v>0</v>
      </c>
    </row>
    <row r="1988" spans="14:14" ht="14.25" customHeight="1">
      <c r="N1988" s="192">
        <v>0</v>
      </c>
    </row>
    <row r="1989" spans="14:14" ht="14.25" customHeight="1">
      <c r="N1989" s="192">
        <v>0</v>
      </c>
    </row>
    <row r="1990" spans="14:14" ht="14.25" customHeight="1">
      <c r="N1990" s="192">
        <v>0</v>
      </c>
    </row>
    <row r="1991" spans="14:14" ht="14.25" customHeight="1">
      <c r="N1991" s="192">
        <v>0</v>
      </c>
    </row>
    <row r="1992" spans="14:14" ht="14.25" customHeight="1">
      <c r="N1992" s="192">
        <v>0</v>
      </c>
    </row>
    <row r="1993" spans="14:14" ht="14.25" customHeight="1">
      <c r="N1993" s="192">
        <v>0</v>
      </c>
    </row>
    <row r="1994" spans="14:14" ht="14.25" customHeight="1">
      <c r="N1994" s="192">
        <v>0</v>
      </c>
    </row>
    <row r="1995" spans="14:14" ht="14.25" customHeight="1">
      <c r="N1995" s="192">
        <v>0</v>
      </c>
    </row>
    <row r="1996" spans="14:14" ht="14.25" customHeight="1">
      <c r="N1996" s="192">
        <v>0</v>
      </c>
    </row>
    <row r="1997" spans="14:14" ht="14.25" customHeight="1">
      <c r="N1997" s="192">
        <v>0</v>
      </c>
    </row>
    <row r="1998" spans="14:14" ht="14.25" customHeight="1">
      <c r="N1998" s="192">
        <v>0</v>
      </c>
    </row>
    <row r="1999" spans="14:14" ht="14.25" customHeight="1">
      <c r="N1999" s="192">
        <v>0</v>
      </c>
    </row>
    <row r="2000" spans="14:14" ht="14.25" customHeight="1">
      <c r="N2000" s="192">
        <v>0</v>
      </c>
    </row>
    <row r="2001" spans="14:14" ht="14.25" customHeight="1">
      <c r="N2001" s="192">
        <v>0</v>
      </c>
    </row>
    <row r="2002" spans="14:14" ht="14.25" customHeight="1">
      <c r="N2002" s="192">
        <v>0</v>
      </c>
    </row>
    <row r="2003" spans="14:14" ht="14.25" customHeight="1">
      <c r="N2003" s="192">
        <v>0</v>
      </c>
    </row>
    <row r="2004" spans="14:14" ht="14.25" customHeight="1">
      <c r="N2004" s="192">
        <v>0</v>
      </c>
    </row>
    <row r="2005" spans="14:14" ht="14.25" customHeight="1">
      <c r="N2005" s="192">
        <v>0</v>
      </c>
    </row>
    <row r="2006" spans="14:14" ht="14.25" customHeight="1">
      <c r="N2006" s="192">
        <v>0</v>
      </c>
    </row>
    <row r="2007" spans="14:14" ht="14.25" customHeight="1">
      <c r="N2007" s="192">
        <v>0</v>
      </c>
    </row>
    <row r="2008" spans="14:14" ht="14.25" customHeight="1">
      <c r="N2008" s="192">
        <v>0</v>
      </c>
    </row>
    <row r="2009" spans="14:14" ht="14.25" customHeight="1">
      <c r="N2009" s="192">
        <v>0</v>
      </c>
    </row>
    <row r="2010" spans="14:14" ht="14.25" customHeight="1">
      <c r="N2010" s="192">
        <v>0</v>
      </c>
    </row>
    <row r="2011" spans="14:14" ht="14.25" customHeight="1">
      <c r="N2011" s="192">
        <v>0</v>
      </c>
    </row>
    <row r="2012" spans="14:14" ht="14.25" customHeight="1">
      <c r="N2012" s="192">
        <v>0</v>
      </c>
    </row>
    <row r="2013" spans="14:14" ht="14.25" customHeight="1">
      <c r="N2013" s="192">
        <v>0</v>
      </c>
    </row>
    <row r="2014" spans="14:14" ht="14.25" customHeight="1">
      <c r="N2014" s="192">
        <v>0</v>
      </c>
    </row>
    <row r="2015" spans="14:14" ht="14.25" customHeight="1">
      <c r="N2015" s="192">
        <v>0</v>
      </c>
    </row>
    <row r="2016" spans="14:14" ht="14.25" customHeight="1">
      <c r="N2016" s="192">
        <v>0</v>
      </c>
    </row>
    <row r="2017" spans="14:14" ht="14.25" customHeight="1">
      <c r="N2017" s="192">
        <v>0</v>
      </c>
    </row>
    <row r="2018" spans="14:14" ht="14.25" customHeight="1">
      <c r="N2018" s="192">
        <v>0</v>
      </c>
    </row>
    <row r="2019" spans="14:14" ht="14.25" customHeight="1">
      <c r="N2019" s="192">
        <v>0</v>
      </c>
    </row>
    <row r="2020" spans="14:14" ht="14.25" customHeight="1">
      <c r="N2020" s="192">
        <v>0</v>
      </c>
    </row>
    <row r="2021" spans="14:14" ht="14.25" customHeight="1">
      <c r="N2021" s="192">
        <v>0</v>
      </c>
    </row>
    <row r="2022" spans="14:14" ht="14.25" customHeight="1">
      <c r="N2022" s="192">
        <v>0</v>
      </c>
    </row>
    <row r="2023" spans="14:14" ht="14.25" customHeight="1">
      <c r="N2023" s="192">
        <v>0</v>
      </c>
    </row>
    <row r="2024" spans="14:14" ht="14.25" customHeight="1">
      <c r="N2024" s="192">
        <v>0</v>
      </c>
    </row>
    <row r="2025" spans="14:14" ht="14.25" customHeight="1">
      <c r="N2025" s="192">
        <v>0</v>
      </c>
    </row>
    <row r="2026" spans="14:14" ht="14.25" customHeight="1">
      <c r="N2026" s="192">
        <v>0</v>
      </c>
    </row>
    <row r="2027" spans="14:14" ht="14.25" customHeight="1">
      <c r="N2027" s="192">
        <v>0</v>
      </c>
    </row>
    <row r="2028" spans="14:14" ht="14.25" customHeight="1">
      <c r="N2028" s="192">
        <v>0</v>
      </c>
    </row>
    <row r="2029" spans="14:14" ht="14.25" customHeight="1">
      <c r="N2029" s="192">
        <v>0</v>
      </c>
    </row>
    <row r="2030" spans="14:14" ht="14.25" customHeight="1">
      <c r="N2030" s="192">
        <v>0</v>
      </c>
    </row>
    <row r="2031" spans="14:14" ht="14.25" customHeight="1">
      <c r="N2031" s="192">
        <v>0</v>
      </c>
    </row>
    <row r="2032" spans="14:14" ht="14.25" customHeight="1">
      <c r="N2032" s="192">
        <v>0</v>
      </c>
    </row>
    <row r="2033" spans="14:14" ht="14.25" customHeight="1">
      <c r="N2033" s="192">
        <v>0</v>
      </c>
    </row>
    <row r="2034" spans="14:14" ht="14.25" customHeight="1">
      <c r="N2034" s="192">
        <v>0</v>
      </c>
    </row>
    <row r="2035" spans="14:14" ht="14.25" customHeight="1">
      <c r="N2035" s="192">
        <v>0</v>
      </c>
    </row>
    <row r="2036" spans="14:14" ht="14.25" customHeight="1">
      <c r="N2036" s="192">
        <v>0</v>
      </c>
    </row>
    <row r="2037" spans="14:14" ht="14.25" customHeight="1">
      <c r="N2037" s="192">
        <v>0</v>
      </c>
    </row>
    <row r="2038" spans="14:14" ht="14.25" customHeight="1">
      <c r="N2038" s="192">
        <v>0</v>
      </c>
    </row>
    <row r="2039" spans="14:14" ht="14.25" customHeight="1">
      <c r="N2039" s="192">
        <v>0</v>
      </c>
    </row>
    <row r="2040" spans="14:14" ht="14.25" customHeight="1">
      <c r="N2040" s="192">
        <v>0</v>
      </c>
    </row>
    <row r="2041" spans="14:14" ht="14.25" customHeight="1">
      <c r="N2041" s="192">
        <v>0</v>
      </c>
    </row>
    <row r="2042" spans="14:14" ht="14.25" customHeight="1">
      <c r="N2042" s="192">
        <v>0</v>
      </c>
    </row>
    <row r="2043" spans="14:14" ht="14.25" customHeight="1">
      <c r="N2043" s="192">
        <v>0</v>
      </c>
    </row>
    <row r="2044" spans="14:14" ht="14.25" customHeight="1">
      <c r="N2044" s="192">
        <v>0</v>
      </c>
    </row>
    <row r="2045" spans="14:14" ht="14.25" customHeight="1">
      <c r="N2045" s="192">
        <v>0</v>
      </c>
    </row>
    <row r="2046" spans="14:14" ht="14.25" customHeight="1">
      <c r="N2046" s="192">
        <v>0</v>
      </c>
    </row>
    <row r="2047" spans="14:14" ht="14.25" customHeight="1">
      <c r="N2047" s="192">
        <v>0</v>
      </c>
    </row>
    <row r="2048" spans="14:14" ht="14.25" customHeight="1">
      <c r="N2048" s="192">
        <v>0</v>
      </c>
    </row>
    <row r="2049" spans="14:14" ht="14.25" customHeight="1">
      <c r="N2049" s="192">
        <v>0</v>
      </c>
    </row>
    <row r="2050" spans="14:14" ht="14.25" customHeight="1">
      <c r="N2050" s="192">
        <v>0</v>
      </c>
    </row>
    <row r="2051" spans="14:14" ht="14.25" customHeight="1">
      <c r="N2051" s="192">
        <v>0</v>
      </c>
    </row>
    <row r="2052" spans="14:14" ht="14.25" customHeight="1">
      <c r="N2052" s="192">
        <v>0</v>
      </c>
    </row>
    <row r="2053" spans="14:14" ht="14.25" customHeight="1">
      <c r="N2053" s="192">
        <v>0</v>
      </c>
    </row>
    <row r="2054" spans="14:14" ht="14.25" customHeight="1">
      <c r="N2054" s="192">
        <v>0</v>
      </c>
    </row>
    <row r="2055" spans="14:14" ht="14.25" customHeight="1">
      <c r="N2055" s="192">
        <v>0</v>
      </c>
    </row>
    <row r="2056" spans="14:14" ht="14.25" customHeight="1">
      <c r="N2056" s="192">
        <v>0</v>
      </c>
    </row>
    <row r="2057" spans="14:14" ht="14.25" customHeight="1">
      <c r="N2057" s="192">
        <v>0</v>
      </c>
    </row>
    <row r="2058" spans="14:14" ht="14.25" customHeight="1">
      <c r="N2058" s="192">
        <v>0</v>
      </c>
    </row>
    <row r="2059" spans="14:14" ht="14.25" customHeight="1">
      <c r="N2059" s="192">
        <v>0</v>
      </c>
    </row>
    <row r="2060" spans="14:14" ht="14.25" customHeight="1">
      <c r="N2060" s="192">
        <v>0</v>
      </c>
    </row>
    <row r="2061" spans="14:14" ht="14.25" customHeight="1">
      <c r="N2061" s="192">
        <v>0</v>
      </c>
    </row>
    <row r="2062" spans="14:14" ht="14.25" customHeight="1">
      <c r="N2062" s="192">
        <v>0</v>
      </c>
    </row>
    <row r="2063" spans="14:14" ht="14.25" customHeight="1">
      <c r="N2063" s="192">
        <v>0</v>
      </c>
    </row>
    <row r="2064" spans="14:14" ht="14.25" customHeight="1">
      <c r="N2064" s="192">
        <v>0</v>
      </c>
    </row>
    <row r="2065" spans="14:14" ht="14.25" customHeight="1">
      <c r="N2065" s="192">
        <v>0</v>
      </c>
    </row>
    <row r="2066" spans="14:14" ht="14.25" customHeight="1">
      <c r="N2066" s="192">
        <v>0</v>
      </c>
    </row>
    <row r="2067" spans="14:14" ht="14.25" customHeight="1">
      <c r="N2067" s="192">
        <v>0</v>
      </c>
    </row>
    <row r="2068" spans="14:14" ht="14.25" customHeight="1">
      <c r="N2068" s="192">
        <v>0</v>
      </c>
    </row>
    <row r="2069" spans="14:14" ht="14.25" customHeight="1">
      <c r="N2069" s="192">
        <v>0</v>
      </c>
    </row>
    <row r="2070" spans="14:14" ht="14.25" customHeight="1">
      <c r="N2070" s="192">
        <v>0</v>
      </c>
    </row>
    <row r="2071" spans="14:14" ht="14.25" customHeight="1">
      <c r="N2071" s="192">
        <v>0</v>
      </c>
    </row>
    <row r="2072" spans="14:14" ht="14.25" customHeight="1">
      <c r="N2072" s="192">
        <v>0</v>
      </c>
    </row>
    <row r="2073" spans="14:14" ht="14.25" customHeight="1">
      <c r="N2073" s="192">
        <v>0</v>
      </c>
    </row>
    <row r="2074" spans="14:14" ht="14.25" customHeight="1">
      <c r="N2074" s="192">
        <v>0</v>
      </c>
    </row>
    <row r="2075" spans="14:14" ht="14.25" customHeight="1">
      <c r="N2075" s="192">
        <v>0</v>
      </c>
    </row>
    <row r="2076" spans="14:14" ht="14.25" customHeight="1">
      <c r="N2076" s="192">
        <v>0</v>
      </c>
    </row>
    <row r="2077" spans="14:14" ht="14.25" customHeight="1">
      <c r="N2077" s="192">
        <v>0</v>
      </c>
    </row>
    <row r="2078" spans="14:14" ht="14.25" customHeight="1">
      <c r="N2078" s="192">
        <v>0</v>
      </c>
    </row>
    <row r="2079" spans="14:14" ht="14.25" customHeight="1">
      <c r="N2079" s="192">
        <v>0</v>
      </c>
    </row>
    <row r="2080" spans="14:14" ht="14.25" customHeight="1">
      <c r="N2080" s="192">
        <v>0</v>
      </c>
    </row>
    <row r="2081" spans="14:14" ht="14.25" customHeight="1">
      <c r="N2081" s="192">
        <v>0</v>
      </c>
    </row>
    <row r="2082" spans="14:14" ht="14.25" customHeight="1">
      <c r="N2082" s="192">
        <v>0</v>
      </c>
    </row>
    <row r="2083" spans="14:14" ht="14.25" customHeight="1">
      <c r="N2083" s="192">
        <v>0</v>
      </c>
    </row>
    <row r="2084" spans="14:14" ht="14.25" customHeight="1">
      <c r="N2084" s="192">
        <v>0</v>
      </c>
    </row>
    <row r="2085" spans="14:14" ht="14.25" customHeight="1">
      <c r="N2085" s="192">
        <v>0</v>
      </c>
    </row>
    <row r="2086" spans="14:14" ht="14.25" customHeight="1">
      <c r="N2086" s="192">
        <v>0</v>
      </c>
    </row>
    <row r="2087" spans="14:14" ht="14.25" customHeight="1">
      <c r="N2087" s="192">
        <v>0</v>
      </c>
    </row>
    <row r="2088" spans="14:14" ht="14.25" customHeight="1">
      <c r="N2088" s="192">
        <v>0</v>
      </c>
    </row>
    <row r="2089" spans="14:14" ht="14.25" customHeight="1">
      <c r="N2089" s="192">
        <v>0</v>
      </c>
    </row>
    <row r="2090" spans="14:14" ht="14.25" customHeight="1">
      <c r="N2090" s="192">
        <v>0</v>
      </c>
    </row>
    <row r="2091" spans="14:14" ht="14.25" customHeight="1">
      <c r="N2091" s="192">
        <v>0</v>
      </c>
    </row>
    <row r="2092" spans="14:14" ht="14.25" customHeight="1">
      <c r="N2092" s="192">
        <v>0</v>
      </c>
    </row>
    <row r="2093" spans="14:14" ht="14.25" customHeight="1">
      <c r="N2093" s="192">
        <v>0</v>
      </c>
    </row>
    <row r="2094" spans="14:14" ht="14.25" customHeight="1">
      <c r="N2094" s="192">
        <v>0</v>
      </c>
    </row>
    <row r="2095" spans="14:14" ht="14.25" customHeight="1">
      <c r="N2095" s="192">
        <v>0</v>
      </c>
    </row>
    <row r="2096" spans="14:14" ht="14.25" customHeight="1">
      <c r="N2096" s="192">
        <v>0</v>
      </c>
    </row>
    <row r="2097" spans="14:14" ht="14.25" customHeight="1">
      <c r="N2097" s="192">
        <v>0</v>
      </c>
    </row>
    <row r="2098" spans="14:14" ht="14.25" customHeight="1">
      <c r="N2098" s="192">
        <v>0</v>
      </c>
    </row>
    <row r="2099" spans="14:14" ht="14.25" customHeight="1">
      <c r="N2099" s="192">
        <v>0</v>
      </c>
    </row>
    <row r="2100" spans="14:14" ht="14.25" customHeight="1">
      <c r="N2100" s="192">
        <v>0</v>
      </c>
    </row>
    <row r="2101" spans="14:14" ht="14.25" customHeight="1">
      <c r="N2101" s="192">
        <v>0</v>
      </c>
    </row>
    <row r="2102" spans="14:14" ht="14.25" customHeight="1">
      <c r="N2102" s="192">
        <v>0</v>
      </c>
    </row>
    <row r="2103" spans="14:14" ht="14.25" customHeight="1">
      <c r="N2103" s="192">
        <v>0</v>
      </c>
    </row>
    <row r="2104" spans="14:14" ht="14.25" customHeight="1">
      <c r="N2104" s="192">
        <v>0</v>
      </c>
    </row>
    <row r="2105" spans="14:14" ht="14.25" customHeight="1">
      <c r="N2105" s="192">
        <v>0</v>
      </c>
    </row>
    <row r="2106" spans="14:14" ht="14.25" customHeight="1">
      <c r="N2106" s="192">
        <v>0</v>
      </c>
    </row>
    <row r="2107" spans="14:14" ht="14.25" customHeight="1">
      <c r="N2107" s="192">
        <v>0</v>
      </c>
    </row>
    <row r="2108" spans="14:14" ht="14.25" customHeight="1">
      <c r="N2108" s="192">
        <v>0</v>
      </c>
    </row>
    <row r="2109" spans="14:14" ht="14.25" customHeight="1">
      <c r="N2109" s="192">
        <v>0</v>
      </c>
    </row>
    <row r="2110" spans="14:14" ht="14.25" customHeight="1">
      <c r="N2110" s="192">
        <v>0</v>
      </c>
    </row>
    <row r="2111" spans="14:14" ht="14.25" customHeight="1">
      <c r="N2111" s="192">
        <v>0</v>
      </c>
    </row>
    <row r="2112" spans="14:14" ht="14.25" customHeight="1">
      <c r="N2112" s="192">
        <v>0</v>
      </c>
    </row>
    <row r="2113" spans="14:14" ht="14.25" customHeight="1">
      <c r="N2113" s="192">
        <v>0</v>
      </c>
    </row>
    <row r="2114" spans="14:14" ht="14.25" customHeight="1">
      <c r="N2114" s="192">
        <v>0</v>
      </c>
    </row>
    <row r="2115" spans="14:14" ht="14.25" customHeight="1">
      <c r="N2115" s="192">
        <v>0</v>
      </c>
    </row>
    <row r="2116" spans="14:14" ht="14.25" customHeight="1">
      <c r="N2116" s="192">
        <v>0</v>
      </c>
    </row>
    <row r="2117" spans="14:14" ht="14.25" customHeight="1">
      <c r="N2117" s="192">
        <v>0</v>
      </c>
    </row>
    <row r="2118" spans="14:14" ht="14.25" customHeight="1">
      <c r="N2118" s="192">
        <v>0</v>
      </c>
    </row>
    <row r="2119" spans="14:14" ht="14.25" customHeight="1">
      <c r="N2119" s="192">
        <v>0</v>
      </c>
    </row>
    <row r="2120" spans="14:14" ht="14.25" customHeight="1">
      <c r="N2120" s="192">
        <v>0</v>
      </c>
    </row>
    <row r="2121" spans="14:14" ht="14.25" customHeight="1">
      <c r="N2121" s="192">
        <v>0</v>
      </c>
    </row>
    <row r="2122" spans="14:14" ht="14.25" customHeight="1">
      <c r="N2122" s="192">
        <v>0</v>
      </c>
    </row>
    <row r="2123" spans="14:14" ht="14.25" customHeight="1">
      <c r="N2123" s="192">
        <v>0</v>
      </c>
    </row>
    <row r="2124" spans="14:14" ht="14.25" customHeight="1">
      <c r="N2124" s="192">
        <v>0</v>
      </c>
    </row>
    <row r="2125" spans="14:14" ht="14.25" customHeight="1">
      <c r="N2125" s="192">
        <v>0</v>
      </c>
    </row>
    <row r="2126" spans="14:14" ht="14.25" customHeight="1">
      <c r="N2126" s="192">
        <v>0</v>
      </c>
    </row>
    <row r="2127" spans="14:14" ht="14.25" customHeight="1">
      <c r="N2127" s="192">
        <v>0</v>
      </c>
    </row>
    <row r="2128" spans="14:14" ht="14.25" customHeight="1">
      <c r="N2128" s="192">
        <v>0</v>
      </c>
    </row>
    <row r="2129" spans="14:14" ht="14.25" customHeight="1">
      <c r="N2129" s="192">
        <v>0</v>
      </c>
    </row>
    <row r="2130" spans="14:14" ht="14.25" customHeight="1">
      <c r="N2130" s="192">
        <v>0</v>
      </c>
    </row>
    <row r="2131" spans="14:14" ht="14.25" customHeight="1">
      <c r="N2131" s="192">
        <v>0</v>
      </c>
    </row>
    <row r="2132" spans="14:14" ht="14.25" customHeight="1">
      <c r="N2132" s="192">
        <v>0</v>
      </c>
    </row>
    <row r="2133" spans="14:14" ht="14.25" customHeight="1">
      <c r="N2133" s="192">
        <v>0</v>
      </c>
    </row>
    <row r="2134" spans="14:14" ht="14.25" customHeight="1">
      <c r="N2134" s="192">
        <v>0</v>
      </c>
    </row>
    <row r="2135" spans="14:14" ht="14.25" customHeight="1">
      <c r="N2135" s="192">
        <v>0</v>
      </c>
    </row>
    <row r="2136" spans="14:14" ht="14.25" customHeight="1">
      <c r="N2136" s="192">
        <v>0</v>
      </c>
    </row>
    <row r="2137" spans="14:14" ht="14.25" customHeight="1">
      <c r="N2137" s="192">
        <v>0</v>
      </c>
    </row>
    <row r="2138" spans="14:14" ht="14.25" customHeight="1">
      <c r="N2138" s="192">
        <v>0</v>
      </c>
    </row>
    <row r="2139" spans="14:14" ht="14.25" customHeight="1">
      <c r="N2139" s="192">
        <v>0</v>
      </c>
    </row>
    <row r="2140" spans="14:14" ht="14.25" customHeight="1">
      <c r="N2140" s="192">
        <v>0</v>
      </c>
    </row>
    <row r="2141" spans="14:14" ht="14.25" customHeight="1">
      <c r="N2141" s="192">
        <v>0</v>
      </c>
    </row>
    <row r="2142" spans="14:14" ht="14.25" customHeight="1">
      <c r="N2142" s="192">
        <v>0</v>
      </c>
    </row>
    <row r="2143" spans="14:14" ht="14.25" customHeight="1">
      <c r="N2143" s="192">
        <v>0</v>
      </c>
    </row>
    <row r="2144" spans="14:14" ht="14.25" customHeight="1">
      <c r="N2144" s="192">
        <v>0</v>
      </c>
    </row>
    <row r="2145" spans="14:14" ht="14.25" customHeight="1">
      <c r="N2145" s="192">
        <v>0</v>
      </c>
    </row>
    <row r="2146" spans="14:14" ht="14.25" customHeight="1">
      <c r="N2146" s="192">
        <v>0</v>
      </c>
    </row>
    <row r="2147" spans="14:14" ht="14.25" customHeight="1">
      <c r="N2147" s="192">
        <v>0</v>
      </c>
    </row>
    <row r="2148" spans="14:14" ht="14.25" customHeight="1">
      <c r="N2148" s="192">
        <v>0</v>
      </c>
    </row>
    <row r="2149" spans="14:14" ht="14.25" customHeight="1">
      <c r="N2149" s="192">
        <v>0</v>
      </c>
    </row>
    <row r="2150" spans="14:14" ht="14.25" customHeight="1">
      <c r="N2150" s="192">
        <v>0</v>
      </c>
    </row>
    <row r="2151" spans="14:14" ht="14.25" customHeight="1">
      <c r="N2151" s="192">
        <v>0</v>
      </c>
    </row>
    <row r="2152" spans="14:14" ht="14.25" customHeight="1">
      <c r="N2152" s="192">
        <v>0</v>
      </c>
    </row>
    <row r="2153" spans="14:14" ht="14.25" customHeight="1">
      <c r="N2153" s="192">
        <v>0</v>
      </c>
    </row>
    <row r="2154" spans="14:14" ht="14.25" customHeight="1">
      <c r="N2154" s="192">
        <v>0</v>
      </c>
    </row>
    <row r="2155" spans="14:14" ht="14.25" customHeight="1">
      <c r="N2155" s="192">
        <v>0</v>
      </c>
    </row>
    <row r="2156" spans="14:14" ht="14.25" customHeight="1">
      <c r="N2156" s="192">
        <v>0</v>
      </c>
    </row>
    <row r="2157" spans="14:14" ht="14.25" customHeight="1">
      <c r="N2157" s="192">
        <v>0</v>
      </c>
    </row>
    <row r="2158" spans="14:14" ht="14.25" customHeight="1">
      <c r="N2158" s="192">
        <v>0</v>
      </c>
    </row>
    <row r="2159" spans="14:14" ht="14.25" customHeight="1">
      <c r="N2159" s="192">
        <v>0</v>
      </c>
    </row>
    <row r="2160" spans="14:14" ht="14.25" customHeight="1">
      <c r="N2160" s="192">
        <v>0</v>
      </c>
    </row>
    <row r="2161" spans="14:14" ht="14.25" customHeight="1">
      <c r="N2161" s="192">
        <v>0</v>
      </c>
    </row>
    <row r="2162" spans="14:14" ht="14.25" customHeight="1">
      <c r="N2162" s="192">
        <v>0</v>
      </c>
    </row>
    <row r="2163" spans="14:14" ht="14.25" customHeight="1">
      <c r="N2163" s="192">
        <v>0</v>
      </c>
    </row>
    <row r="2164" spans="14:14" ht="14.25" customHeight="1">
      <c r="N2164" s="192">
        <v>0</v>
      </c>
    </row>
    <row r="2165" spans="14:14" ht="14.25" customHeight="1">
      <c r="N2165" s="192">
        <v>0</v>
      </c>
    </row>
    <row r="2166" spans="14:14" ht="14.25" customHeight="1">
      <c r="N2166" s="192">
        <v>0</v>
      </c>
    </row>
    <row r="2167" spans="14:14" ht="14.25" customHeight="1">
      <c r="N2167" s="192">
        <v>0</v>
      </c>
    </row>
    <row r="2168" spans="14:14" ht="14.25" customHeight="1">
      <c r="N2168" s="192">
        <v>0</v>
      </c>
    </row>
    <row r="2169" spans="14:14" ht="14.25" customHeight="1">
      <c r="N2169" s="192">
        <v>0</v>
      </c>
    </row>
    <row r="2170" spans="14:14" ht="14.25" customHeight="1">
      <c r="N2170" s="192">
        <v>0</v>
      </c>
    </row>
    <row r="2171" spans="14:14" ht="14.25" customHeight="1">
      <c r="N2171" s="192">
        <v>0</v>
      </c>
    </row>
    <row r="2172" spans="14:14" ht="14.25" customHeight="1">
      <c r="N2172" s="192">
        <v>0</v>
      </c>
    </row>
    <row r="2173" spans="14:14" ht="14.25" customHeight="1">
      <c r="N2173" s="192">
        <v>0</v>
      </c>
    </row>
    <row r="2174" spans="14:14" ht="14.25" customHeight="1">
      <c r="N2174" s="192">
        <v>0</v>
      </c>
    </row>
    <row r="2175" spans="14:14" ht="14.25" customHeight="1">
      <c r="N2175" s="192">
        <v>0</v>
      </c>
    </row>
    <row r="2176" spans="14:14" ht="14.25" customHeight="1">
      <c r="N2176" s="192">
        <v>0</v>
      </c>
    </row>
    <row r="2177" spans="14:14" ht="14.25" customHeight="1">
      <c r="N2177" s="192">
        <v>0</v>
      </c>
    </row>
    <row r="2178" spans="14:14" ht="14.25" customHeight="1">
      <c r="N2178" s="192">
        <v>0</v>
      </c>
    </row>
    <row r="2179" spans="14:14" ht="14.25" customHeight="1">
      <c r="N2179" s="192">
        <v>0</v>
      </c>
    </row>
    <row r="2180" spans="14:14" ht="14.25" customHeight="1">
      <c r="N2180" s="192">
        <v>0</v>
      </c>
    </row>
    <row r="2181" spans="14:14" ht="14.25" customHeight="1">
      <c r="N2181" s="192">
        <v>0</v>
      </c>
    </row>
    <row r="2182" spans="14:14" ht="14.25" customHeight="1">
      <c r="N2182" s="192">
        <v>0</v>
      </c>
    </row>
    <row r="2183" spans="14:14" ht="14.25" customHeight="1">
      <c r="N2183" s="192">
        <v>0</v>
      </c>
    </row>
    <row r="2184" spans="14:14" ht="14.25" customHeight="1">
      <c r="N2184" s="192">
        <v>0</v>
      </c>
    </row>
    <row r="2185" spans="14:14" ht="14.25" customHeight="1">
      <c r="N2185" s="192">
        <v>0</v>
      </c>
    </row>
    <row r="2186" spans="14:14" ht="14.25" customHeight="1">
      <c r="N2186" s="192">
        <v>0</v>
      </c>
    </row>
    <row r="2187" spans="14:14" ht="14.25" customHeight="1">
      <c r="N2187" s="192">
        <v>0</v>
      </c>
    </row>
    <row r="2188" spans="14:14" ht="14.25" customHeight="1">
      <c r="N2188" s="192">
        <v>0</v>
      </c>
    </row>
    <row r="2189" spans="14:14" ht="14.25" customHeight="1">
      <c r="N2189" s="192">
        <v>0</v>
      </c>
    </row>
    <row r="2190" spans="14:14" ht="14.25" customHeight="1">
      <c r="N2190" s="192">
        <v>0</v>
      </c>
    </row>
    <row r="2191" spans="14:14" ht="14.25" customHeight="1">
      <c r="N2191" s="192">
        <v>0</v>
      </c>
    </row>
    <row r="2192" spans="14:14" ht="14.25" customHeight="1">
      <c r="N2192" s="192">
        <v>0</v>
      </c>
    </row>
    <row r="2193" spans="14:14" ht="14.25" customHeight="1">
      <c r="N2193" s="192">
        <v>0</v>
      </c>
    </row>
    <row r="2194" spans="14:14" ht="14.25" customHeight="1">
      <c r="N2194" s="192">
        <v>0</v>
      </c>
    </row>
    <row r="2195" spans="14:14" ht="14.25" customHeight="1">
      <c r="N2195" s="192">
        <v>0</v>
      </c>
    </row>
    <row r="2196" spans="14:14" ht="14.25" customHeight="1">
      <c r="N2196" s="192">
        <v>0</v>
      </c>
    </row>
    <row r="2197" spans="14:14" ht="14.25" customHeight="1">
      <c r="N2197" s="192">
        <v>0</v>
      </c>
    </row>
    <row r="2198" spans="14:14" ht="14.25" customHeight="1">
      <c r="N2198" s="192">
        <v>0</v>
      </c>
    </row>
    <row r="2199" spans="14:14" ht="14.25" customHeight="1">
      <c r="N2199" s="192">
        <v>0</v>
      </c>
    </row>
    <row r="2200" spans="14:14" ht="14.25" customHeight="1">
      <c r="N2200" s="192">
        <v>0</v>
      </c>
    </row>
    <row r="2201" spans="14:14" ht="14.25" customHeight="1">
      <c r="N2201" s="192">
        <v>0</v>
      </c>
    </row>
    <row r="2202" spans="14:14" ht="14.25" customHeight="1">
      <c r="N2202" s="192">
        <v>0</v>
      </c>
    </row>
    <row r="2203" spans="14:14" ht="14.25" customHeight="1">
      <c r="N2203" s="192">
        <v>0</v>
      </c>
    </row>
    <row r="2204" spans="14:14" ht="14.25" customHeight="1">
      <c r="N2204" s="192">
        <v>0</v>
      </c>
    </row>
    <row r="2205" spans="14:14" ht="14.25" customHeight="1">
      <c r="N2205" s="192">
        <v>0</v>
      </c>
    </row>
    <row r="2206" spans="14:14" ht="14.25" customHeight="1">
      <c r="N2206" s="192">
        <v>0</v>
      </c>
    </row>
    <row r="2207" spans="14:14" ht="14.25" customHeight="1">
      <c r="N2207" s="192">
        <v>0</v>
      </c>
    </row>
    <row r="2208" spans="14:14" ht="14.25" customHeight="1">
      <c r="N2208" s="192">
        <v>0</v>
      </c>
    </row>
    <row r="2209" spans="14:14" ht="14.25" customHeight="1">
      <c r="N2209" s="192">
        <v>0</v>
      </c>
    </row>
    <row r="2210" spans="14:14" ht="14.25" customHeight="1">
      <c r="N2210" s="192">
        <v>0</v>
      </c>
    </row>
    <row r="2211" spans="14:14" ht="14.25" customHeight="1">
      <c r="N2211" s="192">
        <v>0</v>
      </c>
    </row>
    <row r="2212" spans="14:14" ht="14.25" customHeight="1">
      <c r="N2212" s="192">
        <v>0</v>
      </c>
    </row>
    <row r="2213" spans="14:14" ht="14.25" customHeight="1">
      <c r="N2213" s="192">
        <v>0</v>
      </c>
    </row>
    <row r="2214" spans="14:14" ht="14.25" customHeight="1">
      <c r="N2214" s="192">
        <v>0</v>
      </c>
    </row>
    <row r="2215" spans="14:14" ht="14.25" customHeight="1">
      <c r="N2215" s="192">
        <v>0</v>
      </c>
    </row>
    <row r="2216" spans="14:14" ht="14.25" customHeight="1">
      <c r="N2216" s="192">
        <v>0</v>
      </c>
    </row>
    <row r="2217" spans="14:14" ht="14.25" customHeight="1">
      <c r="N2217" s="192">
        <v>0</v>
      </c>
    </row>
    <row r="2218" spans="14:14" ht="14.25" customHeight="1">
      <c r="N2218" s="192">
        <v>0</v>
      </c>
    </row>
    <row r="2219" spans="14:14" ht="14.25" customHeight="1">
      <c r="N2219" s="192">
        <v>0</v>
      </c>
    </row>
    <row r="2220" spans="14:14" ht="14.25" customHeight="1">
      <c r="N2220" s="192">
        <v>0</v>
      </c>
    </row>
    <row r="2221" spans="14:14" ht="14.25" customHeight="1">
      <c r="N2221" s="192">
        <v>0</v>
      </c>
    </row>
    <row r="2222" spans="14:14" ht="14.25" customHeight="1">
      <c r="N2222" s="192">
        <v>0</v>
      </c>
    </row>
    <row r="2223" spans="14:14" ht="14.25" customHeight="1">
      <c r="N2223" s="192">
        <v>0</v>
      </c>
    </row>
    <row r="2224" spans="14:14" ht="14.25" customHeight="1">
      <c r="N2224" s="192">
        <v>0</v>
      </c>
    </row>
    <row r="2225" spans="14:14" ht="14.25" customHeight="1">
      <c r="N2225" s="192">
        <v>0</v>
      </c>
    </row>
    <row r="2226" spans="14:14" ht="14.25" customHeight="1">
      <c r="N2226" s="192">
        <v>0</v>
      </c>
    </row>
    <row r="2227" spans="14:14" ht="14.25" customHeight="1">
      <c r="N2227" s="192">
        <v>0</v>
      </c>
    </row>
    <row r="2228" spans="14:14" ht="14.25" customHeight="1">
      <c r="N2228" s="192">
        <v>0</v>
      </c>
    </row>
    <row r="2229" spans="14:14" ht="14.25" customHeight="1">
      <c r="N2229" s="192">
        <v>0</v>
      </c>
    </row>
    <row r="2230" spans="14:14" ht="14.25" customHeight="1">
      <c r="N2230" s="192">
        <v>0</v>
      </c>
    </row>
    <row r="2231" spans="14:14" ht="14.25" customHeight="1">
      <c r="N2231" s="192">
        <v>0</v>
      </c>
    </row>
    <row r="2232" spans="14:14" ht="14.25" customHeight="1">
      <c r="N2232" s="192">
        <v>0</v>
      </c>
    </row>
    <row r="2233" spans="14:14" ht="14.25" customHeight="1">
      <c r="N2233" s="192">
        <v>0</v>
      </c>
    </row>
    <row r="2234" spans="14:14" ht="14.25" customHeight="1">
      <c r="N2234" s="192">
        <v>0</v>
      </c>
    </row>
    <row r="2235" spans="14:14" ht="14.25" customHeight="1">
      <c r="N2235" s="192">
        <v>0</v>
      </c>
    </row>
    <row r="2236" spans="14:14" ht="14.25" customHeight="1">
      <c r="N2236" s="192">
        <v>0</v>
      </c>
    </row>
    <row r="2237" spans="14:14" ht="14.25" customHeight="1">
      <c r="N2237" s="192">
        <v>0</v>
      </c>
    </row>
    <row r="2238" spans="14:14" ht="14.25" customHeight="1">
      <c r="N2238" s="192">
        <v>0</v>
      </c>
    </row>
    <row r="2239" spans="14:14" ht="14.25" customHeight="1">
      <c r="N2239" s="192">
        <v>0</v>
      </c>
    </row>
    <row r="2240" spans="14:14" ht="14.25" customHeight="1">
      <c r="N2240" s="192">
        <v>0</v>
      </c>
    </row>
    <row r="2241" spans="14:14" ht="14.25" customHeight="1">
      <c r="N2241" s="192">
        <v>0</v>
      </c>
    </row>
    <row r="2242" spans="14:14" ht="14.25" customHeight="1">
      <c r="N2242" s="192">
        <v>0</v>
      </c>
    </row>
    <row r="2243" spans="14:14" ht="14.25" customHeight="1">
      <c r="N2243" s="192">
        <v>0</v>
      </c>
    </row>
    <row r="2244" spans="14:14" ht="14.25" customHeight="1">
      <c r="N2244" s="192">
        <v>0</v>
      </c>
    </row>
    <row r="2245" spans="14:14" ht="14.25" customHeight="1">
      <c r="N2245" s="192">
        <v>0</v>
      </c>
    </row>
    <row r="2246" spans="14:14" ht="14.25" customHeight="1">
      <c r="N2246" s="192">
        <v>0</v>
      </c>
    </row>
    <row r="2247" spans="14:14" ht="14.25" customHeight="1">
      <c r="N2247" s="192">
        <v>0</v>
      </c>
    </row>
    <row r="2248" spans="14:14" ht="14.25" customHeight="1">
      <c r="N2248" s="192">
        <v>0</v>
      </c>
    </row>
    <row r="2249" spans="14:14" ht="14.25" customHeight="1">
      <c r="N2249" s="192">
        <v>0</v>
      </c>
    </row>
    <row r="2250" spans="14:14" ht="14.25" customHeight="1">
      <c r="N2250" s="192">
        <v>0</v>
      </c>
    </row>
    <row r="2251" spans="14:14" ht="14.25" customHeight="1">
      <c r="N2251" s="192">
        <v>0</v>
      </c>
    </row>
    <row r="2252" spans="14:14" ht="14.25" customHeight="1">
      <c r="N2252" s="192">
        <v>0</v>
      </c>
    </row>
    <row r="2253" spans="14:14" ht="14.25" customHeight="1">
      <c r="N2253" s="192">
        <v>0</v>
      </c>
    </row>
    <row r="2254" spans="14:14" ht="14.25" customHeight="1">
      <c r="N2254" s="192">
        <v>0</v>
      </c>
    </row>
    <row r="2255" spans="14:14" ht="14.25" customHeight="1">
      <c r="N2255" s="192">
        <v>0</v>
      </c>
    </row>
    <row r="2256" spans="14:14" ht="14.25" customHeight="1">
      <c r="N2256" s="192">
        <v>0</v>
      </c>
    </row>
    <row r="2257" spans="14:14" ht="14.25" customHeight="1">
      <c r="N2257" s="192">
        <v>0</v>
      </c>
    </row>
    <row r="2258" spans="14:14" ht="14.25" customHeight="1">
      <c r="N2258" s="192">
        <v>0</v>
      </c>
    </row>
    <row r="2259" spans="14:14" ht="14.25" customHeight="1">
      <c r="N2259" s="192">
        <v>0</v>
      </c>
    </row>
    <row r="2260" spans="14:14" ht="14.25" customHeight="1">
      <c r="N2260" s="192">
        <v>0</v>
      </c>
    </row>
    <row r="2261" spans="14:14" ht="14.25" customHeight="1">
      <c r="N2261" s="192">
        <v>0</v>
      </c>
    </row>
    <row r="2262" spans="14:14" ht="14.25" customHeight="1">
      <c r="N2262" s="192">
        <v>0</v>
      </c>
    </row>
    <row r="2263" spans="14:14" ht="14.25" customHeight="1">
      <c r="N2263" s="192">
        <v>0</v>
      </c>
    </row>
    <row r="2264" spans="14:14" ht="14.25" customHeight="1">
      <c r="N2264" s="192">
        <v>0</v>
      </c>
    </row>
    <row r="2265" spans="14:14" ht="14.25" customHeight="1">
      <c r="N2265" s="192">
        <v>0</v>
      </c>
    </row>
    <row r="2266" spans="14:14" ht="14.25" customHeight="1">
      <c r="N2266" s="192">
        <v>0</v>
      </c>
    </row>
    <row r="2267" spans="14:14" ht="14.25" customHeight="1">
      <c r="N2267" s="192">
        <v>0</v>
      </c>
    </row>
    <row r="2268" spans="14:14" ht="14.25" customHeight="1">
      <c r="N2268" s="192">
        <v>0</v>
      </c>
    </row>
    <row r="2269" spans="14:14" ht="14.25" customHeight="1">
      <c r="N2269" s="192">
        <v>0</v>
      </c>
    </row>
    <row r="2270" spans="14:14" ht="14.25" customHeight="1">
      <c r="N2270" s="192">
        <v>0</v>
      </c>
    </row>
    <row r="2271" spans="14:14" ht="14.25" customHeight="1">
      <c r="N2271" s="192">
        <v>0</v>
      </c>
    </row>
    <row r="2272" spans="14:14" ht="14.25" customHeight="1">
      <c r="N2272" s="192">
        <v>0</v>
      </c>
    </row>
    <row r="2273" spans="14:14" ht="14.25" customHeight="1">
      <c r="N2273" s="192">
        <v>0</v>
      </c>
    </row>
    <row r="2274" spans="14:14" ht="14.25" customHeight="1">
      <c r="N2274" s="192">
        <v>0</v>
      </c>
    </row>
    <row r="2275" spans="14:14" ht="14.25" customHeight="1">
      <c r="N2275" s="192">
        <v>0</v>
      </c>
    </row>
    <row r="2276" spans="14:14" ht="14.25" customHeight="1">
      <c r="N2276" s="192">
        <v>0</v>
      </c>
    </row>
    <row r="2277" spans="14:14" ht="14.25" customHeight="1">
      <c r="N2277" s="192">
        <v>0</v>
      </c>
    </row>
    <row r="2278" spans="14:14" ht="14.25" customHeight="1">
      <c r="N2278" s="192">
        <v>0</v>
      </c>
    </row>
    <row r="2279" spans="14:14" ht="14.25" customHeight="1">
      <c r="N2279" s="192">
        <v>0</v>
      </c>
    </row>
    <row r="2280" spans="14:14" ht="14.25" customHeight="1">
      <c r="N2280" s="192">
        <v>0</v>
      </c>
    </row>
    <row r="2281" spans="14:14" ht="14.25" customHeight="1">
      <c r="N2281" s="192">
        <v>0</v>
      </c>
    </row>
    <row r="2282" spans="14:14" ht="14.25" customHeight="1">
      <c r="N2282" s="192">
        <v>0</v>
      </c>
    </row>
    <row r="2283" spans="14:14" ht="14.25" customHeight="1">
      <c r="N2283" s="192">
        <v>0</v>
      </c>
    </row>
    <row r="2284" spans="14:14" ht="14.25" customHeight="1">
      <c r="N2284" s="192">
        <v>0</v>
      </c>
    </row>
    <row r="2285" spans="14:14" ht="14.25" customHeight="1">
      <c r="N2285" s="192">
        <v>0</v>
      </c>
    </row>
    <row r="2286" spans="14:14" ht="14.25" customHeight="1">
      <c r="N2286" s="192">
        <v>0</v>
      </c>
    </row>
    <row r="2287" spans="14:14" ht="14.25" customHeight="1">
      <c r="N2287" s="192">
        <v>0</v>
      </c>
    </row>
    <row r="2288" spans="14:14" ht="14.25" customHeight="1">
      <c r="N2288" s="192">
        <v>0</v>
      </c>
    </row>
    <row r="2289" spans="14:14" ht="14.25" customHeight="1">
      <c r="N2289" s="192">
        <v>0</v>
      </c>
    </row>
    <row r="2290" spans="14:14" ht="14.25" customHeight="1">
      <c r="N2290" s="192">
        <v>0</v>
      </c>
    </row>
    <row r="2291" spans="14:14" ht="14.25" customHeight="1">
      <c r="N2291" s="192">
        <v>0</v>
      </c>
    </row>
    <row r="2292" spans="14:14" ht="14.25" customHeight="1">
      <c r="N2292" s="192">
        <v>0</v>
      </c>
    </row>
    <row r="2293" spans="14:14" ht="14.25" customHeight="1">
      <c r="N2293" s="192">
        <v>0</v>
      </c>
    </row>
    <row r="2294" spans="14:14" ht="14.25" customHeight="1">
      <c r="N2294" s="192">
        <v>0</v>
      </c>
    </row>
    <row r="2295" spans="14:14" ht="14.25" customHeight="1">
      <c r="N2295" s="192">
        <v>0</v>
      </c>
    </row>
    <row r="2296" spans="14:14" ht="14.25" customHeight="1">
      <c r="N2296" s="192">
        <v>0</v>
      </c>
    </row>
    <row r="2297" spans="14:14" ht="14.25" customHeight="1">
      <c r="N2297" s="192">
        <v>0</v>
      </c>
    </row>
    <row r="2298" spans="14:14" ht="14.25" customHeight="1">
      <c r="N2298" s="192">
        <v>0</v>
      </c>
    </row>
    <row r="2299" spans="14:14" ht="14.25" customHeight="1">
      <c r="N2299" s="192">
        <v>0</v>
      </c>
    </row>
    <row r="2300" spans="14:14" ht="14.25" customHeight="1">
      <c r="N2300" s="192">
        <v>0</v>
      </c>
    </row>
    <row r="2301" spans="14:14" ht="14.25" customHeight="1">
      <c r="N2301" s="192">
        <v>0</v>
      </c>
    </row>
    <row r="2302" spans="14:14" ht="14.25" customHeight="1">
      <c r="N2302" s="192">
        <v>0</v>
      </c>
    </row>
    <row r="2303" spans="14:14" ht="14.25" customHeight="1">
      <c r="N2303" s="192">
        <v>0</v>
      </c>
    </row>
    <row r="2304" spans="14:14" ht="14.25" customHeight="1">
      <c r="N2304" s="192">
        <v>0</v>
      </c>
    </row>
    <row r="2305" spans="14:14" ht="14.25" customHeight="1">
      <c r="N2305" s="192">
        <v>0</v>
      </c>
    </row>
    <row r="2306" spans="14:14" ht="14.25" customHeight="1">
      <c r="N2306" s="192">
        <v>0</v>
      </c>
    </row>
    <row r="2307" spans="14:14" ht="14.25" customHeight="1">
      <c r="N2307" s="192">
        <v>0</v>
      </c>
    </row>
    <row r="2308" spans="14:14" ht="14.25" customHeight="1">
      <c r="N2308" s="192">
        <v>0</v>
      </c>
    </row>
    <row r="2309" spans="14:14" ht="14.25" customHeight="1">
      <c r="N2309" s="192">
        <v>0</v>
      </c>
    </row>
    <row r="2310" spans="14:14" ht="14.25" customHeight="1">
      <c r="N2310" s="192">
        <v>0</v>
      </c>
    </row>
    <row r="2311" spans="14:14" ht="14.25" customHeight="1">
      <c r="N2311" s="192">
        <v>0</v>
      </c>
    </row>
    <row r="2312" spans="14:14" ht="14.25" customHeight="1">
      <c r="N2312" s="192">
        <v>0</v>
      </c>
    </row>
    <row r="2313" spans="14:14" ht="14.25" customHeight="1">
      <c r="N2313" s="192">
        <v>0</v>
      </c>
    </row>
    <row r="2314" spans="14:14" ht="14.25" customHeight="1">
      <c r="N2314" s="192">
        <v>0</v>
      </c>
    </row>
    <row r="2315" spans="14:14" ht="14.25" customHeight="1">
      <c r="N2315" s="192">
        <v>0</v>
      </c>
    </row>
    <row r="2316" spans="14:14" ht="14.25" customHeight="1">
      <c r="N2316" s="192">
        <v>0</v>
      </c>
    </row>
    <row r="2317" spans="14:14" ht="14.25" customHeight="1">
      <c r="N2317" s="192">
        <v>0</v>
      </c>
    </row>
    <row r="2318" spans="14:14" ht="14.25" customHeight="1">
      <c r="N2318" s="192">
        <v>0</v>
      </c>
    </row>
    <row r="2319" spans="14:14" ht="14.25" customHeight="1">
      <c r="N2319" s="192">
        <v>0</v>
      </c>
    </row>
    <row r="2320" spans="14:14" ht="14.25" customHeight="1">
      <c r="N2320" s="192">
        <v>0</v>
      </c>
    </row>
    <row r="2321" spans="14:14" ht="14.25" customHeight="1">
      <c r="N2321" s="192">
        <v>0</v>
      </c>
    </row>
    <row r="2322" spans="14:14" ht="14.25" customHeight="1">
      <c r="N2322" s="192">
        <v>0</v>
      </c>
    </row>
    <row r="2323" spans="14:14" ht="14.25" customHeight="1">
      <c r="N2323" s="192">
        <v>0</v>
      </c>
    </row>
    <row r="2324" spans="14:14" ht="14.25" customHeight="1">
      <c r="N2324" s="192">
        <v>0</v>
      </c>
    </row>
    <row r="2325" spans="14:14" ht="14.25" customHeight="1">
      <c r="N2325" s="192">
        <v>0</v>
      </c>
    </row>
    <row r="2326" spans="14:14" ht="14.25" customHeight="1">
      <c r="N2326" s="192">
        <v>0</v>
      </c>
    </row>
    <row r="2327" spans="14:14" ht="14.25" customHeight="1">
      <c r="N2327" s="192">
        <v>0</v>
      </c>
    </row>
    <row r="2328" spans="14:14" ht="14.25" customHeight="1">
      <c r="N2328" s="192">
        <v>0</v>
      </c>
    </row>
    <row r="2329" spans="14:14" ht="14.25" customHeight="1">
      <c r="N2329" s="192">
        <v>0</v>
      </c>
    </row>
    <row r="2330" spans="14:14" ht="14.25" customHeight="1">
      <c r="N2330" s="192">
        <v>0</v>
      </c>
    </row>
    <row r="2331" spans="14:14" ht="14.25" customHeight="1">
      <c r="N2331" s="192">
        <v>0</v>
      </c>
    </row>
    <row r="2332" spans="14:14" ht="14.25" customHeight="1">
      <c r="N2332" s="192">
        <v>0</v>
      </c>
    </row>
    <row r="2333" spans="14:14" ht="14.25" customHeight="1">
      <c r="N2333" s="192">
        <v>0</v>
      </c>
    </row>
    <row r="2334" spans="14:14" ht="14.25" customHeight="1">
      <c r="N2334" s="192">
        <v>0</v>
      </c>
    </row>
    <row r="2335" spans="14:14" ht="14.25" customHeight="1">
      <c r="N2335" s="192">
        <v>0</v>
      </c>
    </row>
    <row r="2336" spans="14:14" ht="14.25" customHeight="1">
      <c r="N2336" s="192">
        <v>0</v>
      </c>
    </row>
    <row r="2337" spans="14:14" ht="14.25" customHeight="1">
      <c r="N2337" s="192">
        <v>0</v>
      </c>
    </row>
    <row r="2338" spans="14:14" ht="14.25" customHeight="1">
      <c r="N2338" s="192">
        <v>0</v>
      </c>
    </row>
    <row r="2339" spans="14:14" ht="14.25" customHeight="1">
      <c r="N2339" s="192">
        <v>0</v>
      </c>
    </row>
    <row r="2340" spans="14:14" ht="14.25" customHeight="1">
      <c r="N2340" s="192">
        <v>0</v>
      </c>
    </row>
    <row r="2341" spans="14:14" ht="14.25" customHeight="1">
      <c r="N2341" s="192">
        <v>0</v>
      </c>
    </row>
    <row r="2342" spans="14:14" ht="14.25" customHeight="1">
      <c r="N2342" s="192">
        <v>0</v>
      </c>
    </row>
    <row r="2343" spans="14:14" ht="14.25" customHeight="1">
      <c r="N2343" s="192">
        <v>0</v>
      </c>
    </row>
    <row r="2344" spans="14:14" ht="14.25" customHeight="1">
      <c r="N2344" s="192">
        <v>0</v>
      </c>
    </row>
    <row r="2345" spans="14:14" ht="14.25" customHeight="1">
      <c r="N2345" s="192">
        <v>0</v>
      </c>
    </row>
    <row r="2346" spans="14:14" ht="14.25" customHeight="1">
      <c r="N2346" s="192">
        <v>0</v>
      </c>
    </row>
    <row r="2347" spans="14:14" ht="14.25" customHeight="1">
      <c r="N2347" s="192">
        <v>0</v>
      </c>
    </row>
    <row r="2348" spans="14:14" ht="14.25" customHeight="1">
      <c r="N2348" s="192">
        <v>0</v>
      </c>
    </row>
    <row r="2349" spans="14:14" ht="14.25" customHeight="1">
      <c r="N2349" s="192">
        <v>0</v>
      </c>
    </row>
    <row r="2350" spans="14:14" ht="14.25" customHeight="1">
      <c r="N2350" s="192">
        <v>0</v>
      </c>
    </row>
    <row r="2351" spans="14:14" ht="14.25" customHeight="1">
      <c r="N2351" s="192">
        <v>0</v>
      </c>
    </row>
    <row r="2352" spans="14:14" ht="14.25" customHeight="1">
      <c r="N2352" s="192">
        <v>0</v>
      </c>
    </row>
    <row r="2353" spans="14:14" ht="14.25" customHeight="1">
      <c r="N2353" s="192">
        <v>0</v>
      </c>
    </row>
    <row r="2354" spans="14:14" ht="14.25" customHeight="1">
      <c r="N2354" s="192">
        <v>0</v>
      </c>
    </row>
    <row r="2355" spans="14:14" ht="14.25" customHeight="1">
      <c r="N2355" s="192">
        <v>0</v>
      </c>
    </row>
    <row r="2356" spans="14:14" ht="14.25" customHeight="1">
      <c r="N2356" s="192">
        <v>0</v>
      </c>
    </row>
    <row r="2357" spans="14:14" ht="14.25" customHeight="1">
      <c r="N2357" s="192">
        <v>0</v>
      </c>
    </row>
    <row r="2358" spans="14:14" ht="14.25" customHeight="1">
      <c r="N2358" s="192">
        <v>0</v>
      </c>
    </row>
    <row r="2359" spans="14:14" ht="14.25" customHeight="1">
      <c r="N2359" s="192">
        <v>0</v>
      </c>
    </row>
    <row r="2360" spans="14:14" ht="14.25" customHeight="1">
      <c r="N2360" s="192">
        <v>0</v>
      </c>
    </row>
    <row r="2361" spans="14:14" ht="14.25" customHeight="1">
      <c r="N2361" s="192">
        <v>0</v>
      </c>
    </row>
    <row r="2362" spans="14:14" ht="14.25" customHeight="1">
      <c r="N2362" s="192">
        <v>0</v>
      </c>
    </row>
    <row r="2363" spans="14:14" ht="14.25" customHeight="1">
      <c r="N2363" s="192">
        <v>0</v>
      </c>
    </row>
    <row r="2364" spans="14:14" ht="14.25" customHeight="1">
      <c r="N2364" s="192">
        <v>0</v>
      </c>
    </row>
    <row r="2365" spans="14:14" ht="14.25" customHeight="1">
      <c r="N2365" s="192">
        <v>0</v>
      </c>
    </row>
    <row r="2366" spans="14:14" ht="14.25" customHeight="1">
      <c r="N2366" s="192">
        <v>0</v>
      </c>
    </row>
    <row r="2367" spans="14:14" ht="14.25" customHeight="1">
      <c r="N2367" s="192">
        <v>0</v>
      </c>
    </row>
    <row r="2368" spans="14:14" ht="14.25" customHeight="1">
      <c r="N2368" s="192">
        <v>0</v>
      </c>
    </row>
    <row r="2369" spans="14:14" ht="14.25" customHeight="1">
      <c r="N2369" s="192">
        <v>0</v>
      </c>
    </row>
    <row r="2370" spans="14:14" ht="14.25" customHeight="1">
      <c r="N2370" s="192">
        <v>0</v>
      </c>
    </row>
    <row r="2371" spans="14:14" ht="14.25" customHeight="1">
      <c r="N2371" s="192">
        <v>0</v>
      </c>
    </row>
    <row r="2372" spans="14:14" ht="14.25" customHeight="1">
      <c r="N2372" s="192">
        <v>0</v>
      </c>
    </row>
    <row r="2373" spans="14:14" ht="14.25" customHeight="1">
      <c r="N2373" s="192">
        <v>0</v>
      </c>
    </row>
    <row r="2374" spans="14:14" ht="14.25" customHeight="1">
      <c r="N2374" s="192">
        <v>0</v>
      </c>
    </row>
    <row r="2375" spans="14:14" ht="14.25" customHeight="1">
      <c r="N2375" s="192">
        <v>0</v>
      </c>
    </row>
    <row r="2376" spans="14:14" ht="14.25" customHeight="1">
      <c r="N2376" s="192">
        <v>0</v>
      </c>
    </row>
    <row r="2377" spans="14:14" ht="14.25" customHeight="1">
      <c r="N2377" s="192">
        <v>0</v>
      </c>
    </row>
    <row r="2378" spans="14:14" ht="14.25" customHeight="1">
      <c r="N2378" s="192">
        <v>0</v>
      </c>
    </row>
    <row r="2379" spans="14:14" ht="14.25" customHeight="1">
      <c r="N2379" s="192">
        <v>0</v>
      </c>
    </row>
    <row r="2380" spans="14:14" ht="14.25" customHeight="1">
      <c r="N2380" s="192">
        <v>0</v>
      </c>
    </row>
    <row r="2381" spans="14:14" ht="14.25" customHeight="1">
      <c r="N2381" s="192">
        <v>0</v>
      </c>
    </row>
    <row r="2382" spans="14:14" ht="14.25" customHeight="1">
      <c r="N2382" s="192">
        <v>0</v>
      </c>
    </row>
    <row r="2383" spans="14:14" ht="14.25" customHeight="1">
      <c r="N2383" s="192">
        <v>0</v>
      </c>
    </row>
    <row r="2384" spans="14:14" ht="14.25" customHeight="1">
      <c r="N2384" s="192">
        <v>0</v>
      </c>
    </row>
    <row r="2385" spans="14:14" ht="14.25" customHeight="1">
      <c r="N2385" s="192">
        <v>0</v>
      </c>
    </row>
    <row r="2386" spans="14:14" ht="14.25" customHeight="1">
      <c r="N2386" s="192">
        <v>0</v>
      </c>
    </row>
    <row r="2387" spans="14:14" ht="14.25" customHeight="1">
      <c r="N2387" s="192">
        <v>0</v>
      </c>
    </row>
    <row r="2388" spans="14:14" ht="14.25" customHeight="1">
      <c r="N2388" s="192">
        <v>0</v>
      </c>
    </row>
    <row r="2389" spans="14:14" ht="14.25" customHeight="1">
      <c r="N2389" s="192">
        <v>0</v>
      </c>
    </row>
    <row r="2390" spans="14:14" ht="14.25" customHeight="1">
      <c r="N2390" s="192">
        <v>0</v>
      </c>
    </row>
    <row r="2391" spans="14:14" ht="14.25" customHeight="1">
      <c r="N2391" s="192">
        <v>0</v>
      </c>
    </row>
    <row r="2392" spans="14:14" ht="14.25" customHeight="1">
      <c r="N2392" s="192">
        <v>0</v>
      </c>
    </row>
    <row r="2393" spans="14:14" ht="14.25" customHeight="1">
      <c r="N2393" s="192">
        <v>0</v>
      </c>
    </row>
    <row r="2394" spans="14:14" ht="14.25" customHeight="1">
      <c r="N2394" s="192">
        <v>0</v>
      </c>
    </row>
    <row r="2395" spans="14:14" ht="14.25" customHeight="1">
      <c r="N2395" s="192">
        <v>0</v>
      </c>
    </row>
    <row r="2396" spans="14:14" ht="14.25" customHeight="1">
      <c r="N2396" s="192">
        <v>0</v>
      </c>
    </row>
    <row r="2397" spans="14:14" ht="14.25" customHeight="1">
      <c r="N2397" s="192">
        <v>0</v>
      </c>
    </row>
    <row r="2398" spans="14:14" ht="14.25" customHeight="1">
      <c r="N2398" s="192">
        <v>0</v>
      </c>
    </row>
    <row r="2399" spans="14:14" ht="14.25" customHeight="1">
      <c r="N2399" s="192">
        <v>0</v>
      </c>
    </row>
    <row r="2400" spans="14:14" ht="14.25" customHeight="1">
      <c r="N2400" s="192">
        <v>0</v>
      </c>
    </row>
    <row r="2401" spans="14:14" ht="14.25" customHeight="1">
      <c r="N2401" s="192">
        <v>0</v>
      </c>
    </row>
    <row r="2402" spans="14:14" ht="14.25" customHeight="1">
      <c r="N2402" s="192">
        <v>0</v>
      </c>
    </row>
    <row r="2403" spans="14:14" ht="14.25" customHeight="1">
      <c r="N2403" s="192">
        <v>0</v>
      </c>
    </row>
    <row r="2404" spans="14:14" ht="14.25" customHeight="1">
      <c r="N2404" s="192">
        <v>0</v>
      </c>
    </row>
    <row r="2405" spans="14:14" ht="14.25" customHeight="1">
      <c r="N2405" s="192">
        <v>0</v>
      </c>
    </row>
    <row r="2406" spans="14:14" ht="14.25" customHeight="1">
      <c r="N2406" s="192">
        <v>0</v>
      </c>
    </row>
    <row r="2407" spans="14:14" ht="14.25" customHeight="1">
      <c r="N2407" s="192">
        <v>0</v>
      </c>
    </row>
    <row r="2408" spans="14:14" ht="14.25" customHeight="1">
      <c r="N2408" s="192">
        <v>0</v>
      </c>
    </row>
    <row r="2409" spans="14:14" ht="14.25" customHeight="1">
      <c r="N2409" s="192">
        <v>0</v>
      </c>
    </row>
    <row r="2410" spans="14:14" ht="14.25" customHeight="1">
      <c r="N2410" s="192">
        <v>0</v>
      </c>
    </row>
    <row r="2411" spans="14:14" ht="14.25" customHeight="1">
      <c r="N2411" s="192">
        <v>0</v>
      </c>
    </row>
    <row r="2412" spans="14:14" ht="14.25" customHeight="1">
      <c r="N2412" s="192">
        <v>0</v>
      </c>
    </row>
    <row r="2413" spans="14:14" ht="14.25" customHeight="1">
      <c r="N2413" s="192">
        <v>0</v>
      </c>
    </row>
    <row r="2414" spans="14:14" ht="14.25" customHeight="1">
      <c r="N2414" s="192">
        <v>0</v>
      </c>
    </row>
    <row r="2415" spans="14:14" ht="14.25" customHeight="1">
      <c r="N2415" s="192">
        <v>0</v>
      </c>
    </row>
    <row r="2416" spans="14:14" ht="14.25" customHeight="1">
      <c r="N2416" s="192">
        <v>0</v>
      </c>
    </row>
    <row r="2417" spans="14:14" ht="14.25" customHeight="1">
      <c r="N2417" s="192">
        <v>0</v>
      </c>
    </row>
    <row r="2418" spans="14:14" ht="14.25" customHeight="1">
      <c r="N2418" s="192">
        <v>0</v>
      </c>
    </row>
    <row r="2419" spans="14:14" ht="14.25" customHeight="1">
      <c r="N2419" s="192">
        <v>0</v>
      </c>
    </row>
    <row r="2420" spans="14:14" ht="14.25" customHeight="1">
      <c r="N2420" s="192">
        <v>0</v>
      </c>
    </row>
    <row r="2421" spans="14:14" ht="14.25" customHeight="1">
      <c r="N2421" s="192">
        <v>0</v>
      </c>
    </row>
    <row r="2422" spans="14:14" ht="14.25" customHeight="1">
      <c r="N2422" s="192">
        <v>0</v>
      </c>
    </row>
    <row r="2423" spans="14:14" ht="14.25" customHeight="1">
      <c r="N2423" s="192">
        <v>0</v>
      </c>
    </row>
    <row r="2424" spans="14:14" ht="14.25" customHeight="1">
      <c r="N2424" s="192">
        <v>0</v>
      </c>
    </row>
    <row r="2425" spans="14:14" ht="14.25" customHeight="1">
      <c r="N2425" s="192">
        <v>0</v>
      </c>
    </row>
    <row r="2426" spans="14:14" ht="14.25" customHeight="1">
      <c r="N2426" s="192">
        <v>0</v>
      </c>
    </row>
    <row r="2427" spans="14:14" ht="14.25" customHeight="1">
      <c r="N2427" s="192">
        <v>0</v>
      </c>
    </row>
    <row r="2428" spans="14:14" ht="14.25" customHeight="1">
      <c r="N2428" s="192">
        <v>0</v>
      </c>
    </row>
    <row r="2429" spans="14:14" ht="14.25" customHeight="1">
      <c r="N2429" s="192">
        <v>0</v>
      </c>
    </row>
    <row r="2430" spans="14:14" ht="14.25" customHeight="1">
      <c r="N2430" s="192">
        <v>0</v>
      </c>
    </row>
    <row r="2431" spans="14:14" ht="14.25" customHeight="1">
      <c r="N2431" s="192">
        <v>0</v>
      </c>
    </row>
    <row r="2432" spans="14:14" ht="14.25" customHeight="1">
      <c r="N2432" s="192">
        <v>0</v>
      </c>
    </row>
    <row r="2433" spans="14:14" ht="14.25" customHeight="1">
      <c r="N2433" s="192">
        <v>0</v>
      </c>
    </row>
    <row r="2434" spans="14:14" ht="14.25" customHeight="1">
      <c r="N2434" s="192">
        <v>0</v>
      </c>
    </row>
    <row r="2435" spans="14:14" ht="14.25" customHeight="1">
      <c r="N2435" s="192">
        <v>0</v>
      </c>
    </row>
    <row r="2436" spans="14:14" ht="14.25" customHeight="1">
      <c r="N2436" s="192">
        <v>0</v>
      </c>
    </row>
    <row r="2437" spans="14:14" ht="14.25" customHeight="1">
      <c r="N2437" s="192">
        <v>0</v>
      </c>
    </row>
    <row r="2438" spans="14:14" ht="14.25" customHeight="1">
      <c r="N2438" s="192">
        <v>0</v>
      </c>
    </row>
    <row r="2439" spans="14:14" ht="14.25" customHeight="1">
      <c r="N2439" s="192">
        <v>0</v>
      </c>
    </row>
    <row r="2440" spans="14:14" ht="14.25" customHeight="1">
      <c r="N2440" s="192">
        <v>0</v>
      </c>
    </row>
    <row r="2441" spans="14:14" ht="14.25" customHeight="1">
      <c r="N2441" s="192">
        <v>0</v>
      </c>
    </row>
    <row r="2442" spans="14:14" ht="14.25" customHeight="1">
      <c r="N2442" s="192">
        <v>0</v>
      </c>
    </row>
    <row r="2443" spans="14:14" ht="14.25" customHeight="1">
      <c r="N2443" s="192">
        <v>0</v>
      </c>
    </row>
    <row r="2444" spans="14:14" ht="14.25" customHeight="1">
      <c r="N2444" s="192">
        <v>0</v>
      </c>
    </row>
    <row r="2445" spans="14:14" ht="14.25" customHeight="1">
      <c r="N2445" s="192">
        <v>0</v>
      </c>
    </row>
    <row r="2446" spans="14:14" ht="14.25" customHeight="1">
      <c r="N2446" s="192">
        <v>0</v>
      </c>
    </row>
    <row r="2447" spans="14:14" ht="14.25" customHeight="1">
      <c r="N2447" s="192">
        <v>0</v>
      </c>
    </row>
    <row r="2448" spans="14:14" ht="14.25" customHeight="1">
      <c r="N2448" s="192">
        <v>0</v>
      </c>
    </row>
    <row r="2449" spans="14:14" ht="14.25" customHeight="1">
      <c r="N2449" s="192">
        <v>0</v>
      </c>
    </row>
    <row r="2450" spans="14:14" ht="14.25" customHeight="1">
      <c r="N2450" s="192">
        <v>0</v>
      </c>
    </row>
    <row r="2451" spans="14:14" ht="14.25" customHeight="1">
      <c r="N2451" s="192">
        <v>0</v>
      </c>
    </row>
    <row r="2452" spans="14:14" ht="14.25" customHeight="1">
      <c r="N2452" s="192">
        <v>0</v>
      </c>
    </row>
    <row r="2453" spans="14:14" ht="14.25" customHeight="1">
      <c r="N2453" s="192">
        <v>0</v>
      </c>
    </row>
    <row r="2454" spans="14:14" ht="14.25" customHeight="1">
      <c r="N2454" s="192">
        <v>0</v>
      </c>
    </row>
    <row r="2455" spans="14:14" ht="14.25" customHeight="1">
      <c r="N2455" s="192">
        <v>0</v>
      </c>
    </row>
    <row r="2456" spans="14:14" ht="14.25" customHeight="1">
      <c r="N2456" s="192">
        <v>0</v>
      </c>
    </row>
    <row r="2457" spans="14:14" ht="14.25" customHeight="1">
      <c r="N2457" s="192">
        <v>0</v>
      </c>
    </row>
    <row r="2458" spans="14:14" ht="14.25" customHeight="1">
      <c r="N2458" s="192">
        <v>0</v>
      </c>
    </row>
    <row r="2459" spans="14:14" ht="14.25" customHeight="1">
      <c r="N2459" s="192">
        <v>0</v>
      </c>
    </row>
    <row r="2460" spans="14:14" ht="14.25" customHeight="1">
      <c r="N2460" s="192">
        <v>0</v>
      </c>
    </row>
    <row r="2461" spans="14:14" ht="14.25" customHeight="1">
      <c r="N2461" s="192">
        <v>0</v>
      </c>
    </row>
    <row r="2462" spans="14:14" ht="14.25" customHeight="1">
      <c r="N2462" s="192">
        <v>0</v>
      </c>
    </row>
    <row r="2463" spans="14:14" ht="14.25" customHeight="1">
      <c r="N2463" s="192">
        <v>0</v>
      </c>
    </row>
    <row r="2464" spans="14:14" ht="14.25" customHeight="1">
      <c r="N2464" s="192">
        <v>0</v>
      </c>
    </row>
    <row r="2465" spans="14:14" ht="14.25" customHeight="1">
      <c r="N2465" s="192">
        <v>0</v>
      </c>
    </row>
    <row r="2466" spans="14:14" ht="14.25" customHeight="1">
      <c r="N2466" s="192">
        <v>0</v>
      </c>
    </row>
    <row r="2467" spans="14:14" ht="14.25" customHeight="1">
      <c r="N2467" s="192">
        <v>0</v>
      </c>
    </row>
    <row r="2468" spans="14:14" ht="14.25" customHeight="1">
      <c r="N2468" s="192">
        <v>0</v>
      </c>
    </row>
    <row r="2469" spans="14:14" ht="14.25" customHeight="1">
      <c r="N2469" s="192">
        <v>0</v>
      </c>
    </row>
    <row r="2470" spans="14:14" ht="14.25" customHeight="1">
      <c r="N2470" s="192">
        <v>0</v>
      </c>
    </row>
    <row r="2471" spans="14:14" ht="14.25" customHeight="1">
      <c r="N2471" s="192">
        <v>0</v>
      </c>
    </row>
    <row r="2472" spans="14:14" ht="14.25" customHeight="1">
      <c r="N2472" s="192">
        <v>0</v>
      </c>
    </row>
    <row r="2473" spans="14:14" ht="14.25" customHeight="1">
      <c r="N2473" s="192">
        <v>0</v>
      </c>
    </row>
    <row r="2474" spans="14:14" ht="14.25" customHeight="1">
      <c r="N2474" s="192">
        <v>0</v>
      </c>
    </row>
    <row r="2475" spans="14:14" ht="14.25" customHeight="1">
      <c r="N2475" s="192">
        <v>0</v>
      </c>
    </row>
    <row r="2476" spans="14:14" ht="14.25" customHeight="1">
      <c r="N2476" s="192">
        <v>0</v>
      </c>
    </row>
    <row r="2477" spans="14:14" ht="14.25" customHeight="1">
      <c r="N2477" s="192">
        <v>0</v>
      </c>
    </row>
    <row r="2478" spans="14:14" ht="14.25" customHeight="1">
      <c r="N2478" s="192">
        <v>0</v>
      </c>
    </row>
    <row r="2479" spans="14:14" ht="14.25" customHeight="1">
      <c r="N2479" s="192">
        <v>0</v>
      </c>
    </row>
    <row r="2480" spans="14:14" ht="14.25" customHeight="1">
      <c r="N2480" s="192">
        <v>0</v>
      </c>
    </row>
    <row r="2481" spans="14:14" ht="14.25" customHeight="1">
      <c r="N2481" s="192">
        <v>0</v>
      </c>
    </row>
    <row r="2482" spans="14:14" ht="14.25" customHeight="1">
      <c r="N2482" s="192">
        <v>0</v>
      </c>
    </row>
    <row r="2483" spans="14:14" ht="14.25" customHeight="1">
      <c r="N2483" s="192">
        <v>0</v>
      </c>
    </row>
    <row r="2484" spans="14:14" ht="14.25" customHeight="1">
      <c r="N2484" s="192">
        <v>0</v>
      </c>
    </row>
    <row r="2485" spans="14:14" ht="14.25" customHeight="1">
      <c r="N2485" s="192">
        <v>0</v>
      </c>
    </row>
    <row r="2486" spans="14:14" ht="14.25" customHeight="1">
      <c r="N2486" s="192">
        <v>0</v>
      </c>
    </row>
    <row r="2487" spans="14:14" ht="14.25" customHeight="1">
      <c r="N2487" s="192">
        <v>0</v>
      </c>
    </row>
    <row r="2488" spans="14:14" ht="14.25" customHeight="1">
      <c r="N2488" s="192">
        <v>0</v>
      </c>
    </row>
    <row r="2489" spans="14:14" ht="14.25" customHeight="1">
      <c r="N2489" s="192">
        <v>0</v>
      </c>
    </row>
    <row r="2490" spans="14:14" ht="14.25" customHeight="1">
      <c r="N2490" s="192">
        <v>0</v>
      </c>
    </row>
    <row r="2491" spans="14:14" ht="14.25" customHeight="1">
      <c r="N2491" s="192">
        <v>0</v>
      </c>
    </row>
    <row r="2492" spans="14:14" ht="14.25" customHeight="1">
      <c r="N2492" s="192">
        <v>0</v>
      </c>
    </row>
    <row r="2493" spans="14:14" ht="14.25" customHeight="1">
      <c r="N2493" s="192">
        <v>0</v>
      </c>
    </row>
    <row r="2494" spans="14:14" ht="14.25" customHeight="1">
      <c r="N2494" s="192">
        <v>0</v>
      </c>
    </row>
    <row r="2495" spans="14:14" ht="14.25" customHeight="1">
      <c r="N2495" s="192">
        <v>0</v>
      </c>
    </row>
    <row r="2496" spans="14:14" ht="14.25" customHeight="1">
      <c r="N2496" s="192">
        <v>0</v>
      </c>
    </row>
    <row r="2497" spans="14:14" ht="14.25" customHeight="1">
      <c r="N2497" s="192">
        <v>0</v>
      </c>
    </row>
    <row r="2498" spans="14:14" ht="14.25" customHeight="1">
      <c r="N2498" s="192">
        <v>0</v>
      </c>
    </row>
    <row r="2499" spans="14:14" ht="14.25" customHeight="1">
      <c r="N2499" s="192">
        <v>0</v>
      </c>
    </row>
    <row r="2500" spans="14:14" ht="14.25" customHeight="1">
      <c r="N2500" s="192">
        <v>0</v>
      </c>
    </row>
    <row r="2501" spans="14:14" ht="14.25" customHeight="1">
      <c r="N2501" s="192">
        <v>0</v>
      </c>
    </row>
    <row r="2502" spans="14:14" ht="14.25" customHeight="1">
      <c r="N2502" s="192">
        <v>0</v>
      </c>
    </row>
    <row r="2503" spans="14:14" ht="14.25" customHeight="1">
      <c r="N2503" s="192">
        <v>0</v>
      </c>
    </row>
    <row r="2504" spans="14:14" ht="14.25" customHeight="1">
      <c r="N2504" s="192">
        <v>0</v>
      </c>
    </row>
    <row r="2505" spans="14:14" ht="14.25" customHeight="1">
      <c r="N2505" s="192">
        <v>0</v>
      </c>
    </row>
    <row r="2506" spans="14:14" ht="14.25" customHeight="1">
      <c r="N2506" s="192">
        <v>0</v>
      </c>
    </row>
    <row r="2507" spans="14:14" ht="14.25" customHeight="1">
      <c r="N2507" s="192">
        <v>0</v>
      </c>
    </row>
    <row r="2508" spans="14:14" ht="14.25" customHeight="1">
      <c r="N2508" s="192">
        <v>0</v>
      </c>
    </row>
    <row r="2509" spans="14:14" ht="14.25" customHeight="1">
      <c r="N2509" s="192">
        <v>0</v>
      </c>
    </row>
    <row r="2510" spans="14:14" ht="14.25" customHeight="1">
      <c r="N2510" s="192">
        <v>0</v>
      </c>
    </row>
    <row r="2511" spans="14:14" ht="14.25" customHeight="1">
      <c r="N2511" s="192">
        <v>0</v>
      </c>
    </row>
    <row r="2512" spans="14:14" ht="14.25" customHeight="1">
      <c r="N2512" s="192">
        <v>0</v>
      </c>
    </row>
    <row r="2513" spans="14:14" ht="14.25" customHeight="1">
      <c r="N2513" s="192">
        <v>0</v>
      </c>
    </row>
    <row r="2514" spans="14:14" ht="14.25" customHeight="1">
      <c r="N2514" s="192">
        <v>0</v>
      </c>
    </row>
    <row r="2515" spans="14:14" ht="14.25" customHeight="1">
      <c r="N2515" s="192">
        <v>0</v>
      </c>
    </row>
    <row r="2516" spans="14:14" ht="14.25" customHeight="1">
      <c r="N2516" s="192">
        <v>0</v>
      </c>
    </row>
    <row r="2517" spans="14:14" ht="14.25" customHeight="1">
      <c r="N2517" s="192">
        <v>0</v>
      </c>
    </row>
    <row r="2518" spans="14:14" ht="14.25" customHeight="1">
      <c r="N2518" s="192">
        <v>0</v>
      </c>
    </row>
    <row r="2519" spans="14:14" ht="14.25" customHeight="1">
      <c r="N2519" s="192">
        <v>0</v>
      </c>
    </row>
    <row r="2520" spans="14:14" ht="14.25" customHeight="1">
      <c r="N2520" s="192">
        <v>0</v>
      </c>
    </row>
    <row r="2521" spans="14:14" ht="14.25" customHeight="1">
      <c r="N2521" s="192">
        <v>0</v>
      </c>
    </row>
    <row r="2522" spans="14:14" ht="14.25" customHeight="1">
      <c r="N2522" s="192">
        <v>0</v>
      </c>
    </row>
    <row r="2523" spans="14:14" ht="14.25" customHeight="1">
      <c r="N2523" s="192">
        <v>0</v>
      </c>
    </row>
    <row r="2524" spans="14:14" ht="14.25" customHeight="1">
      <c r="N2524" s="192">
        <v>0</v>
      </c>
    </row>
    <row r="2525" spans="14:14" ht="14.25" customHeight="1">
      <c r="N2525" s="192">
        <v>0</v>
      </c>
    </row>
    <row r="2526" spans="14:14" ht="14.25" customHeight="1">
      <c r="N2526" s="192">
        <v>0</v>
      </c>
    </row>
    <row r="2527" spans="14:14" ht="14.25" customHeight="1">
      <c r="N2527" s="192">
        <v>0</v>
      </c>
    </row>
    <row r="2528" spans="14:14" ht="14.25" customHeight="1">
      <c r="N2528" s="192">
        <v>0</v>
      </c>
    </row>
    <row r="2529" spans="14:14" ht="14.25" customHeight="1">
      <c r="N2529" s="192">
        <v>0</v>
      </c>
    </row>
    <row r="2530" spans="14:14" ht="14.25" customHeight="1">
      <c r="N2530" s="192">
        <v>0</v>
      </c>
    </row>
    <row r="2531" spans="14:14" ht="14.25" customHeight="1">
      <c r="N2531" s="192">
        <v>0</v>
      </c>
    </row>
    <row r="2532" spans="14:14" ht="14.25" customHeight="1">
      <c r="N2532" s="192">
        <v>0</v>
      </c>
    </row>
    <row r="2533" spans="14:14" ht="14.25" customHeight="1">
      <c r="N2533" s="192">
        <v>0</v>
      </c>
    </row>
    <row r="2534" spans="14:14" ht="14.25" customHeight="1">
      <c r="N2534" s="192">
        <v>0</v>
      </c>
    </row>
    <row r="2535" spans="14:14" ht="14.25" customHeight="1">
      <c r="N2535" s="192">
        <v>0</v>
      </c>
    </row>
    <row r="2536" spans="14:14" ht="14.25" customHeight="1">
      <c r="N2536" s="192">
        <v>0</v>
      </c>
    </row>
    <row r="2537" spans="14:14" ht="14.25" customHeight="1">
      <c r="N2537" s="192">
        <v>0</v>
      </c>
    </row>
    <row r="2538" spans="14:14" ht="14.25" customHeight="1">
      <c r="N2538" s="192">
        <v>0</v>
      </c>
    </row>
    <row r="2539" spans="14:14" ht="14.25" customHeight="1">
      <c r="N2539" s="192">
        <v>0</v>
      </c>
    </row>
    <row r="2540" spans="14:14" ht="14.25" customHeight="1">
      <c r="N2540" s="192">
        <v>0</v>
      </c>
    </row>
    <row r="2541" spans="14:14" ht="14.25" customHeight="1">
      <c r="N2541" s="192">
        <v>0</v>
      </c>
    </row>
    <row r="2542" spans="14:14" ht="14.25" customHeight="1">
      <c r="N2542" s="192">
        <v>0</v>
      </c>
    </row>
    <row r="2543" spans="14:14" ht="14.25" customHeight="1">
      <c r="N2543" s="192">
        <v>0</v>
      </c>
    </row>
    <row r="2544" spans="14:14" ht="14.25" customHeight="1">
      <c r="N2544" s="192">
        <v>0</v>
      </c>
    </row>
    <row r="2545" spans="14:14" ht="14.25" customHeight="1">
      <c r="N2545" s="192">
        <v>0</v>
      </c>
    </row>
    <row r="2546" spans="14:14" ht="14.25" customHeight="1">
      <c r="N2546" s="192">
        <v>0</v>
      </c>
    </row>
    <row r="2547" spans="14:14" ht="14.25" customHeight="1">
      <c r="N2547" s="192">
        <v>0</v>
      </c>
    </row>
    <row r="2548" spans="14:14" ht="14.25" customHeight="1">
      <c r="N2548" s="192">
        <v>0</v>
      </c>
    </row>
    <row r="2549" spans="14:14" ht="14.25" customHeight="1">
      <c r="N2549" s="192">
        <v>0</v>
      </c>
    </row>
    <row r="2550" spans="14:14" ht="14.25" customHeight="1">
      <c r="N2550" s="192">
        <v>0</v>
      </c>
    </row>
    <row r="2551" spans="14:14" ht="14.25" customHeight="1">
      <c r="N2551" s="192">
        <v>0</v>
      </c>
    </row>
    <row r="2552" spans="14:14" ht="14.25" customHeight="1">
      <c r="N2552" s="192">
        <v>0</v>
      </c>
    </row>
    <row r="2553" spans="14:14" ht="14.25" customHeight="1">
      <c r="N2553" s="192">
        <v>0</v>
      </c>
    </row>
    <row r="2554" spans="14:14" ht="14.25" customHeight="1">
      <c r="N2554" s="192">
        <v>0</v>
      </c>
    </row>
    <row r="2555" spans="14:14" ht="14.25" customHeight="1">
      <c r="N2555" s="192">
        <v>0</v>
      </c>
    </row>
    <row r="2556" spans="14:14" ht="14.25" customHeight="1">
      <c r="N2556" s="192">
        <v>0</v>
      </c>
    </row>
    <row r="2557" spans="14:14" ht="14.25" customHeight="1">
      <c r="N2557" s="192">
        <v>0</v>
      </c>
    </row>
    <row r="2558" spans="14:14" ht="14.25" customHeight="1">
      <c r="N2558" s="192">
        <v>0</v>
      </c>
    </row>
    <row r="2559" spans="14:14" ht="14.25" customHeight="1">
      <c r="N2559" s="192">
        <v>0</v>
      </c>
    </row>
    <row r="2560" spans="14:14" ht="14.25" customHeight="1">
      <c r="N2560" s="192">
        <v>0</v>
      </c>
    </row>
    <row r="2561" spans="14:14" ht="14.25" customHeight="1">
      <c r="N2561" s="192">
        <v>0</v>
      </c>
    </row>
    <row r="2562" spans="14:14" ht="14.25" customHeight="1">
      <c r="N2562" s="192">
        <v>0</v>
      </c>
    </row>
    <row r="2563" spans="14:14" ht="14.25" customHeight="1">
      <c r="N2563" s="192">
        <v>0</v>
      </c>
    </row>
    <row r="2564" spans="14:14" ht="14.25" customHeight="1">
      <c r="N2564" s="192">
        <v>0</v>
      </c>
    </row>
    <row r="2565" spans="14:14" ht="14.25" customHeight="1">
      <c r="N2565" s="192">
        <v>0</v>
      </c>
    </row>
    <row r="2566" spans="14:14" ht="14.25" customHeight="1">
      <c r="N2566" s="192">
        <v>0</v>
      </c>
    </row>
    <row r="2567" spans="14:14" ht="14.25" customHeight="1">
      <c r="N2567" s="192">
        <v>0</v>
      </c>
    </row>
    <row r="2568" spans="14:14" ht="14.25" customHeight="1">
      <c r="N2568" s="192">
        <v>0</v>
      </c>
    </row>
    <row r="2569" spans="14:14" ht="14.25" customHeight="1">
      <c r="N2569" s="192">
        <v>0</v>
      </c>
    </row>
    <row r="2570" spans="14:14" ht="14.25" customHeight="1">
      <c r="N2570" s="192">
        <v>0</v>
      </c>
    </row>
    <row r="2571" spans="14:14" ht="14.25" customHeight="1">
      <c r="N2571" s="192">
        <v>0</v>
      </c>
    </row>
    <row r="2572" spans="14:14" ht="14.25" customHeight="1">
      <c r="N2572" s="192">
        <v>0</v>
      </c>
    </row>
    <row r="2573" spans="14:14" ht="14.25" customHeight="1">
      <c r="N2573" s="192">
        <v>0</v>
      </c>
    </row>
    <row r="2574" spans="14:14" ht="14.25" customHeight="1">
      <c r="N2574" s="192">
        <v>0</v>
      </c>
    </row>
    <row r="2575" spans="14:14" ht="14.25" customHeight="1">
      <c r="N2575" s="192">
        <v>0</v>
      </c>
    </row>
    <row r="2576" spans="14:14" ht="14.25" customHeight="1">
      <c r="N2576" s="192">
        <v>0</v>
      </c>
    </row>
    <row r="2577" spans="14:14" ht="14.25" customHeight="1">
      <c r="N2577" s="192">
        <v>0</v>
      </c>
    </row>
    <row r="2578" spans="14:14" ht="14.25" customHeight="1">
      <c r="N2578" s="192">
        <v>0</v>
      </c>
    </row>
    <row r="2579" spans="14:14" ht="14.25" customHeight="1">
      <c r="N2579" s="192">
        <v>0</v>
      </c>
    </row>
    <row r="2580" spans="14:14" ht="14.25" customHeight="1">
      <c r="N2580" s="192">
        <v>0</v>
      </c>
    </row>
    <row r="2581" spans="14:14" ht="14.25" customHeight="1">
      <c r="N2581" s="192">
        <v>0</v>
      </c>
    </row>
    <row r="2582" spans="14:14" ht="14.25" customHeight="1">
      <c r="N2582" s="192">
        <v>0</v>
      </c>
    </row>
    <row r="2583" spans="14:14" ht="14.25" customHeight="1">
      <c r="N2583" s="192">
        <v>0</v>
      </c>
    </row>
    <row r="2584" spans="14:14" ht="14.25" customHeight="1">
      <c r="N2584" s="192">
        <v>0</v>
      </c>
    </row>
    <row r="2585" spans="14:14" ht="14.25" customHeight="1">
      <c r="N2585" s="192">
        <v>0</v>
      </c>
    </row>
    <row r="2586" spans="14:14" ht="14.25" customHeight="1">
      <c r="N2586" s="192">
        <v>0</v>
      </c>
    </row>
    <row r="2587" spans="14:14" ht="14.25" customHeight="1">
      <c r="N2587" s="192">
        <v>0</v>
      </c>
    </row>
    <row r="2588" spans="14:14" ht="14.25" customHeight="1">
      <c r="N2588" s="192">
        <v>0</v>
      </c>
    </row>
    <row r="2589" spans="14:14" ht="14.25" customHeight="1">
      <c r="N2589" s="192">
        <v>0</v>
      </c>
    </row>
    <row r="2590" spans="14:14" ht="14.25" customHeight="1">
      <c r="N2590" s="192">
        <v>0</v>
      </c>
    </row>
    <row r="2591" spans="14:14" ht="14.25" customHeight="1">
      <c r="N2591" s="192">
        <v>0</v>
      </c>
    </row>
    <row r="2592" spans="14:14" ht="14.25" customHeight="1">
      <c r="N2592" s="192">
        <v>0</v>
      </c>
    </row>
    <row r="2593" spans="14:14" ht="14.25" customHeight="1">
      <c r="N2593" s="192">
        <v>0</v>
      </c>
    </row>
    <row r="2594" spans="14:14" ht="14.25" customHeight="1">
      <c r="N2594" s="192">
        <v>0</v>
      </c>
    </row>
    <row r="2595" spans="14:14" ht="14.25" customHeight="1">
      <c r="N2595" s="192">
        <v>0</v>
      </c>
    </row>
    <row r="2596" spans="14:14" ht="14.25" customHeight="1">
      <c r="N2596" s="192">
        <v>0</v>
      </c>
    </row>
    <row r="2597" spans="14:14" ht="14.25" customHeight="1">
      <c r="N2597" s="192">
        <v>0</v>
      </c>
    </row>
    <row r="2598" spans="14:14" ht="14.25" customHeight="1">
      <c r="N2598" s="192">
        <v>0</v>
      </c>
    </row>
    <row r="2599" spans="14:14" ht="14.25" customHeight="1">
      <c r="N2599" s="192">
        <v>0</v>
      </c>
    </row>
    <row r="2600" spans="14:14" ht="14.25" customHeight="1">
      <c r="N2600" s="192">
        <v>0</v>
      </c>
    </row>
    <row r="2601" spans="14:14" ht="14.25" customHeight="1">
      <c r="N2601" s="192">
        <v>0</v>
      </c>
    </row>
    <row r="2602" spans="14:14" ht="14.25" customHeight="1">
      <c r="N2602" s="192">
        <v>0</v>
      </c>
    </row>
    <row r="2603" spans="14:14" ht="14.25" customHeight="1">
      <c r="N2603" s="192">
        <v>0</v>
      </c>
    </row>
    <row r="2604" spans="14:14" ht="14.25" customHeight="1">
      <c r="N2604" s="192">
        <v>0</v>
      </c>
    </row>
    <row r="2605" spans="14:14" ht="14.25" customHeight="1">
      <c r="N2605" s="192">
        <v>0</v>
      </c>
    </row>
    <row r="2606" spans="14:14" ht="14.25" customHeight="1">
      <c r="N2606" s="192">
        <v>0</v>
      </c>
    </row>
    <row r="2607" spans="14:14" ht="14.25" customHeight="1">
      <c r="N2607" s="192">
        <v>0</v>
      </c>
    </row>
    <row r="2608" spans="14:14" ht="14.25" customHeight="1">
      <c r="N2608" s="192">
        <v>0</v>
      </c>
    </row>
    <row r="2609" spans="14:14" ht="14.25" customHeight="1">
      <c r="N2609" s="192">
        <v>0</v>
      </c>
    </row>
    <row r="2610" spans="14:14" ht="14.25" customHeight="1">
      <c r="N2610" s="192">
        <v>0</v>
      </c>
    </row>
    <row r="2611" spans="14:14" ht="14.25" customHeight="1">
      <c r="N2611" s="192">
        <v>0</v>
      </c>
    </row>
    <row r="2612" spans="14:14" ht="14.25" customHeight="1">
      <c r="N2612" s="192">
        <v>0</v>
      </c>
    </row>
    <row r="2613" spans="14:14" ht="14.25" customHeight="1">
      <c r="N2613" s="192">
        <v>0</v>
      </c>
    </row>
    <row r="2614" spans="14:14" ht="14.25" customHeight="1">
      <c r="N2614" s="192">
        <v>0</v>
      </c>
    </row>
    <row r="2615" spans="14:14" ht="14.25" customHeight="1">
      <c r="N2615" s="192">
        <v>0</v>
      </c>
    </row>
    <row r="2616" spans="14:14" ht="14.25" customHeight="1">
      <c r="N2616" s="192">
        <v>0</v>
      </c>
    </row>
    <row r="2617" spans="14:14" ht="14.25" customHeight="1">
      <c r="N2617" s="192">
        <v>0</v>
      </c>
    </row>
    <row r="2618" spans="14:14" ht="14.25" customHeight="1">
      <c r="N2618" s="192">
        <v>0</v>
      </c>
    </row>
    <row r="2619" spans="14:14" ht="14.25" customHeight="1">
      <c r="N2619" s="192">
        <v>0</v>
      </c>
    </row>
    <row r="2620" spans="14:14" ht="14.25" customHeight="1">
      <c r="N2620" s="192">
        <v>0</v>
      </c>
    </row>
    <row r="2621" spans="14:14" ht="14.25" customHeight="1">
      <c r="N2621" s="192">
        <v>0</v>
      </c>
    </row>
    <row r="2622" spans="14:14" ht="14.25" customHeight="1">
      <c r="N2622" s="192">
        <v>0</v>
      </c>
    </row>
    <row r="2623" spans="14:14" ht="14.25" customHeight="1">
      <c r="N2623" s="192">
        <v>0</v>
      </c>
    </row>
    <row r="2624" spans="14:14" ht="14.25" customHeight="1">
      <c r="N2624" s="192">
        <v>0</v>
      </c>
    </row>
    <row r="2625" spans="14:14" ht="14.25" customHeight="1">
      <c r="N2625" s="192">
        <v>0</v>
      </c>
    </row>
    <row r="2626" spans="14:14" ht="14.25" customHeight="1">
      <c r="N2626" s="192">
        <v>0</v>
      </c>
    </row>
    <row r="2627" spans="14:14" ht="14.25" customHeight="1">
      <c r="N2627" s="192">
        <v>0</v>
      </c>
    </row>
    <row r="2628" spans="14:14" ht="14.25" customHeight="1">
      <c r="N2628" s="192">
        <v>0</v>
      </c>
    </row>
    <row r="2629" spans="14:14" ht="14.25" customHeight="1">
      <c r="N2629" s="192">
        <v>0</v>
      </c>
    </row>
    <row r="2630" spans="14:14" ht="14.25" customHeight="1">
      <c r="N2630" s="192">
        <v>0</v>
      </c>
    </row>
    <row r="2631" spans="14:14" ht="14.25" customHeight="1">
      <c r="N2631" s="192">
        <v>0</v>
      </c>
    </row>
    <row r="2632" spans="14:14" ht="14.25" customHeight="1">
      <c r="N2632" s="192">
        <v>0</v>
      </c>
    </row>
    <row r="2633" spans="14:14" ht="14.25" customHeight="1">
      <c r="N2633" s="192">
        <v>0</v>
      </c>
    </row>
    <row r="2634" spans="14:14" ht="14.25" customHeight="1">
      <c r="N2634" s="192">
        <v>0</v>
      </c>
    </row>
    <row r="2635" spans="14:14" ht="14.25" customHeight="1">
      <c r="N2635" s="192">
        <v>0</v>
      </c>
    </row>
    <row r="2636" spans="14:14" ht="14.25" customHeight="1">
      <c r="N2636" s="192">
        <v>0</v>
      </c>
    </row>
    <row r="2637" spans="14:14" ht="14.25" customHeight="1">
      <c r="N2637" s="192">
        <v>0</v>
      </c>
    </row>
    <row r="2638" spans="14:14" ht="14.25" customHeight="1">
      <c r="N2638" s="192">
        <v>0</v>
      </c>
    </row>
    <row r="2639" spans="14:14" ht="14.25" customHeight="1">
      <c r="N2639" s="192">
        <v>0</v>
      </c>
    </row>
    <row r="2640" spans="14:14" ht="14.25" customHeight="1">
      <c r="N2640" s="192">
        <v>0</v>
      </c>
    </row>
    <row r="2641" spans="14:14" ht="14.25" customHeight="1">
      <c r="N2641" s="192">
        <v>0</v>
      </c>
    </row>
    <row r="2642" spans="14:14" ht="14.25" customHeight="1">
      <c r="N2642" s="192">
        <v>0</v>
      </c>
    </row>
    <row r="2643" spans="14:14" ht="14.25" customHeight="1">
      <c r="N2643" s="192">
        <v>0</v>
      </c>
    </row>
    <row r="2644" spans="14:14" ht="14.25" customHeight="1">
      <c r="N2644" s="192">
        <v>0</v>
      </c>
    </row>
    <row r="2645" spans="14:14" ht="14.25" customHeight="1">
      <c r="N2645" s="192">
        <v>0</v>
      </c>
    </row>
    <row r="2646" spans="14:14" ht="14.25" customHeight="1">
      <c r="N2646" s="192">
        <v>0</v>
      </c>
    </row>
    <row r="2647" spans="14:14" ht="14.25" customHeight="1">
      <c r="N2647" s="192">
        <v>0</v>
      </c>
    </row>
    <row r="2648" spans="14:14" ht="14.25" customHeight="1">
      <c r="N2648" s="192">
        <v>0</v>
      </c>
    </row>
    <row r="2649" spans="14:14" ht="14.25" customHeight="1">
      <c r="N2649" s="192">
        <v>0</v>
      </c>
    </row>
    <row r="2650" spans="14:14" ht="14.25" customHeight="1">
      <c r="N2650" s="192">
        <v>0</v>
      </c>
    </row>
    <row r="2651" spans="14:14" ht="14.25" customHeight="1">
      <c r="N2651" s="192">
        <v>0</v>
      </c>
    </row>
    <row r="2652" spans="14:14" ht="14.25" customHeight="1">
      <c r="N2652" s="192">
        <v>0</v>
      </c>
    </row>
    <row r="2653" spans="14:14" ht="14.25" customHeight="1">
      <c r="N2653" s="192">
        <v>0</v>
      </c>
    </row>
    <row r="2654" spans="14:14" ht="14.25" customHeight="1">
      <c r="N2654" s="192">
        <v>0</v>
      </c>
    </row>
    <row r="2655" spans="14:14" ht="14.25" customHeight="1">
      <c r="N2655" s="192">
        <v>0</v>
      </c>
    </row>
    <row r="2656" spans="14:14" ht="14.25" customHeight="1">
      <c r="N2656" s="192">
        <v>0</v>
      </c>
    </row>
    <row r="2657" spans="14:14" ht="14.25" customHeight="1">
      <c r="N2657" s="192">
        <v>0</v>
      </c>
    </row>
    <row r="2658" spans="14:14" ht="14.25" customHeight="1">
      <c r="N2658" s="192">
        <v>0</v>
      </c>
    </row>
    <row r="2659" spans="14:14" ht="14.25" customHeight="1">
      <c r="N2659" s="192">
        <v>0</v>
      </c>
    </row>
    <row r="2660" spans="14:14" ht="14.25" customHeight="1">
      <c r="N2660" s="192">
        <v>0</v>
      </c>
    </row>
    <row r="2661" spans="14:14" ht="14.25" customHeight="1">
      <c r="N2661" s="192">
        <v>0</v>
      </c>
    </row>
    <row r="2662" spans="14:14" ht="14.25" customHeight="1">
      <c r="N2662" s="192">
        <v>0</v>
      </c>
    </row>
    <row r="2663" spans="14:14" ht="14.25" customHeight="1">
      <c r="N2663" s="192">
        <v>0</v>
      </c>
    </row>
    <row r="2664" spans="14:14" ht="14.25" customHeight="1">
      <c r="N2664" s="192">
        <v>0</v>
      </c>
    </row>
    <row r="2665" spans="14:14" ht="14.25" customHeight="1">
      <c r="N2665" s="192">
        <v>0</v>
      </c>
    </row>
    <row r="2666" spans="14:14" ht="14.25" customHeight="1">
      <c r="N2666" s="192">
        <v>0</v>
      </c>
    </row>
    <row r="2667" spans="14:14" ht="14.25" customHeight="1">
      <c r="N2667" s="192">
        <v>0</v>
      </c>
    </row>
    <row r="2668" spans="14:14" ht="14.25" customHeight="1">
      <c r="N2668" s="192">
        <v>0</v>
      </c>
    </row>
    <row r="2669" spans="14:14" ht="14.25" customHeight="1">
      <c r="N2669" s="192">
        <v>0</v>
      </c>
    </row>
    <row r="2670" spans="14:14" ht="14.25" customHeight="1">
      <c r="N2670" s="192">
        <v>0</v>
      </c>
    </row>
    <row r="2671" spans="14:14" ht="14.25" customHeight="1">
      <c r="N2671" s="192">
        <v>0</v>
      </c>
    </row>
    <row r="2672" spans="14:14" ht="14.25" customHeight="1">
      <c r="N2672" s="192">
        <v>0</v>
      </c>
    </row>
    <row r="2673" spans="14:14" ht="14.25" customHeight="1">
      <c r="N2673" s="192">
        <v>0</v>
      </c>
    </row>
    <row r="2674" spans="14:14" ht="14.25" customHeight="1">
      <c r="N2674" s="192">
        <v>0</v>
      </c>
    </row>
    <row r="2675" spans="14:14" ht="14.25" customHeight="1">
      <c r="N2675" s="192">
        <v>0</v>
      </c>
    </row>
    <row r="2676" spans="14:14" ht="14.25" customHeight="1">
      <c r="N2676" s="192">
        <v>0</v>
      </c>
    </row>
    <row r="2677" spans="14:14" ht="14.25" customHeight="1">
      <c r="N2677" s="192">
        <v>0</v>
      </c>
    </row>
    <row r="2678" spans="14:14" ht="14.25" customHeight="1">
      <c r="N2678" s="192">
        <v>0</v>
      </c>
    </row>
    <row r="2679" spans="14:14" ht="14.25" customHeight="1">
      <c r="N2679" s="192">
        <v>0</v>
      </c>
    </row>
    <row r="2680" spans="14:14" ht="14.25" customHeight="1">
      <c r="N2680" s="192">
        <v>0</v>
      </c>
    </row>
    <row r="2681" spans="14:14" ht="14.25" customHeight="1">
      <c r="N2681" s="192">
        <v>0</v>
      </c>
    </row>
    <row r="2682" spans="14:14" ht="14.25" customHeight="1">
      <c r="N2682" s="192">
        <v>0</v>
      </c>
    </row>
    <row r="2683" spans="14:14" ht="14.25" customHeight="1">
      <c r="N2683" s="192">
        <v>0</v>
      </c>
    </row>
    <row r="2684" spans="14:14" ht="14.25" customHeight="1">
      <c r="N2684" s="192">
        <v>0</v>
      </c>
    </row>
    <row r="2685" spans="14:14" ht="14.25" customHeight="1">
      <c r="N2685" s="192">
        <v>0</v>
      </c>
    </row>
    <row r="2686" spans="14:14" ht="14.25" customHeight="1">
      <c r="N2686" s="192">
        <v>0</v>
      </c>
    </row>
    <row r="2687" spans="14:14" ht="14.25" customHeight="1">
      <c r="N2687" s="192">
        <v>0</v>
      </c>
    </row>
    <row r="2688" spans="14:14" ht="14.25" customHeight="1">
      <c r="N2688" s="192">
        <v>0</v>
      </c>
    </row>
    <row r="2689" spans="14:14" ht="14.25" customHeight="1">
      <c r="N2689" s="192">
        <v>0</v>
      </c>
    </row>
    <row r="2690" spans="14:14" ht="14.25" customHeight="1">
      <c r="N2690" s="192">
        <v>0</v>
      </c>
    </row>
    <row r="2691" spans="14:14" ht="14.25" customHeight="1">
      <c r="N2691" s="192">
        <v>0</v>
      </c>
    </row>
    <row r="2692" spans="14:14" ht="14.25" customHeight="1">
      <c r="N2692" s="192">
        <v>0</v>
      </c>
    </row>
    <row r="2693" spans="14:14" ht="14.25" customHeight="1">
      <c r="N2693" s="192">
        <v>0</v>
      </c>
    </row>
    <row r="2694" spans="14:14" ht="14.25" customHeight="1">
      <c r="N2694" s="192">
        <v>0</v>
      </c>
    </row>
    <row r="2695" spans="14:14" ht="14.25" customHeight="1">
      <c r="N2695" s="192">
        <v>0</v>
      </c>
    </row>
    <row r="2696" spans="14:14" ht="14.25" customHeight="1">
      <c r="N2696" s="192">
        <v>0</v>
      </c>
    </row>
    <row r="2697" spans="14:14" ht="14.25" customHeight="1">
      <c r="N2697" s="192">
        <v>0</v>
      </c>
    </row>
    <row r="2698" spans="14:14" ht="14.25" customHeight="1">
      <c r="N2698" s="192">
        <v>0</v>
      </c>
    </row>
    <row r="2699" spans="14:14" ht="14.25" customHeight="1">
      <c r="N2699" s="192">
        <v>0</v>
      </c>
    </row>
    <row r="2700" spans="14:14" ht="14.25" customHeight="1">
      <c r="N2700" s="192">
        <v>0</v>
      </c>
    </row>
    <row r="2701" spans="14:14" ht="14.25" customHeight="1">
      <c r="N2701" s="192">
        <v>0</v>
      </c>
    </row>
    <row r="2702" spans="14:14" ht="14.25" customHeight="1">
      <c r="N2702" s="192">
        <v>0</v>
      </c>
    </row>
    <row r="2703" spans="14:14" ht="14.25" customHeight="1">
      <c r="N2703" s="192">
        <v>0</v>
      </c>
    </row>
    <row r="2704" spans="14:14" ht="14.25" customHeight="1">
      <c r="N2704" s="192">
        <v>0</v>
      </c>
    </row>
    <row r="2705" spans="14:14" ht="14.25" customHeight="1">
      <c r="N2705" s="192">
        <v>0</v>
      </c>
    </row>
    <row r="2706" spans="14:14" ht="14.25" customHeight="1">
      <c r="N2706" s="192">
        <v>0</v>
      </c>
    </row>
    <row r="2707" spans="14:14" ht="14.25" customHeight="1">
      <c r="N2707" s="192">
        <v>0</v>
      </c>
    </row>
    <row r="2708" spans="14:14" ht="14.25" customHeight="1">
      <c r="N2708" s="192">
        <v>0</v>
      </c>
    </row>
    <row r="2709" spans="14:14" ht="14.25" customHeight="1">
      <c r="N2709" s="192">
        <v>0</v>
      </c>
    </row>
    <row r="2710" spans="14:14" ht="14.25" customHeight="1">
      <c r="N2710" s="192">
        <v>0</v>
      </c>
    </row>
    <row r="2711" spans="14:14" ht="14.25" customHeight="1">
      <c r="N2711" s="192">
        <v>0</v>
      </c>
    </row>
    <row r="2712" spans="14:14" ht="14.25" customHeight="1">
      <c r="N2712" s="192">
        <v>0</v>
      </c>
    </row>
    <row r="2713" spans="14:14" ht="14.25" customHeight="1">
      <c r="N2713" s="192">
        <v>0</v>
      </c>
    </row>
    <row r="2714" spans="14:14" ht="14.25" customHeight="1">
      <c r="N2714" s="192">
        <v>0</v>
      </c>
    </row>
    <row r="2715" spans="14:14" ht="14.25" customHeight="1">
      <c r="N2715" s="192">
        <v>0</v>
      </c>
    </row>
    <row r="2716" spans="14:14" ht="14.25" customHeight="1">
      <c r="N2716" s="192">
        <v>0</v>
      </c>
    </row>
    <row r="2717" spans="14:14" ht="14.25" customHeight="1">
      <c r="N2717" s="192">
        <v>0</v>
      </c>
    </row>
    <row r="2718" spans="14:14" ht="14.25" customHeight="1">
      <c r="N2718" s="192">
        <v>0</v>
      </c>
    </row>
    <row r="2719" spans="14:14" ht="14.25" customHeight="1">
      <c r="N2719" s="192">
        <v>0</v>
      </c>
    </row>
    <row r="2720" spans="14:14" ht="14.25" customHeight="1">
      <c r="N2720" s="192">
        <v>0</v>
      </c>
    </row>
    <row r="2721" spans="14:14" ht="14.25" customHeight="1">
      <c r="N2721" s="192">
        <v>0</v>
      </c>
    </row>
    <row r="2722" spans="14:14" ht="14.25" customHeight="1">
      <c r="N2722" s="192">
        <v>0</v>
      </c>
    </row>
    <row r="2723" spans="14:14" ht="14.25" customHeight="1">
      <c r="N2723" s="192">
        <v>0</v>
      </c>
    </row>
    <row r="2724" spans="14:14" ht="14.25" customHeight="1">
      <c r="N2724" s="192">
        <v>0</v>
      </c>
    </row>
    <row r="2725" spans="14:14" ht="14.25" customHeight="1">
      <c r="N2725" s="192">
        <v>0</v>
      </c>
    </row>
    <row r="2726" spans="14:14" ht="14.25" customHeight="1">
      <c r="N2726" s="192">
        <v>0</v>
      </c>
    </row>
    <row r="2727" spans="14:14" ht="14.25" customHeight="1">
      <c r="N2727" s="192">
        <v>0</v>
      </c>
    </row>
    <row r="2728" spans="14:14" ht="14.25" customHeight="1">
      <c r="N2728" s="192">
        <v>0</v>
      </c>
    </row>
    <row r="2729" spans="14:14" ht="14.25" customHeight="1">
      <c r="N2729" s="192">
        <v>0</v>
      </c>
    </row>
    <row r="2730" spans="14:14" ht="14.25" customHeight="1">
      <c r="N2730" s="192">
        <v>0</v>
      </c>
    </row>
    <row r="2731" spans="14:14" ht="14.25" customHeight="1">
      <c r="N2731" s="192">
        <v>0</v>
      </c>
    </row>
    <row r="2732" spans="14:14" ht="14.25" customHeight="1">
      <c r="N2732" s="192">
        <v>0</v>
      </c>
    </row>
    <row r="2733" spans="14:14" ht="14.25" customHeight="1">
      <c r="N2733" s="192">
        <v>0</v>
      </c>
    </row>
    <row r="2734" spans="14:14" ht="14.25" customHeight="1">
      <c r="N2734" s="192">
        <v>0</v>
      </c>
    </row>
    <row r="2735" spans="14:14" ht="14.25" customHeight="1">
      <c r="N2735" s="192">
        <v>0</v>
      </c>
    </row>
    <row r="2736" spans="14:14" ht="14.25" customHeight="1">
      <c r="N2736" s="192">
        <v>0</v>
      </c>
    </row>
    <row r="2737" spans="14:14" ht="14.25" customHeight="1">
      <c r="N2737" s="192">
        <v>0</v>
      </c>
    </row>
    <row r="2738" spans="14:14" ht="14.25" customHeight="1">
      <c r="N2738" s="192">
        <v>0</v>
      </c>
    </row>
    <row r="2739" spans="14:14" ht="14.25" customHeight="1">
      <c r="N2739" s="192">
        <v>0</v>
      </c>
    </row>
    <row r="2740" spans="14:14" ht="14.25" customHeight="1">
      <c r="N2740" s="192">
        <v>0</v>
      </c>
    </row>
    <row r="2741" spans="14:14" ht="14.25" customHeight="1">
      <c r="N2741" s="192">
        <v>0</v>
      </c>
    </row>
    <row r="2742" spans="14:14" ht="14.25" customHeight="1">
      <c r="N2742" s="192">
        <v>0</v>
      </c>
    </row>
    <row r="2743" spans="14:14" ht="14.25" customHeight="1">
      <c r="N2743" s="192">
        <v>0</v>
      </c>
    </row>
    <row r="2744" spans="14:14" ht="14.25" customHeight="1">
      <c r="N2744" s="192">
        <v>0</v>
      </c>
    </row>
    <row r="2745" spans="14:14" ht="14.25" customHeight="1">
      <c r="N2745" s="192">
        <v>0</v>
      </c>
    </row>
    <row r="2746" spans="14:14" ht="14.25" customHeight="1">
      <c r="N2746" s="192">
        <v>0</v>
      </c>
    </row>
    <row r="2747" spans="14:14" ht="14.25" customHeight="1">
      <c r="N2747" s="192">
        <v>0</v>
      </c>
    </row>
    <row r="2748" spans="14:14" ht="14.25" customHeight="1">
      <c r="N2748" s="192">
        <v>0</v>
      </c>
    </row>
    <row r="2749" spans="14:14" ht="14.25" customHeight="1">
      <c r="N2749" s="192">
        <v>0</v>
      </c>
    </row>
    <row r="2750" spans="14:14" ht="14.25" customHeight="1">
      <c r="N2750" s="192">
        <v>0</v>
      </c>
    </row>
    <row r="2751" spans="14:14" ht="14.25" customHeight="1">
      <c r="N2751" s="192">
        <v>0</v>
      </c>
    </row>
    <row r="2752" spans="14:14" ht="14.25" customHeight="1">
      <c r="N2752" s="192">
        <v>0</v>
      </c>
    </row>
    <row r="2753" spans="14:14" ht="14.25" customHeight="1">
      <c r="N2753" s="192">
        <v>0</v>
      </c>
    </row>
    <row r="2754" spans="14:14" ht="14.25" customHeight="1">
      <c r="N2754" s="192">
        <v>0</v>
      </c>
    </row>
    <row r="2755" spans="14:14" ht="14.25" customHeight="1">
      <c r="N2755" s="192">
        <v>0</v>
      </c>
    </row>
    <row r="2756" spans="14:14" ht="14.25" customHeight="1">
      <c r="N2756" s="192">
        <v>0</v>
      </c>
    </row>
    <row r="2757" spans="14:14" ht="14.25" customHeight="1">
      <c r="N2757" s="192">
        <v>0</v>
      </c>
    </row>
    <row r="2758" spans="14:14" ht="14.25" customHeight="1">
      <c r="N2758" s="192">
        <v>0</v>
      </c>
    </row>
    <row r="2759" spans="14:14" ht="14.25" customHeight="1">
      <c r="N2759" s="192">
        <v>0</v>
      </c>
    </row>
    <row r="2760" spans="14:14" ht="14.25" customHeight="1">
      <c r="N2760" s="192">
        <v>0</v>
      </c>
    </row>
    <row r="2761" spans="14:14" ht="14.25" customHeight="1">
      <c r="N2761" s="192">
        <v>0</v>
      </c>
    </row>
    <row r="2762" spans="14:14" ht="14.25" customHeight="1">
      <c r="N2762" s="192">
        <v>0</v>
      </c>
    </row>
    <row r="2763" spans="14:14" ht="14.25" customHeight="1">
      <c r="N2763" s="192">
        <v>0</v>
      </c>
    </row>
    <row r="2764" spans="14:14" ht="14.25" customHeight="1">
      <c r="N2764" s="192">
        <v>0</v>
      </c>
    </row>
    <row r="2765" spans="14:14" ht="14.25" customHeight="1">
      <c r="N2765" s="192">
        <v>0</v>
      </c>
    </row>
    <row r="2766" spans="14:14" ht="14.25" customHeight="1">
      <c r="N2766" s="192">
        <v>0</v>
      </c>
    </row>
    <row r="2767" spans="14:14" ht="14.25" customHeight="1">
      <c r="N2767" s="192">
        <v>0</v>
      </c>
    </row>
    <row r="2768" spans="14:14" ht="14.25" customHeight="1">
      <c r="N2768" s="192">
        <v>0</v>
      </c>
    </row>
    <row r="2769" spans="14:14" ht="14.25" customHeight="1">
      <c r="N2769" s="192">
        <v>0</v>
      </c>
    </row>
    <row r="2770" spans="14:14" ht="14.25" customHeight="1">
      <c r="N2770" s="192">
        <v>0</v>
      </c>
    </row>
    <row r="2771" spans="14:14" ht="14.25" customHeight="1">
      <c r="N2771" s="192">
        <v>0</v>
      </c>
    </row>
    <row r="2772" spans="14:14" ht="14.25" customHeight="1">
      <c r="N2772" s="192">
        <v>0</v>
      </c>
    </row>
    <row r="2773" spans="14:14" ht="14.25" customHeight="1">
      <c r="N2773" s="192">
        <v>0</v>
      </c>
    </row>
    <row r="2774" spans="14:14" ht="14.25" customHeight="1">
      <c r="N2774" s="192">
        <v>0</v>
      </c>
    </row>
    <row r="2775" spans="14:14" ht="14.25" customHeight="1">
      <c r="N2775" s="192">
        <v>0</v>
      </c>
    </row>
    <row r="2776" spans="14:14" ht="14.25" customHeight="1">
      <c r="N2776" s="192">
        <v>0</v>
      </c>
    </row>
    <row r="2777" spans="14:14" ht="14.25" customHeight="1">
      <c r="N2777" s="192">
        <v>0</v>
      </c>
    </row>
    <row r="2778" spans="14:14" ht="14.25" customHeight="1">
      <c r="N2778" s="192">
        <v>0</v>
      </c>
    </row>
    <row r="2779" spans="14:14" ht="14.25" customHeight="1">
      <c r="N2779" s="192">
        <v>0</v>
      </c>
    </row>
    <row r="2780" spans="14:14" ht="14.25" customHeight="1">
      <c r="N2780" s="192">
        <v>0</v>
      </c>
    </row>
    <row r="2781" spans="14:14" ht="14.25" customHeight="1">
      <c r="N2781" s="192">
        <v>0</v>
      </c>
    </row>
    <row r="2782" spans="14:14" ht="14.25" customHeight="1">
      <c r="N2782" s="192">
        <v>0</v>
      </c>
    </row>
    <row r="2783" spans="14:14" ht="14.25" customHeight="1">
      <c r="N2783" s="192">
        <v>0</v>
      </c>
    </row>
    <row r="2784" spans="14:14" ht="14.25" customHeight="1">
      <c r="N2784" s="192">
        <v>0</v>
      </c>
    </row>
    <row r="2785" spans="14:14" ht="14.25" customHeight="1">
      <c r="N2785" s="192">
        <v>0</v>
      </c>
    </row>
    <row r="2786" spans="14:14" ht="14.25" customHeight="1">
      <c r="N2786" s="192">
        <v>0</v>
      </c>
    </row>
    <row r="2787" spans="14:14" ht="14.25" customHeight="1">
      <c r="N2787" s="192">
        <v>0</v>
      </c>
    </row>
    <row r="2788" spans="14:14" ht="14.25" customHeight="1">
      <c r="N2788" s="192">
        <v>0</v>
      </c>
    </row>
    <row r="2789" spans="14:14" ht="14.25" customHeight="1">
      <c r="N2789" s="192">
        <v>0</v>
      </c>
    </row>
    <row r="2790" spans="14:14" ht="14.25" customHeight="1">
      <c r="N2790" s="192">
        <v>0</v>
      </c>
    </row>
    <row r="2791" spans="14:14" ht="14.25" customHeight="1">
      <c r="N2791" s="192">
        <v>0</v>
      </c>
    </row>
    <row r="2792" spans="14:14" ht="14.25" customHeight="1">
      <c r="N2792" s="192">
        <v>0</v>
      </c>
    </row>
    <row r="2793" spans="14:14" ht="14.25" customHeight="1">
      <c r="N2793" s="192">
        <v>0</v>
      </c>
    </row>
    <row r="2794" spans="14:14" ht="14.25" customHeight="1">
      <c r="N2794" s="192">
        <v>0</v>
      </c>
    </row>
    <row r="2795" spans="14:14" ht="14.25" customHeight="1">
      <c r="N2795" s="192">
        <v>0</v>
      </c>
    </row>
    <row r="2796" spans="14:14" ht="14.25" customHeight="1">
      <c r="N2796" s="192">
        <v>0</v>
      </c>
    </row>
    <row r="2797" spans="14:14" ht="14.25" customHeight="1">
      <c r="N2797" s="192">
        <v>0</v>
      </c>
    </row>
    <row r="2798" spans="14:14" ht="14.25" customHeight="1">
      <c r="N2798" s="192">
        <v>0</v>
      </c>
    </row>
    <row r="2799" spans="14:14" ht="14.25" customHeight="1">
      <c r="N2799" s="192">
        <v>0</v>
      </c>
    </row>
    <row r="2800" spans="14:14" ht="14.25" customHeight="1">
      <c r="N2800" s="192">
        <v>0</v>
      </c>
    </row>
    <row r="2801" spans="14:14" ht="14.25" customHeight="1">
      <c r="N2801" s="192">
        <v>0</v>
      </c>
    </row>
    <row r="2802" spans="14:14" ht="14.25" customHeight="1">
      <c r="N2802" s="192">
        <v>0</v>
      </c>
    </row>
    <row r="2803" spans="14:14" ht="14.25" customHeight="1">
      <c r="N2803" s="192">
        <v>0</v>
      </c>
    </row>
    <row r="2804" spans="14:14" ht="14.25" customHeight="1">
      <c r="N2804" s="192">
        <v>0</v>
      </c>
    </row>
    <row r="2805" spans="14:14" ht="14.25" customHeight="1">
      <c r="N2805" s="192">
        <v>0</v>
      </c>
    </row>
    <row r="2806" spans="14:14" ht="14.25" customHeight="1">
      <c r="N2806" s="192">
        <v>0</v>
      </c>
    </row>
    <row r="2807" spans="14:14" ht="14.25" customHeight="1">
      <c r="N2807" s="192">
        <v>0</v>
      </c>
    </row>
    <row r="2808" spans="14:14" ht="14.25" customHeight="1">
      <c r="N2808" s="192">
        <v>0</v>
      </c>
    </row>
    <row r="2809" spans="14:14" ht="14.25" customHeight="1">
      <c r="N2809" s="192">
        <v>0</v>
      </c>
    </row>
    <row r="2810" spans="14:14" ht="14.25" customHeight="1">
      <c r="N2810" s="192">
        <v>0</v>
      </c>
    </row>
    <row r="2811" spans="14:14" ht="14.25" customHeight="1">
      <c r="N2811" s="192">
        <v>0</v>
      </c>
    </row>
    <row r="2812" spans="14:14" ht="14.25" customHeight="1">
      <c r="N2812" s="192">
        <v>0</v>
      </c>
    </row>
    <row r="2813" spans="14:14" ht="14.25" customHeight="1">
      <c r="N2813" s="192">
        <v>0</v>
      </c>
    </row>
    <row r="2814" spans="14:14" ht="14.25" customHeight="1">
      <c r="N2814" s="192">
        <v>0</v>
      </c>
    </row>
    <row r="2815" spans="14:14" ht="14.25" customHeight="1">
      <c r="N2815" s="192">
        <v>0</v>
      </c>
    </row>
    <row r="2816" spans="14:14" ht="14.25" customHeight="1">
      <c r="N2816" s="192">
        <v>0</v>
      </c>
    </row>
    <row r="2817" spans="14:14" ht="14.25" customHeight="1">
      <c r="N2817" s="192">
        <v>0</v>
      </c>
    </row>
    <row r="2818" spans="14:14" ht="14.25" customHeight="1">
      <c r="N2818" s="192">
        <v>0</v>
      </c>
    </row>
    <row r="2819" spans="14:14" ht="14.25" customHeight="1">
      <c r="N2819" s="192">
        <v>0</v>
      </c>
    </row>
    <row r="2820" spans="14:14" ht="14.25" customHeight="1">
      <c r="N2820" s="192">
        <v>0</v>
      </c>
    </row>
    <row r="2821" spans="14:14" ht="14.25" customHeight="1">
      <c r="N2821" s="192">
        <v>0</v>
      </c>
    </row>
    <row r="2822" spans="14:14" ht="14.25" customHeight="1">
      <c r="N2822" s="192">
        <v>0</v>
      </c>
    </row>
    <row r="2823" spans="14:14" ht="14.25" customHeight="1">
      <c r="N2823" s="192">
        <v>0</v>
      </c>
    </row>
    <row r="2824" spans="14:14" ht="14.25" customHeight="1">
      <c r="N2824" s="192">
        <v>0</v>
      </c>
    </row>
    <row r="2825" spans="14:14" ht="14.25" customHeight="1">
      <c r="N2825" s="192">
        <v>0</v>
      </c>
    </row>
    <row r="2826" spans="14:14" ht="14.25" customHeight="1">
      <c r="N2826" s="192">
        <v>0</v>
      </c>
    </row>
    <row r="2827" spans="14:14" ht="14.25" customHeight="1">
      <c r="N2827" s="192">
        <v>0</v>
      </c>
    </row>
    <row r="2828" spans="14:14" ht="14.25" customHeight="1">
      <c r="N2828" s="192">
        <v>0</v>
      </c>
    </row>
    <row r="2829" spans="14:14" ht="14.25" customHeight="1">
      <c r="N2829" s="192">
        <v>0</v>
      </c>
    </row>
    <row r="2830" spans="14:14" ht="14.25" customHeight="1">
      <c r="N2830" s="192">
        <v>0</v>
      </c>
    </row>
    <row r="2831" spans="14:14" ht="14.25" customHeight="1">
      <c r="N2831" s="192">
        <v>0</v>
      </c>
    </row>
    <row r="2832" spans="14:14" ht="14.25" customHeight="1">
      <c r="N2832" s="192">
        <v>0</v>
      </c>
    </row>
    <row r="2833" spans="14:14" ht="14.25" customHeight="1">
      <c r="N2833" s="192">
        <v>0</v>
      </c>
    </row>
    <row r="2834" spans="14:14" ht="14.25" customHeight="1">
      <c r="N2834" s="192">
        <v>0</v>
      </c>
    </row>
    <row r="2835" spans="14:14" ht="14.25" customHeight="1">
      <c r="N2835" s="192">
        <v>0</v>
      </c>
    </row>
    <row r="2836" spans="14:14" ht="14.25" customHeight="1">
      <c r="N2836" s="192">
        <v>0</v>
      </c>
    </row>
    <row r="2837" spans="14:14" ht="14.25" customHeight="1">
      <c r="N2837" s="192">
        <v>0</v>
      </c>
    </row>
    <row r="2838" spans="14:14" ht="14.25" customHeight="1">
      <c r="N2838" s="192">
        <v>0</v>
      </c>
    </row>
    <row r="2839" spans="14:14" ht="14.25" customHeight="1">
      <c r="N2839" s="192">
        <v>0</v>
      </c>
    </row>
    <row r="2840" spans="14:14" ht="14.25" customHeight="1">
      <c r="N2840" s="192">
        <v>0</v>
      </c>
    </row>
    <row r="2841" spans="14:14" ht="14.25" customHeight="1">
      <c r="N2841" s="192">
        <v>0</v>
      </c>
    </row>
    <row r="2842" spans="14:14" ht="14.25" customHeight="1">
      <c r="N2842" s="192">
        <v>0</v>
      </c>
    </row>
    <row r="2843" spans="14:14" ht="14.25" customHeight="1">
      <c r="N2843" s="192">
        <v>0</v>
      </c>
    </row>
    <row r="2844" spans="14:14" ht="14.25" customHeight="1">
      <c r="N2844" s="192">
        <v>0</v>
      </c>
    </row>
    <row r="2845" spans="14:14" ht="14.25" customHeight="1">
      <c r="N2845" s="192">
        <v>0</v>
      </c>
    </row>
    <row r="2846" spans="14:14" ht="14.25" customHeight="1">
      <c r="N2846" s="192">
        <v>0</v>
      </c>
    </row>
    <row r="2847" spans="14:14" ht="14.25" customHeight="1">
      <c r="N2847" s="192">
        <v>0</v>
      </c>
    </row>
    <row r="2848" spans="14:14" ht="14.25" customHeight="1">
      <c r="N2848" s="192">
        <v>0</v>
      </c>
    </row>
    <row r="2849" spans="14:14" ht="14.25" customHeight="1">
      <c r="N2849" s="192">
        <v>0</v>
      </c>
    </row>
    <row r="2850" spans="14:14" ht="14.25" customHeight="1">
      <c r="N2850" s="192">
        <v>0</v>
      </c>
    </row>
    <row r="2851" spans="14:14" ht="14.25" customHeight="1">
      <c r="N2851" s="192">
        <v>0</v>
      </c>
    </row>
    <row r="2852" spans="14:14" ht="14.25" customHeight="1">
      <c r="N2852" s="192">
        <v>0</v>
      </c>
    </row>
    <row r="2853" spans="14:14" ht="14.25" customHeight="1">
      <c r="N2853" s="192">
        <v>0</v>
      </c>
    </row>
    <row r="2854" spans="14:14" ht="14.25" customHeight="1">
      <c r="N2854" s="192">
        <v>0</v>
      </c>
    </row>
    <row r="2855" spans="14:14" ht="14.25" customHeight="1">
      <c r="N2855" s="192">
        <v>0</v>
      </c>
    </row>
    <row r="2856" spans="14:14" ht="14.25" customHeight="1">
      <c r="N2856" s="192">
        <v>0</v>
      </c>
    </row>
    <row r="2857" spans="14:14" ht="14.25" customHeight="1">
      <c r="N2857" s="192">
        <v>0</v>
      </c>
    </row>
    <row r="2858" spans="14:14" ht="14.25" customHeight="1">
      <c r="N2858" s="192">
        <v>0</v>
      </c>
    </row>
    <row r="2859" spans="14:14" ht="14.25" customHeight="1">
      <c r="N2859" s="192">
        <v>0</v>
      </c>
    </row>
    <row r="2860" spans="14:14" ht="14.25" customHeight="1">
      <c r="N2860" s="192">
        <v>0</v>
      </c>
    </row>
    <row r="2861" spans="14:14" ht="14.25" customHeight="1">
      <c r="N2861" s="192">
        <v>0</v>
      </c>
    </row>
    <row r="2862" spans="14:14" ht="14.25" customHeight="1">
      <c r="N2862" s="192">
        <v>0</v>
      </c>
    </row>
    <row r="2863" spans="14:14" ht="14.25" customHeight="1">
      <c r="N2863" s="192">
        <v>0</v>
      </c>
    </row>
    <row r="2864" spans="14:14" ht="14.25" customHeight="1">
      <c r="N2864" s="192">
        <v>0</v>
      </c>
    </row>
    <row r="2865" spans="14:14" ht="14.25" customHeight="1">
      <c r="N2865" s="192">
        <v>0</v>
      </c>
    </row>
    <row r="2866" spans="14:14" ht="14.25" customHeight="1">
      <c r="N2866" s="192">
        <v>0</v>
      </c>
    </row>
    <row r="2867" spans="14:14" ht="14.25" customHeight="1">
      <c r="N2867" s="192">
        <v>0</v>
      </c>
    </row>
    <row r="2868" spans="14:14" ht="14.25" customHeight="1">
      <c r="N2868" s="192">
        <v>0</v>
      </c>
    </row>
    <row r="2869" spans="14:14" ht="14.25" customHeight="1">
      <c r="N2869" s="192">
        <v>0</v>
      </c>
    </row>
    <row r="2870" spans="14:14" ht="14.25" customHeight="1">
      <c r="N2870" s="192">
        <v>0</v>
      </c>
    </row>
    <row r="2871" spans="14:14" ht="14.25" customHeight="1">
      <c r="N2871" s="192">
        <v>0</v>
      </c>
    </row>
    <row r="2872" spans="14:14" ht="14.25" customHeight="1">
      <c r="N2872" s="192">
        <v>0</v>
      </c>
    </row>
    <row r="2873" spans="14:14" ht="14.25" customHeight="1">
      <c r="N2873" s="192">
        <v>0</v>
      </c>
    </row>
    <row r="2874" spans="14:14" ht="14.25" customHeight="1">
      <c r="N2874" s="192">
        <v>0</v>
      </c>
    </row>
    <row r="2875" spans="14:14" ht="14.25" customHeight="1">
      <c r="N2875" s="192">
        <v>0</v>
      </c>
    </row>
    <row r="2876" spans="14:14" ht="14.25" customHeight="1">
      <c r="N2876" s="192">
        <v>0</v>
      </c>
    </row>
    <row r="2877" spans="14:14" ht="14.25" customHeight="1">
      <c r="N2877" s="192">
        <v>0</v>
      </c>
    </row>
    <row r="2878" spans="14:14" ht="14.25" customHeight="1">
      <c r="N2878" s="192">
        <v>0</v>
      </c>
    </row>
    <row r="2879" spans="14:14" ht="14.25" customHeight="1">
      <c r="N2879" s="192">
        <v>0</v>
      </c>
    </row>
    <row r="2880" spans="14:14" ht="14.25" customHeight="1">
      <c r="N2880" s="192">
        <v>0</v>
      </c>
    </row>
    <row r="2881" spans="14:14" ht="14.25" customHeight="1">
      <c r="N2881" s="192">
        <v>0</v>
      </c>
    </row>
    <row r="2882" spans="14:14" ht="14.25" customHeight="1">
      <c r="N2882" s="192">
        <v>0</v>
      </c>
    </row>
    <row r="2883" spans="14:14" ht="14.25" customHeight="1">
      <c r="N2883" s="192">
        <v>0</v>
      </c>
    </row>
    <row r="2884" spans="14:14" ht="14.25" customHeight="1">
      <c r="N2884" s="192">
        <v>0</v>
      </c>
    </row>
    <row r="2885" spans="14:14" ht="14.25" customHeight="1">
      <c r="N2885" s="192">
        <v>0</v>
      </c>
    </row>
    <row r="2886" spans="14:14" ht="14.25" customHeight="1">
      <c r="N2886" s="192">
        <v>0</v>
      </c>
    </row>
    <row r="2887" spans="14:14" ht="14.25" customHeight="1">
      <c r="N2887" s="192">
        <v>0</v>
      </c>
    </row>
    <row r="2888" spans="14:14" ht="14.25" customHeight="1">
      <c r="N2888" s="192">
        <v>0</v>
      </c>
    </row>
    <row r="2889" spans="14:14" ht="14.25" customHeight="1">
      <c r="N2889" s="192">
        <v>0</v>
      </c>
    </row>
    <row r="2890" spans="14:14" ht="14.25" customHeight="1">
      <c r="N2890" s="192">
        <v>0</v>
      </c>
    </row>
    <row r="2891" spans="14:14" ht="14.25" customHeight="1">
      <c r="N2891" s="192">
        <v>0</v>
      </c>
    </row>
    <row r="2892" spans="14:14" ht="14.25" customHeight="1">
      <c r="N2892" s="192">
        <v>0</v>
      </c>
    </row>
    <row r="2893" spans="14:14" ht="14.25" customHeight="1">
      <c r="N2893" s="192">
        <v>0</v>
      </c>
    </row>
    <row r="2894" spans="14:14" ht="14.25" customHeight="1">
      <c r="N2894" s="192">
        <v>0</v>
      </c>
    </row>
    <row r="2895" spans="14:14" ht="14.25" customHeight="1">
      <c r="N2895" s="192">
        <v>0</v>
      </c>
    </row>
    <row r="2896" spans="14:14" ht="14.25" customHeight="1">
      <c r="N2896" s="192">
        <v>0</v>
      </c>
    </row>
    <row r="2897" spans="14:14" ht="14.25" customHeight="1">
      <c r="N2897" s="192">
        <v>0</v>
      </c>
    </row>
    <row r="2898" spans="14:14" ht="14.25" customHeight="1">
      <c r="N2898" s="192">
        <v>0</v>
      </c>
    </row>
    <row r="2899" spans="14:14" ht="14.25" customHeight="1">
      <c r="N2899" s="192">
        <v>0</v>
      </c>
    </row>
    <row r="2900" spans="14:14" ht="14.25" customHeight="1">
      <c r="N2900" s="192">
        <v>0</v>
      </c>
    </row>
    <row r="2901" spans="14:14" ht="14.25" customHeight="1">
      <c r="N2901" s="192">
        <v>0</v>
      </c>
    </row>
    <row r="2902" spans="14:14" ht="14.25" customHeight="1">
      <c r="N2902" s="192">
        <v>0</v>
      </c>
    </row>
    <row r="2903" spans="14:14" ht="14.25" customHeight="1">
      <c r="N2903" s="192">
        <v>0</v>
      </c>
    </row>
    <row r="2904" spans="14:14" ht="14.25" customHeight="1">
      <c r="N2904" s="192">
        <v>0</v>
      </c>
    </row>
    <row r="2905" spans="14:14" ht="14.25" customHeight="1">
      <c r="N2905" s="192">
        <v>0</v>
      </c>
    </row>
    <row r="2906" spans="14:14" ht="14.25" customHeight="1">
      <c r="N2906" s="192">
        <v>0</v>
      </c>
    </row>
    <row r="2907" spans="14:14" ht="14.25" customHeight="1">
      <c r="N2907" s="192">
        <v>0</v>
      </c>
    </row>
    <row r="2908" spans="14:14" ht="14.25" customHeight="1">
      <c r="N2908" s="192">
        <v>0</v>
      </c>
    </row>
    <row r="2909" spans="14:14" ht="14.25" customHeight="1">
      <c r="N2909" s="192">
        <v>0</v>
      </c>
    </row>
    <row r="2910" spans="14:14" ht="14.25" customHeight="1">
      <c r="N2910" s="192">
        <v>0</v>
      </c>
    </row>
    <row r="2911" spans="14:14" ht="14.25" customHeight="1">
      <c r="N2911" s="192">
        <v>0</v>
      </c>
    </row>
    <row r="2912" spans="14:14" ht="14.25" customHeight="1">
      <c r="N2912" s="192">
        <v>0</v>
      </c>
    </row>
    <row r="2913" spans="14:14" ht="14.25" customHeight="1">
      <c r="N2913" s="192">
        <v>0</v>
      </c>
    </row>
    <row r="2914" spans="14:14" ht="14.25" customHeight="1">
      <c r="N2914" s="192">
        <v>0</v>
      </c>
    </row>
    <row r="2915" spans="14:14" ht="14.25" customHeight="1">
      <c r="N2915" s="192">
        <v>0</v>
      </c>
    </row>
    <row r="2916" spans="14:14" ht="14.25" customHeight="1">
      <c r="N2916" s="192">
        <v>0</v>
      </c>
    </row>
    <row r="2917" spans="14:14" ht="14.25" customHeight="1">
      <c r="N2917" s="192">
        <v>0</v>
      </c>
    </row>
    <row r="2918" spans="14:14" ht="14.25" customHeight="1">
      <c r="N2918" s="192">
        <v>0</v>
      </c>
    </row>
    <row r="2919" spans="14:14" ht="14.25" customHeight="1">
      <c r="N2919" s="192">
        <v>0</v>
      </c>
    </row>
    <row r="2920" spans="14:14" ht="14.25" customHeight="1">
      <c r="N2920" s="192">
        <v>0</v>
      </c>
    </row>
    <row r="2921" spans="14:14" ht="14.25" customHeight="1">
      <c r="N2921" s="192">
        <v>0</v>
      </c>
    </row>
    <row r="2922" spans="14:14" ht="14.25" customHeight="1">
      <c r="N2922" s="192">
        <v>0</v>
      </c>
    </row>
    <row r="2923" spans="14:14" ht="14.25" customHeight="1">
      <c r="N2923" s="192">
        <v>0</v>
      </c>
    </row>
    <row r="2924" spans="14:14" ht="14.25" customHeight="1">
      <c r="N2924" s="192">
        <v>0</v>
      </c>
    </row>
    <row r="2925" spans="14:14" ht="14.25" customHeight="1">
      <c r="N2925" s="192">
        <v>0</v>
      </c>
    </row>
    <row r="2926" spans="14:14" ht="14.25" customHeight="1">
      <c r="N2926" s="192">
        <v>0</v>
      </c>
    </row>
    <row r="2927" spans="14:14" ht="14.25" customHeight="1">
      <c r="N2927" s="192">
        <v>0</v>
      </c>
    </row>
    <row r="2928" spans="14:14" ht="14.25" customHeight="1">
      <c r="N2928" s="192">
        <v>0</v>
      </c>
    </row>
    <row r="2929" spans="14:14" ht="14.25" customHeight="1">
      <c r="N2929" s="192">
        <v>0</v>
      </c>
    </row>
    <row r="2930" spans="14:14" ht="14.25" customHeight="1">
      <c r="N2930" s="192">
        <v>0</v>
      </c>
    </row>
    <row r="2931" spans="14:14" ht="14.25" customHeight="1">
      <c r="N2931" s="192">
        <v>0</v>
      </c>
    </row>
    <row r="2932" spans="14:14" ht="14.25" customHeight="1">
      <c r="N2932" s="192">
        <v>0</v>
      </c>
    </row>
    <row r="2933" spans="14:14" ht="14.25" customHeight="1">
      <c r="N2933" s="192">
        <v>0</v>
      </c>
    </row>
    <row r="2934" spans="14:14" ht="14.25" customHeight="1">
      <c r="N2934" s="192">
        <v>0</v>
      </c>
    </row>
    <row r="2935" spans="14:14" ht="14.25" customHeight="1">
      <c r="N2935" s="192">
        <v>0</v>
      </c>
    </row>
    <row r="2936" spans="14:14" ht="14.25" customHeight="1">
      <c r="N2936" s="192">
        <v>0</v>
      </c>
    </row>
    <row r="2937" spans="14:14" ht="14.25" customHeight="1">
      <c r="N2937" s="192">
        <v>0</v>
      </c>
    </row>
    <row r="2938" spans="14:14" ht="14.25" customHeight="1">
      <c r="N2938" s="192">
        <v>0</v>
      </c>
    </row>
    <row r="2939" spans="14:14" ht="14.25" customHeight="1">
      <c r="N2939" s="192">
        <v>0</v>
      </c>
    </row>
    <row r="2940" spans="14:14" ht="14.25" customHeight="1">
      <c r="N2940" s="192">
        <v>0</v>
      </c>
    </row>
    <row r="2941" spans="14:14" ht="14.25" customHeight="1">
      <c r="N2941" s="192">
        <v>0</v>
      </c>
    </row>
    <row r="2942" spans="14:14" ht="14.25" customHeight="1">
      <c r="N2942" s="192">
        <v>0</v>
      </c>
    </row>
    <row r="2943" spans="14:14" ht="14.25" customHeight="1">
      <c r="N2943" s="192">
        <v>0</v>
      </c>
    </row>
    <row r="2944" spans="14:14" ht="14.25" customHeight="1">
      <c r="N2944" s="192">
        <v>0</v>
      </c>
    </row>
    <row r="2945" spans="14:14" ht="14.25" customHeight="1">
      <c r="N2945" s="192">
        <v>0</v>
      </c>
    </row>
    <row r="2946" spans="14:14" ht="14.25" customHeight="1">
      <c r="N2946" s="192">
        <v>0</v>
      </c>
    </row>
    <row r="2947" spans="14:14" ht="14.25" customHeight="1">
      <c r="N2947" s="192">
        <v>0</v>
      </c>
    </row>
    <row r="2948" spans="14:14" ht="14.25" customHeight="1">
      <c r="N2948" s="192">
        <v>0</v>
      </c>
    </row>
    <row r="2949" spans="14:14" ht="14.25" customHeight="1">
      <c r="N2949" s="192">
        <v>0</v>
      </c>
    </row>
    <row r="2950" spans="14:14" ht="14.25" customHeight="1">
      <c r="N2950" s="192">
        <v>0</v>
      </c>
    </row>
    <row r="2951" spans="14:14" ht="14.25" customHeight="1">
      <c r="N2951" s="192">
        <v>0</v>
      </c>
    </row>
    <row r="2952" spans="14:14" ht="14.25" customHeight="1">
      <c r="N2952" s="192">
        <v>0</v>
      </c>
    </row>
    <row r="2953" spans="14:14" ht="14.25" customHeight="1">
      <c r="N2953" s="192">
        <v>0</v>
      </c>
    </row>
    <row r="2954" spans="14:14" ht="14.25" customHeight="1">
      <c r="N2954" s="192">
        <v>0</v>
      </c>
    </row>
    <row r="2955" spans="14:14" ht="14.25" customHeight="1">
      <c r="N2955" s="192">
        <v>0</v>
      </c>
    </row>
    <row r="2956" spans="14:14" ht="14.25" customHeight="1">
      <c r="N2956" s="192">
        <v>0</v>
      </c>
    </row>
    <row r="2957" spans="14:14" ht="14.25" customHeight="1">
      <c r="N2957" s="192">
        <v>0</v>
      </c>
    </row>
    <row r="2958" spans="14:14" ht="14.25" customHeight="1">
      <c r="N2958" s="192">
        <v>0</v>
      </c>
    </row>
    <row r="2959" spans="14:14" ht="14.25" customHeight="1">
      <c r="N2959" s="192">
        <v>0</v>
      </c>
    </row>
    <row r="2960" spans="14:14" ht="14.25" customHeight="1">
      <c r="N2960" s="192">
        <v>0</v>
      </c>
    </row>
    <row r="2961" spans="14:14" ht="14.25" customHeight="1">
      <c r="N2961" s="192">
        <v>0</v>
      </c>
    </row>
    <row r="2962" spans="14:14" ht="14.25" customHeight="1">
      <c r="N2962" s="192">
        <v>0</v>
      </c>
    </row>
    <row r="2963" spans="14:14" ht="14.25" customHeight="1">
      <c r="N2963" s="192">
        <v>0</v>
      </c>
    </row>
    <row r="2964" spans="14:14" ht="14.25" customHeight="1">
      <c r="N2964" s="192">
        <v>0</v>
      </c>
    </row>
    <row r="2965" spans="14:14" ht="14.25" customHeight="1">
      <c r="N2965" s="192">
        <v>0</v>
      </c>
    </row>
    <row r="2966" spans="14:14" ht="14.25" customHeight="1">
      <c r="N2966" s="192">
        <v>0</v>
      </c>
    </row>
    <row r="2967" spans="14:14" ht="14.25" customHeight="1">
      <c r="N2967" s="192">
        <v>0</v>
      </c>
    </row>
    <row r="2968" spans="14:14" ht="14.25" customHeight="1">
      <c r="N2968" s="192">
        <v>0</v>
      </c>
    </row>
    <row r="2969" spans="14:14" ht="14.25" customHeight="1">
      <c r="N2969" s="192">
        <v>0</v>
      </c>
    </row>
    <row r="2970" spans="14:14" ht="14.25" customHeight="1">
      <c r="N2970" s="192">
        <v>0</v>
      </c>
    </row>
    <row r="2971" spans="14:14" ht="14.25" customHeight="1">
      <c r="N2971" s="192">
        <v>0</v>
      </c>
    </row>
    <row r="2972" spans="14:14" ht="14.25" customHeight="1">
      <c r="N2972" s="192">
        <v>0</v>
      </c>
    </row>
    <row r="2973" spans="14:14" ht="14.25" customHeight="1">
      <c r="N2973" s="192">
        <v>0</v>
      </c>
    </row>
    <row r="2974" spans="14:14" ht="14.25" customHeight="1">
      <c r="N2974" s="192">
        <v>0</v>
      </c>
    </row>
    <row r="2975" spans="14:14" ht="14.25" customHeight="1">
      <c r="N2975" s="192">
        <v>0</v>
      </c>
    </row>
    <row r="2976" spans="14:14" ht="14.25" customHeight="1">
      <c r="N2976" s="192">
        <v>0</v>
      </c>
    </row>
    <row r="2977" spans="14:14" ht="14.25" customHeight="1">
      <c r="N2977" s="192">
        <v>0</v>
      </c>
    </row>
    <row r="2978" spans="14:14" ht="14.25" customHeight="1">
      <c r="N2978" s="192">
        <v>0</v>
      </c>
    </row>
    <row r="2979" spans="14:14" ht="14.25" customHeight="1">
      <c r="N2979" s="192">
        <v>0</v>
      </c>
    </row>
    <row r="2980" spans="14:14" ht="14.25" customHeight="1">
      <c r="N2980" s="192">
        <v>0</v>
      </c>
    </row>
    <row r="2981" spans="14:14" ht="14.25" customHeight="1">
      <c r="N2981" s="192">
        <v>0</v>
      </c>
    </row>
    <row r="2982" spans="14:14" ht="14.25" customHeight="1">
      <c r="N2982" s="192">
        <v>0</v>
      </c>
    </row>
    <row r="2983" spans="14:14" ht="14.25" customHeight="1">
      <c r="N2983" s="192">
        <v>0</v>
      </c>
    </row>
    <row r="2984" spans="14:14" ht="14.25" customHeight="1">
      <c r="N2984" s="192">
        <v>0</v>
      </c>
    </row>
    <row r="2985" spans="14:14" ht="14.25" customHeight="1">
      <c r="N2985" s="192">
        <v>0</v>
      </c>
    </row>
    <row r="2986" spans="14:14" ht="14.25" customHeight="1">
      <c r="N2986" s="192">
        <v>0</v>
      </c>
    </row>
    <row r="2987" spans="14:14" ht="14.25" customHeight="1">
      <c r="N2987" s="192">
        <v>0</v>
      </c>
    </row>
    <row r="2988" spans="14:14" ht="14.25" customHeight="1">
      <c r="N2988" s="192">
        <v>0</v>
      </c>
    </row>
    <row r="2989" spans="14:14" ht="14.25" customHeight="1">
      <c r="N2989" s="192">
        <v>0</v>
      </c>
    </row>
    <row r="2990" spans="14:14" ht="14.25" customHeight="1">
      <c r="N2990" s="192">
        <v>0</v>
      </c>
    </row>
    <row r="2991" spans="14:14" ht="14.25" customHeight="1">
      <c r="N2991" s="192">
        <v>0</v>
      </c>
    </row>
    <row r="2992" spans="14:14" ht="14.25" customHeight="1">
      <c r="N2992" s="192">
        <v>0</v>
      </c>
    </row>
    <row r="2993" spans="14:14" ht="14.25" customHeight="1">
      <c r="N2993" s="192">
        <v>0</v>
      </c>
    </row>
    <row r="2994" spans="14:14" ht="14.25" customHeight="1">
      <c r="N2994" s="192">
        <v>0</v>
      </c>
    </row>
    <row r="2995" spans="14:14" ht="14.25" customHeight="1">
      <c r="N2995" s="192">
        <v>0</v>
      </c>
    </row>
    <row r="2996" spans="14:14" ht="14.25" customHeight="1">
      <c r="N2996" s="192">
        <v>0</v>
      </c>
    </row>
    <row r="2997" spans="14:14" ht="14.25" customHeight="1">
      <c r="N2997" s="192">
        <v>0</v>
      </c>
    </row>
    <row r="2998" spans="14:14" ht="14.25" customHeight="1">
      <c r="N2998" s="192">
        <v>0</v>
      </c>
    </row>
    <row r="2999" spans="14:14" ht="14.25" customHeight="1">
      <c r="N2999" s="192">
        <v>0</v>
      </c>
    </row>
    <row r="3000" spans="14:14" ht="14.25" customHeight="1">
      <c r="N3000" s="192">
        <v>0</v>
      </c>
    </row>
    <row r="3001" spans="14:14" ht="14.25" customHeight="1">
      <c r="N3001" s="192">
        <v>0</v>
      </c>
    </row>
    <row r="3002" spans="14:14" ht="14.25" customHeight="1">
      <c r="N3002" s="192">
        <v>0</v>
      </c>
    </row>
    <row r="3003" spans="14:14" ht="14.25" customHeight="1">
      <c r="N3003" s="192">
        <v>0</v>
      </c>
    </row>
  </sheetData>
  <mergeCells count="33">
    <mergeCell ref="B24:E24"/>
    <mergeCell ref="B20:E20"/>
    <mergeCell ref="A13:J13"/>
    <mergeCell ref="B10:D10"/>
    <mergeCell ref="G9:J9"/>
    <mergeCell ref="E10:F10"/>
    <mergeCell ref="B9:D9"/>
    <mergeCell ref="A15:J15"/>
    <mergeCell ref="G11:J11"/>
    <mergeCell ref="E9:F9"/>
    <mergeCell ref="F20:H20"/>
    <mergeCell ref="B11:D11"/>
    <mergeCell ref="A14:J14"/>
    <mergeCell ref="A17:J17"/>
    <mergeCell ref="B23:E23"/>
    <mergeCell ref="A18:J18"/>
    <mergeCell ref="B6:J6"/>
    <mergeCell ref="A5:A6"/>
    <mergeCell ref="B5:J5"/>
    <mergeCell ref="G8:J8"/>
    <mergeCell ref="F23:G23"/>
    <mergeCell ref="E11:F11"/>
    <mergeCell ref="G7:J7"/>
    <mergeCell ref="B8:D8"/>
    <mergeCell ref="A7:A8"/>
    <mergeCell ref="E7:F8"/>
    <mergeCell ref="A3:J3"/>
    <mergeCell ref="A12:J12"/>
    <mergeCell ref="F21:H21"/>
    <mergeCell ref="B4:J4"/>
    <mergeCell ref="A16:J16"/>
    <mergeCell ref="B7:D7"/>
    <mergeCell ref="G10:J10"/>
  </mergeCells>
  <phoneticPr fontId="3" type="noConversion"/>
  <dataValidations disablePrompts="1" count="1">
    <dataValidation type="list" allowBlank="1" showInputMessage="1" showErrorMessage="1" sqref="K3" xr:uid="{00000000-0002-0000-0700-000000000000}">
      <formula1>$N$3:$N$3003</formula1>
    </dataValidation>
  </dataValidations>
  <printOptions horizontalCentered="1"/>
  <pageMargins left="0.78740157480314965" right="0.78740157480314965" top="1.417322834645669" bottom="0.23622047244094491" header="0.31496062992125978" footer="0.31496062992125978"/>
  <pageSetup paperSize="9"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Drop Down 3">
              <controlPr defaultSize="0" autoLine="0" autoPict="0">
                <anchor moveWithCells="1">
                  <from>
                    <xdr:col>10</xdr:col>
                    <xdr:colOff>1276350</xdr:colOff>
                    <xdr:row>10</xdr:row>
                    <xdr:rowOff>28575</xdr:rowOff>
                  </from>
                  <to>
                    <xdr:col>12</xdr:col>
                    <xdr:colOff>57150</xdr:colOff>
                    <xdr:row>10</xdr:row>
                    <xdr:rowOff>400050</xdr:rowOff>
                  </to>
                </anchor>
              </controlPr>
            </control>
          </mc:Choice>
        </mc:AlternateContent>
        <mc:AlternateContent xmlns:mc="http://schemas.openxmlformats.org/markup-compatibility/2006">
          <mc:Choice Requires="x14">
            <control shapeId="54274" r:id="rId5" name="Button 4">
              <controlPr defaultSize="0" print="0" autoFill="0" autoPict="0" macro="[0]!돌아가기">
                <anchor moveWithCells="1" sizeWithCells="1">
                  <from>
                    <xdr:col>6</xdr:col>
                    <xdr:colOff>85725</xdr:colOff>
                    <xdr:row>0</xdr:row>
                    <xdr:rowOff>19050</xdr:rowOff>
                  </from>
                  <to>
                    <xdr:col>10</xdr:col>
                    <xdr:colOff>19050</xdr:colOff>
                    <xdr:row>0</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AF3002"/>
  <sheetViews>
    <sheetView showZeros="0" view="pageBreakPreview" zoomScale="85" zoomScaleNormal="100" zoomScaleSheetLayoutView="85" workbookViewId="0">
      <selection activeCell="A17" sqref="A17:J17"/>
    </sheetView>
  </sheetViews>
  <sheetFormatPr defaultColWidth="10" defaultRowHeight="14.25" customHeight="1"/>
  <cols>
    <col min="1" max="1" width="15.625" style="192" customWidth="1"/>
    <col min="2" max="3" width="8.625" style="192" customWidth="1"/>
    <col min="4" max="4" width="10.625" style="192" customWidth="1"/>
    <col min="5" max="5" width="8.625" style="192" customWidth="1"/>
    <col min="6" max="6" width="7.625" style="192" customWidth="1"/>
    <col min="7" max="7" width="6.375" style="192" customWidth="1"/>
    <col min="8" max="8" width="2.625" style="192" customWidth="1"/>
    <col min="9" max="9" width="10.625" style="192" customWidth="1"/>
    <col min="10" max="10" width="7.625" style="192" customWidth="1"/>
    <col min="11" max="11" width="17.25" style="192" bestFit="1" customWidth="1"/>
    <col min="12" max="12" width="20.625" style="192" bestFit="1" customWidth="1"/>
    <col min="13" max="13" width="21.125" style="192" customWidth="1"/>
    <col min="14" max="16" width="9" style="192" customWidth="1"/>
    <col min="17" max="17" width="10" style="192" customWidth="1"/>
    <col min="18" max="18" width="13" style="192" hidden="1" customWidth="1"/>
    <col min="19" max="48" width="10" style="192" customWidth="1"/>
    <col min="49" max="16384" width="10" style="192"/>
  </cols>
  <sheetData>
    <row r="1" spans="1:32" ht="45" customHeight="1">
      <c r="B1" s="192">
        <v>1</v>
      </c>
    </row>
    <row r="2" spans="1:32" ht="43.5" customHeight="1">
      <c r="A2" s="354" t="s">
        <v>637</v>
      </c>
      <c r="B2" s="353"/>
      <c r="C2" s="353"/>
      <c r="D2" s="353"/>
      <c r="E2" s="353"/>
      <c r="F2" s="353"/>
      <c r="G2" s="353"/>
      <c r="H2" s="353"/>
      <c r="I2" s="353"/>
      <c r="J2" s="353"/>
      <c r="K2" s="173"/>
      <c r="L2" s="174"/>
    </row>
    <row r="3" spans="1:32" s="247" customFormat="1" ht="36" customHeight="1">
      <c r="A3" s="259" t="s">
        <v>591</v>
      </c>
      <c r="B3" s="392" t="str">
        <f>VLOOKUP($B$1,공사현장대장!$A$5:$T$330,4)</f>
        <v>홍천농고 공간재구조화 증개축공사 건설폐기물처리용역</v>
      </c>
      <c r="C3" s="393"/>
      <c r="D3" s="393"/>
      <c r="E3" s="393"/>
      <c r="F3" s="393"/>
      <c r="G3" s="393"/>
      <c r="H3" s="393"/>
      <c r="I3" s="393"/>
      <c r="J3" s="394"/>
      <c r="L3" s="175"/>
      <c r="M3" s="192"/>
      <c r="N3" s="192"/>
      <c r="Y3" s="192"/>
      <c r="AF3" s="192"/>
    </row>
    <row r="4" spans="1:32" s="247" customFormat="1" ht="18" customHeight="1">
      <c r="A4" s="388" t="s">
        <v>482</v>
      </c>
      <c r="B4" s="447" t="str">
        <f>VLOOKUP($B$1,공사현장대장!$A$5:$T$330,16)&amp;"  대표: "&amp;VLOOKUP($B$1,공사현장대장!$A$5:$T$330,17)</f>
        <v>금강도시환경(주)  대표: 이재훈</v>
      </c>
      <c r="C4" s="356"/>
      <c r="D4" s="356"/>
      <c r="E4" s="356"/>
      <c r="F4" s="356"/>
      <c r="G4" s="356"/>
      <c r="H4" s="356"/>
      <c r="I4" s="356"/>
      <c r="J4" s="357"/>
      <c r="M4" s="192"/>
      <c r="N4" s="192"/>
      <c r="Y4" s="192"/>
      <c r="AF4" s="192"/>
    </row>
    <row r="5" spans="1:32" s="247" customFormat="1" ht="18" customHeight="1">
      <c r="A5" s="333"/>
      <c r="B5" s="385"/>
      <c r="C5" s="380"/>
      <c r="D5" s="380"/>
      <c r="E5" s="380"/>
      <c r="F5" s="380"/>
      <c r="G5" s="380"/>
      <c r="H5" s="380"/>
      <c r="I5" s="380"/>
      <c r="J5" s="387"/>
      <c r="M5" s="192"/>
      <c r="N5" s="192"/>
      <c r="Y5" s="192"/>
      <c r="AF5" s="192"/>
    </row>
    <row r="6" spans="1:32" s="247" customFormat="1" ht="18" customHeight="1">
      <c r="A6" s="382" t="s">
        <v>13</v>
      </c>
      <c r="B6" s="395" t="str">
        <f>"금"&amp;TEXT(VLOOKUP($B$1,공사현장대장!$A$5:$T$330,9),"#,###")&amp;"원"</f>
        <v>금786,542,000원</v>
      </c>
      <c r="C6" s="356"/>
      <c r="D6" s="384"/>
      <c r="E6" s="383" t="s">
        <v>638</v>
      </c>
      <c r="F6" s="384"/>
      <c r="G6" s="449" t="str">
        <f>"금"&amp;TEXT(L10,"#,###")&amp;"원"</f>
        <v>금원</v>
      </c>
      <c r="H6" s="356"/>
      <c r="I6" s="356"/>
      <c r="J6" s="357"/>
      <c r="L6" s="9"/>
      <c r="M6" s="9"/>
      <c r="N6" s="192"/>
      <c r="Y6" s="192"/>
      <c r="AF6" s="192"/>
    </row>
    <row r="7" spans="1:32" s="247" customFormat="1" ht="18" customHeight="1">
      <c r="A7" s="333"/>
      <c r="B7" s="379" t="str">
        <f>"(금"&amp;TEXT(VLOOKUP($B$1,공사현장대장!$A$5:$T$330,9),"[dbnum4]")&amp;"원)"</f>
        <v>(금칠억팔천육백오십사만이천원)</v>
      </c>
      <c r="C7" s="380"/>
      <c r="D7" s="381"/>
      <c r="E7" s="385"/>
      <c r="F7" s="381"/>
      <c r="G7" s="390" t="str">
        <f>"(금"&amp;TEXT(L10,"[dbnum4]")&amp;"원)"</f>
        <v>(금영원)</v>
      </c>
      <c r="H7" s="380"/>
      <c r="I7" s="380"/>
      <c r="J7" s="387"/>
      <c r="L7" s="287"/>
      <c r="M7" s="287"/>
      <c r="N7" s="192"/>
      <c r="Y7" s="192"/>
      <c r="AF7" s="192"/>
    </row>
    <row r="8" spans="1:32" s="247" customFormat="1" ht="36" customHeight="1" thickBot="1">
      <c r="A8" s="248" t="s">
        <v>594</v>
      </c>
      <c r="B8" s="364">
        <f>VLOOKUP($B$1,공사현장대장!$A$5:$T$330,10)</f>
        <v>45572</v>
      </c>
      <c r="C8" s="365"/>
      <c r="D8" s="366"/>
      <c r="E8" s="369" t="s">
        <v>595</v>
      </c>
      <c r="F8" s="366"/>
      <c r="G8" s="367">
        <f>VLOOKUP($B$1,공사현장대장!$A$5:$T$330,11)</f>
        <v>45580</v>
      </c>
      <c r="H8" s="365"/>
      <c r="I8" s="365"/>
      <c r="J8" s="368"/>
      <c r="N8" s="192"/>
      <c r="Y8" s="192"/>
      <c r="AF8" s="192"/>
    </row>
    <row r="9" spans="1:32" s="247" customFormat="1" ht="36" customHeight="1" thickBot="1">
      <c r="A9" s="248" t="s">
        <v>596</v>
      </c>
      <c r="B9" s="364">
        <f>VLOOKUP($B$1,공사현장대장!$A$5:$T$330,13)</f>
        <v>46167</v>
      </c>
      <c r="C9" s="365"/>
      <c r="D9" s="366"/>
      <c r="E9" s="448" t="s">
        <v>639</v>
      </c>
      <c r="F9" s="366"/>
      <c r="G9" s="367">
        <f>VLOOKUP($B$1,공사현장대장!$A$5:$T$330,14)</f>
        <v>0</v>
      </c>
      <c r="H9" s="365"/>
      <c r="I9" s="365"/>
      <c r="J9" s="368"/>
      <c r="L9" s="19" t="s">
        <v>640</v>
      </c>
      <c r="M9" s="19" t="s">
        <v>641</v>
      </c>
      <c r="N9" s="192"/>
      <c r="R9" s="247" t="s">
        <v>599</v>
      </c>
      <c r="Y9" s="192"/>
      <c r="AF9" s="192"/>
    </row>
    <row r="10" spans="1:32" s="247" customFormat="1" ht="18" customHeight="1">
      <c r="A10" s="445" t="s">
        <v>642</v>
      </c>
      <c r="B10" s="364"/>
      <c r="C10" s="356"/>
      <c r="D10" s="384"/>
      <c r="E10" s="373" t="s">
        <v>601</v>
      </c>
      <c r="F10" s="384"/>
      <c r="G10" s="446"/>
      <c r="H10" s="365"/>
      <c r="I10" s="365"/>
      <c r="J10" s="368"/>
      <c r="K10" s="89" t="s">
        <v>643</v>
      </c>
      <c r="L10" s="298"/>
      <c r="M10" s="298"/>
      <c r="N10" s="192"/>
      <c r="R10" s="247" t="s">
        <v>602</v>
      </c>
      <c r="Y10" s="192"/>
      <c r="AF10" s="192"/>
    </row>
    <row r="11" spans="1:32" s="247" customFormat="1" ht="18" customHeight="1">
      <c r="A11" s="333"/>
      <c r="B11" s="385"/>
      <c r="C11" s="380"/>
      <c r="D11" s="381"/>
      <c r="E11" s="385"/>
      <c r="F11" s="381"/>
      <c r="G11" s="446"/>
      <c r="H11" s="365"/>
      <c r="I11" s="365"/>
      <c r="J11" s="368"/>
      <c r="N11" s="192"/>
      <c r="Y11" s="192"/>
      <c r="AF11" s="192"/>
    </row>
    <row r="12" spans="1:32" s="247" customFormat="1" ht="24.75" customHeight="1">
      <c r="A12" s="355"/>
      <c r="B12" s="356"/>
      <c r="C12" s="356"/>
      <c r="D12" s="356"/>
      <c r="E12" s="356"/>
      <c r="F12" s="356"/>
      <c r="G12" s="356"/>
      <c r="H12" s="356"/>
      <c r="I12" s="356"/>
      <c r="J12" s="357"/>
      <c r="M12" s="192"/>
      <c r="N12" s="192"/>
    </row>
    <row r="13" spans="1:32" s="247" customFormat="1" ht="59.25" customHeight="1">
      <c r="A13" s="362" t="s">
        <v>644</v>
      </c>
      <c r="B13" s="359"/>
      <c r="C13" s="359"/>
      <c r="D13" s="359"/>
      <c r="E13" s="359"/>
      <c r="F13" s="359"/>
      <c r="G13" s="359"/>
      <c r="H13" s="359"/>
      <c r="I13" s="359"/>
      <c r="J13" s="363"/>
      <c r="M13" s="192"/>
      <c r="N13" s="192"/>
    </row>
    <row r="14" spans="1:32" s="247" customFormat="1" ht="24.95" customHeight="1">
      <c r="A14" s="375"/>
      <c r="B14" s="359"/>
      <c r="C14" s="359"/>
      <c r="D14" s="359"/>
      <c r="E14" s="359"/>
      <c r="F14" s="359"/>
      <c r="G14" s="359"/>
      <c r="H14" s="359"/>
      <c r="I14" s="359"/>
      <c r="J14" s="363"/>
      <c r="L14" s="20"/>
      <c r="M14" s="288"/>
      <c r="N14" s="192"/>
    </row>
    <row r="15" spans="1:32" s="247" customFormat="1" ht="24.95" customHeight="1">
      <c r="A15" s="370">
        <f>B10</f>
        <v>0</v>
      </c>
      <c r="B15" s="359"/>
      <c r="C15" s="359"/>
      <c r="D15" s="359"/>
      <c r="E15" s="359"/>
      <c r="F15" s="359"/>
      <c r="G15" s="359"/>
      <c r="H15" s="359"/>
      <c r="I15" s="359"/>
      <c r="J15" s="363"/>
      <c r="M15" s="289"/>
      <c r="N15" s="192"/>
      <c r="Y15" s="192"/>
      <c r="AF15" s="192"/>
    </row>
    <row r="16" spans="1:32" s="247" customFormat="1" ht="9.9499999999999993" customHeight="1">
      <c r="A16" s="374"/>
      <c r="B16" s="359"/>
      <c r="C16" s="359"/>
      <c r="D16" s="359"/>
      <c r="E16" s="359"/>
      <c r="F16" s="359"/>
      <c r="G16" s="359"/>
      <c r="H16" s="359"/>
      <c r="I16" s="359"/>
      <c r="J16" s="363"/>
      <c r="M16" s="192"/>
      <c r="N16" s="192"/>
      <c r="Y16" s="192"/>
      <c r="AF16" s="192"/>
    </row>
    <row r="17" spans="1:32" s="247" customFormat="1" ht="9.9499999999999993" customHeight="1">
      <c r="A17" s="374"/>
      <c r="B17" s="359"/>
      <c r="C17" s="359"/>
      <c r="D17" s="359"/>
      <c r="E17" s="359"/>
      <c r="F17" s="359"/>
      <c r="G17" s="359"/>
      <c r="H17" s="359"/>
      <c r="I17" s="359"/>
      <c r="J17" s="363"/>
      <c r="M17" s="192"/>
      <c r="N17" s="192"/>
      <c r="Y17" s="192"/>
      <c r="AF17" s="192"/>
    </row>
    <row r="18" spans="1:32" s="247" customFormat="1" ht="9.9499999999999993" customHeight="1">
      <c r="A18" s="374"/>
      <c r="B18" s="359"/>
      <c r="C18" s="359"/>
      <c r="D18" s="359"/>
      <c r="E18" s="359"/>
      <c r="F18" s="359"/>
      <c r="G18" s="359"/>
      <c r="H18" s="359"/>
      <c r="I18" s="359"/>
      <c r="J18" s="363"/>
      <c r="M18" s="192"/>
      <c r="N18" s="192"/>
      <c r="Y18" s="192"/>
      <c r="AF18" s="192"/>
    </row>
    <row r="19" spans="1:32" s="247" customFormat="1" ht="9.9499999999999993" customHeight="1">
      <c r="A19" s="100"/>
      <c r="B19" s="117"/>
      <c r="C19" s="117"/>
      <c r="D19" s="117"/>
      <c r="E19" s="117"/>
      <c r="F19" s="117"/>
      <c r="G19" s="117"/>
      <c r="H19" s="117"/>
      <c r="I19" s="117"/>
      <c r="J19" s="101"/>
      <c r="M19" s="192"/>
      <c r="N19" s="192"/>
      <c r="Y19" s="192"/>
      <c r="AF19" s="192"/>
    </row>
    <row r="20" spans="1:32" s="247" customFormat="1" ht="24.95" customHeight="1">
      <c r="A20" s="102" t="s">
        <v>604</v>
      </c>
      <c r="B20" s="372" t="str">
        <f>"강원도"&amp;설정탭!B6&amp;"교육지원청 시설과"</f>
        <v>강원도강원특별자치도홍천교육지원청 시설과</v>
      </c>
      <c r="C20" s="359"/>
      <c r="D20" s="359"/>
      <c r="E20" s="359"/>
      <c r="F20" s="372" t="str">
        <f>설정탭!B7</f>
        <v>지방시설주사</v>
      </c>
      <c r="G20" s="359"/>
      <c r="H20" s="117"/>
      <c r="I20" s="103" t="str">
        <f>설정탭!C7</f>
        <v>김종인</v>
      </c>
      <c r="J20" s="151" t="s">
        <v>605</v>
      </c>
      <c r="M20" s="192"/>
      <c r="N20" s="192"/>
      <c r="Y20" s="192"/>
      <c r="AF20" s="192"/>
    </row>
    <row r="21" spans="1:32" s="247" customFormat="1" ht="24.95" customHeight="1">
      <c r="A21" s="100"/>
      <c r="B21" s="117"/>
      <c r="C21" s="103"/>
      <c r="D21" s="117"/>
      <c r="E21" s="117"/>
      <c r="F21" s="372" t="str">
        <f>설정탭!B8</f>
        <v>지방시설주사보</v>
      </c>
      <c r="G21" s="359"/>
      <c r="H21" s="117"/>
      <c r="I21" s="103" t="str">
        <f>설정탭!C8</f>
        <v>한상우</v>
      </c>
      <c r="J21" s="151" t="s">
        <v>605</v>
      </c>
      <c r="M21" s="192"/>
      <c r="N21" s="192"/>
      <c r="Y21" s="192"/>
      <c r="AF21" s="192"/>
    </row>
    <row r="22" spans="1:32" s="247" customFormat="1" ht="24.95" customHeight="1">
      <c r="A22" s="100"/>
      <c r="B22" s="117"/>
      <c r="C22" s="103"/>
      <c r="D22" s="117"/>
      <c r="E22" s="117"/>
      <c r="F22" s="117"/>
      <c r="G22" s="117"/>
      <c r="H22" s="117"/>
      <c r="I22" s="117"/>
      <c r="J22" s="151"/>
      <c r="M22" s="192"/>
      <c r="N22" s="192"/>
      <c r="Y22" s="192"/>
      <c r="AF22" s="192"/>
    </row>
    <row r="23" spans="1:32" s="247" customFormat="1" ht="24.95" hidden="1" customHeight="1">
      <c r="A23" s="102" t="s">
        <v>606</v>
      </c>
      <c r="B23" s="360"/>
      <c r="C23" s="359"/>
      <c r="D23" s="359"/>
      <c r="E23" s="359"/>
      <c r="F23" s="444"/>
      <c r="G23" s="359"/>
      <c r="H23" s="136"/>
      <c r="I23" s="136"/>
      <c r="J23" s="151" t="s">
        <v>605</v>
      </c>
      <c r="M23" s="192"/>
      <c r="N23" s="192"/>
      <c r="Y23" s="192"/>
      <c r="AF23" s="192"/>
    </row>
    <row r="24" spans="1:32" s="247" customFormat="1" ht="141" customHeight="1">
      <c r="A24" s="100"/>
      <c r="B24" s="117">
        <v>0</v>
      </c>
      <c r="C24" s="103"/>
      <c r="D24" s="136"/>
      <c r="E24" s="117"/>
      <c r="F24" s="117"/>
      <c r="G24" s="136"/>
      <c r="H24" s="136"/>
      <c r="I24" s="136"/>
      <c r="J24" s="104"/>
      <c r="M24" s="192"/>
      <c r="N24" s="192"/>
      <c r="Y24" s="192"/>
      <c r="AF24" s="192"/>
    </row>
    <row r="25" spans="1:32" s="247" customFormat="1" ht="41.25" customHeight="1">
      <c r="A25" s="105" t="s">
        <v>645</v>
      </c>
      <c r="B25" s="106"/>
      <c r="C25" s="107"/>
      <c r="D25" s="108"/>
      <c r="E25" s="106"/>
      <c r="F25" s="106"/>
      <c r="G25" s="108"/>
      <c r="H25" s="108"/>
      <c r="I25" s="108"/>
      <c r="J25" s="109"/>
      <c r="M25" s="192"/>
      <c r="N25" s="192"/>
      <c r="Y25" s="192"/>
      <c r="AF25" s="192"/>
    </row>
    <row r="26" spans="1:32" ht="14.25" customHeight="1">
      <c r="Q26" s="247"/>
    </row>
    <row r="253" spans="14:14" ht="14.25" customHeight="1">
      <c r="N253" s="192">
        <v>0</v>
      </c>
    </row>
    <row r="254" spans="14:14" ht="14.25" customHeight="1">
      <c r="N254" s="192">
        <v>0</v>
      </c>
    </row>
    <row r="255" spans="14:14" ht="14.25" customHeight="1">
      <c r="N255" s="192">
        <v>0</v>
      </c>
    </row>
    <row r="256" spans="14:14" ht="14.25" customHeight="1">
      <c r="N256" s="192">
        <v>0</v>
      </c>
    </row>
    <row r="257" spans="14:14" ht="14.25" customHeight="1">
      <c r="N257" s="192">
        <v>0</v>
      </c>
    </row>
    <row r="258" spans="14:14" ht="14.25" customHeight="1">
      <c r="N258" s="192">
        <v>0</v>
      </c>
    </row>
    <row r="259" spans="14:14" ht="14.25" customHeight="1">
      <c r="N259" s="192">
        <v>0</v>
      </c>
    </row>
    <row r="260" spans="14:14" ht="14.25" customHeight="1">
      <c r="N260" s="192">
        <v>0</v>
      </c>
    </row>
    <row r="261" spans="14:14" ht="14.25" customHeight="1">
      <c r="N261" s="192">
        <v>0</v>
      </c>
    </row>
    <row r="262" spans="14:14" ht="14.25" customHeight="1">
      <c r="N262" s="192">
        <v>0</v>
      </c>
    </row>
    <row r="263" spans="14:14" ht="14.25" customHeight="1">
      <c r="N263" s="192">
        <v>0</v>
      </c>
    </row>
    <row r="264" spans="14:14" ht="14.25" customHeight="1">
      <c r="N264" s="192">
        <v>0</v>
      </c>
    </row>
    <row r="265" spans="14:14" ht="14.25" customHeight="1">
      <c r="N265" s="192">
        <v>0</v>
      </c>
    </row>
    <row r="266" spans="14:14" ht="14.25" customHeight="1">
      <c r="N266" s="192">
        <v>0</v>
      </c>
    </row>
    <row r="267" spans="14:14" ht="14.25" customHeight="1">
      <c r="N267" s="192">
        <v>0</v>
      </c>
    </row>
    <row r="268" spans="14:14" ht="14.25" customHeight="1">
      <c r="N268" s="192">
        <v>0</v>
      </c>
    </row>
    <row r="269" spans="14:14" ht="14.25" customHeight="1">
      <c r="N269" s="192">
        <v>0</v>
      </c>
    </row>
    <row r="270" spans="14:14" ht="14.25" customHeight="1">
      <c r="N270" s="192">
        <v>0</v>
      </c>
    </row>
    <row r="271" spans="14:14" ht="14.25" customHeight="1">
      <c r="N271" s="192">
        <v>0</v>
      </c>
    </row>
    <row r="272" spans="14:14" ht="14.25" customHeight="1">
      <c r="N272" s="192">
        <v>0</v>
      </c>
    </row>
    <row r="273" spans="14:14" ht="14.25" customHeight="1">
      <c r="N273" s="192">
        <v>0</v>
      </c>
    </row>
    <row r="274" spans="14:14" ht="14.25" customHeight="1">
      <c r="N274" s="192">
        <v>0</v>
      </c>
    </row>
    <row r="275" spans="14:14" ht="14.25" customHeight="1">
      <c r="N275" s="192">
        <v>0</v>
      </c>
    </row>
    <row r="276" spans="14:14" ht="14.25" customHeight="1">
      <c r="N276" s="192">
        <v>0</v>
      </c>
    </row>
    <row r="277" spans="14:14" ht="14.25" customHeight="1">
      <c r="N277" s="192">
        <v>0</v>
      </c>
    </row>
    <row r="278" spans="14:14" ht="14.25" customHeight="1">
      <c r="N278" s="192">
        <v>0</v>
      </c>
    </row>
    <row r="279" spans="14:14" ht="14.25" customHeight="1">
      <c r="N279" s="192">
        <v>0</v>
      </c>
    </row>
    <row r="280" spans="14:14" ht="14.25" customHeight="1">
      <c r="N280" s="192">
        <v>0</v>
      </c>
    </row>
    <row r="281" spans="14:14" ht="14.25" customHeight="1">
      <c r="N281" s="192">
        <v>0</v>
      </c>
    </row>
    <row r="282" spans="14:14" ht="14.25" customHeight="1">
      <c r="N282" s="192">
        <v>0</v>
      </c>
    </row>
    <row r="283" spans="14:14" ht="14.25" customHeight="1">
      <c r="N283" s="192">
        <v>0</v>
      </c>
    </row>
    <row r="284" spans="14:14" ht="14.25" customHeight="1">
      <c r="N284" s="192">
        <v>0</v>
      </c>
    </row>
    <row r="285" spans="14:14" ht="14.25" customHeight="1">
      <c r="N285" s="192">
        <v>0</v>
      </c>
    </row>
    <row r="286" spans="14:14" ht="14.25" customHeight="1">
      <c r="N286" s="192">
        <v>0</v>
      </c>
    </row>
    <row r="287" spans="14:14" ht="14.25" customHeight="1">
      <c r="N287" s="192">
        <v>0</v>
      </c>
    </row>
    <row r="288" spans="14:14" ht="14.25" customHeight="1">
      <c r="N288" s="192">
        <v>0</v>
      </c>
    </row>
    <row r="289" spans="14:14" ht="14.25" customHeight="1">
      <c r="N289" s="192">
        <v>0</v>
      </c>
    </row>
    <row r="290" spans="14:14" ht="14.25" customHeight="1">
      <c r="N290" s="192">
        <v>0</v>
      </c>
    </row>
    <row r="291" spans="14:14" ht="14.25" customHeight="1">
      <c r="N291" s="192">
        <v>0</v>
      </c>
    </row>
    <row r="292" spans="14:14" ht="14.25" customHeight="1">
      <c r="N292" s="192">
        <v>0</v>
      </c>
    </row>
    <row r="293" spans="14:14" ht="14.25" customHeight="1">
      <c r="N293" s="192">
        <v>0</v>
      </c>
    </row>
    <row r="294" spans="14:14" ht="14.25" customHeight="1">
      <c r="N294" s="192">
        <v>0</v>
      </c>
    </row>
    <row r="295" spans="14:14" ht="14.25" customHeight="1">
      <c r="N295" s="192">
        <v>0</v>
      </c>
    </row>
    <row r="296" spans="14:14" ht="14.25" customHeight="1">
      <c r="N296" s="192">
        <v>0</v>
      </c>
    </row>
    <row r="297" spans="14:14" ht="14.25" customHeight="1">
      <c r="N297" s="192">
        <v>0</v>
      </c>
    </row>
    <row r="298" spans="14:14" ht="14.25" customHeight="1">
      <c r="N298" s="192">
        <v>0</v>
      </c>
    </row>
    <row r="299" spans="14:14" ht="14.25" customHeight="1">
      <c r="N299" s="192">
        <v>0</v>
      </c>
    </row>
    <row r="300" spans="14:14" ht="14.25" customHeight="1">
      <c r="N300" s="192">
        <v>0</v>
      </c>
    </row>
    <row r="301" spans="14:14" ht="14.25" customHeight="1">
      <c r="N301" s="192">
        <v>0</v>
      </c>
    </row>
    <row r="302" spans="14:14" ht="14.25" customHeight="1">
      <c r="N302" s="192">
        <v>0</v>
      </c>
    </row>
    <row r="303" spans="14:14" ht="14.25" customHeight="1">
      <c r="N303" s="192">
        <v>0</v>
      </c>
    </row>
    <row r="304" spans="14:14" ht="14.25" customHeight="1">
      <c r="N304" s="192">
        <v>0</v>
      </c>
    </row>
    <row r="305" spans="14:14" ht="14.25" customHeight="1">
      <c r="N305" s="192">
        <v>0</v>
      </c>
    </row>
    <row r="306" spans="14:14" ht="14.25" customHeight="1">
      <c r="N306" s="192">
        <v>0</v>
      </c>
    </row>
    <row r="307" spans="14:14" ht="14.25" customHeight="1">
      <c r="N307" s="192">
        <v>0</v>
      </c>
    </row>
    <row r="308" spans="14:14" ht="14.25" customHeight="1">
      <c r="N308" s="192">
        <v>0</v>
      </c>
    </row>
    <row r="309" spans="14:14" ht="14.25" customHeight="1">
      <c r="N309" s="192">
        <v>0</v>
      </c>
    </row>
    <row r="310" spans="14:14" ht="14.25" customHeight="1">
      <c r="N310" s="192">
        <v>0</v>
      </c>
    </row>
    <row r="311" spans="14:14" ht="14.25" customHeight="1">
      <c r="N311" s="192">
        <v>0</v>
      </c>
    </row>
    <row r="312" spans="14:14" ht="14.25" customHeight="1">
      <c r="N312" s="192">
        <v>0</v>
      </c>
    </row>
    <row r="313" spans="14:14" ht="14.25" customHeight="1">
      <c r="N313" s="192">
        <v>0</v>
      </c>
    </row>
    <row r="314" spans="14:14" ht="14.25" customHeight="1">
      <c r="N314" s="192">
        <v>0</v>
      </c>
    </row>
    <row r="315" spans="14:14" ht="14.25" customHeight="1">
      <c r="N315" s="192">
        <v>0</v>
      </c>
    </row>
    <row r="316" spans="14:14" ht="14.25" customHeight="1">
      <c r="N316" s="192">
        <v>0</v>
      </c>
    </row>
    <row r="317" spans="14:14" ht="14.25" customHeight="1">
      <c r="N317" s="192">
        <v>0</v>
      </c>
    </row>
    <row r="318" spans="14:14" ht="14.25" customHeight="1">
      <c r="N318" s="192">
        <v>0</v>
      </c>
    </row>
    <row r="319" spans="14:14" ht="14.25" customHeight="1">
      <c r="N319" s="192">
        <v>0</v>
      </c>
    </row>
    <row r="320" spans="14:14" ht="14.25" customHeight="1">
      <c r="N320" s="192">
        <v>0</v>
      </c>
    </row>
    <row r="321" spans="14:14" ht="14.25" customHeight="1">
      <c r="N321" s="192">
        <v>0</v>
      </c>
    </row>
    <row r="322" spans="14:14" ht="14.25" customHeight="1">
      <c r="N322" s="192">
        <v>0</v>
      </c>
    </row>
    <row r="323" spans="14:14" ht="14.25" customHeight="1">
      <c r="N323" s="192">
        <v>0</v>
      </c>
    </row>
    <row r="324" spans="14:14" ht="14.25" customHeight="1">
      <c r="N324" s="192">
        <v>0</v>
      </c>
    </row>
    <row r="325" spans="14:14" ht="14.25" customHeight="1">
      <c r="N325" s="192">
        <v>0</v>
      </c>
    </row>
    <row r="326" spans="14:14" ht="14.25" customHeight="1">
      <c r="N326" s="192">
        <v>0</v>
      </c>
    </row>
    <row r="327" spans="14:14" ht="14.25" customHeight="1">
      <c r="N327" s="192">
        <v>0</v>
      </c>
    </row>
    <row r="328" spans="14:14" ht="14.25" customHeight="1">
      <c r="N328" s="192">
        <v>0</v>
      </c>
    </row>
    <row r="329" spans="14:14" ht="14.25" customHeight="1">
      <c r="N329" s="192">
        <v>0</v>
      </c>
    </row>
    <row r="330" spans="14:14" ht="14.25" customHeight="1">
      <c r="N330" s="192">
        <v>0</v>
      </c>
    </row>
    <row r="331" spans="14:14" ht="14.25" customHeight="1">
      <c r="N331" s="192">
        <v>0</v>
      </c>
    </row>
    <row r="332" spans="14:14" ht="14.25" customHeight="1">
      <c r="N332" s="192">
        <v>0</v>
      </c>
    </row>
    <row r="333" spans="14:14" ht="14.25" customHeight="1">
      <c r="N333" s="192">
        <v>0</v>
      </c>
    </row>
    <row r="334" spans="14:14" ht="14.25" customHeight="1">
      <c r="N334" s="192">
        <v>0</v>
      </c>
    </row>
    <row r="335" spans="14:14" ht="14.25" customHeight="1">
      <c r="N335" s="192">
        <v>0</v>
      </c>
    </row>
    <row r="336" spans="14:14" ht="14.25" customHeight="1">
      <c r="N336" s="192">
        <v>0</v>
      </c>
    </row>
    <row r="337" spans="14:14" ht="14.25" customHeight="1">
      <c r="N337" s="192">
        <v>0</v>
      </c>
    </row>
    <row r="338" spans="14:14" ht="14.25" customHeight="1">
      <c r="N338" s="192">
        <v>0</v>
      </c>
    </row>
    <row r="339" spans="14:14" ht="14.25" customHeight="1">
      <c r="N339" s="192">
        <v>0</v>
      </c>
    </row>
    <row r="340" spans="14:14" ht="14.25" customHeight="1">
      <c r="N340" s="192">
        <v>0</v>
      </c>
    </row>
    <row r="341" spans="14:14" ht="14.25" customHeight="1">
      <c r="N341" s="192">
        <v>0</v>
      </c>
    </row>
    <row r="342" spans="14:14" ht="14.25" customHeight="1">
      <c r="N342" s="192">
        <v>0</v>
      </c>
    </row>
    <row r="343" spans="14:14" ht="14.25" customHeight="1">
      <c r="N343" s="192">
        <v>0</v>
      </c>
    </row>
    <row r="344" spans="14:14" ht="14.25" customHeight="1">
      <c r="N344" s="192">
        <v>0</v>
      </c>
    </row>
    <row r="345" spans="14:14" ht="14.25" customHeight="1">
      <c r="N345" s="192">
        <v>0</v>
      </c>
    </row>
    <row r="346" spans="14:14" ht="14.25" customHeight="1">
      <c r="N346" s="192">
        <v>0</v>
      </c>
    </row>
    <row r="347" spans="14:14" ht="14.25" customHeight="1">
      <c r="N347" s="192">
        <v>0</v>
      </c>
    </row>
    <row r="348" spans="14:14" ht="14.25" customHeight="1">
      <c r="N348" s="192">
        <v>0</v>
      </c>
    </row>
    <row r="349" spans="14:14" ht="14.25" customHeight="1">
      <c r="N349" s="192">
        <v>0</v>
      </c>
    </row>
    <row r="350" spans="14:14" ht="14.25" customHeight="1">
      <c r="N350" s="192">
        <v>0</v>
      </c>
    </row>
    <row r="351" spans="14:14" ht="14.25" customHeight="1">
      <c r="N351" s="192">
        <v>0</v>
      </c>
    </row>
    <row r="352" spans="14:14" ht="14.25" customHeight="1">
      <c r="N352" s="192">
        <v>0</v>
      </c>
    </row>
    <row r="353" spans="14:14" ht="14.25" customHeight="1">
      <c r="N353" s="192">
        <v>0</v>
      </c>
    </row>
    <row r="354" spans="14:14" ht="14.25" customHeight="1">
      <c r="N354" s="192">
        <v>0</v>
      </c>
    </row>
    <row r="355" spans="14:14" ht="14.25" customHeight="1">
      <c r="N355" s="192">
        <v>0</v>
      </c>
    </row>
    <row r="356" spans="14:14" ht="14.25" customHeight="1">
      <c r="N356" s="192">
        <v>0</v>
      </c>
    </row>
    <row r="357" spans="14:14" ht="14.25" customHeight="1">
      <c r="N357" s="192">
        <v>0</v>
      </c>
    </row>
    <row r="358" spans="14:14" ht="14.25" customHeight="1">
      <c r="N358" s="192">
        <v>0</v>
      </c>
    </row>
    <row r="359" spans="14:14" ht="14.25" customHeight="1">
      <c r="N359" s="192">
        <v>0</v>
      </c>
    </row>
    <row r="360" spans="14:14" ht="14.25" customHeight="1">
      <c r="N360" s="192">
        <v>0</v>
      </c>
    </row>
    <row r="361" spans="14:14" ht="14.25" customHeight="1">
      <c r="N361" s="192">
        <v>0</v>
      </c>
    </row>
    <row r="362" spans="14:14" ht="14.25" customHeight="1">
      <c r="N362" s="192">
        <v>0</v>
      </c>
    </row>
    <row r="363" spans="14:14" ht="14.25" customHeight="1">
      <c r="N363" s="192">
        <v>0</v>
      </c>
    </row>
    <row r="364" spans="14:14" ht="14.25" customHeight="1">
      <c r="N364" s="192">
        <v>0</v>
      </c>
    </row>
    <row r="365" spans="14:14" ht="14.25" customHeight="1">
      <c r="N365" s="192">
        <v>0</v>
      </c>
    </row>
    <row r="366" spans="14:14" ht="14.25" customHeight="1">
      <c r="N366" s="192">
        <v>0</v>
      </c>
    </row>
    <row r="367" spans="14:14" ht="14.25" customHeight="1">
      <c r="N367" s="192">
        <v>0</v>
      </c>
    </row>
    <row r="368" spans="14:14" ht="14.25" customHeight="1">
      <c r="N368" s="192">
        <v>0</v>
      </c>
    </row>
    <row r="369" spans="14:14" ht="14.25" customHeight="1">
      <c r="N369" s="192">
        <v>0</v>
      </c>
    </row>
    <row r="370" spans="14:14" ht="14.25" customHeight="1">
      <c r="N370" s="192">
        <v>0</v>
      </c>
    </row>
    <row r="371" spans="14:14" ht="14.25" customHeight="1">
      <c r="N371" s="192">
        <v>0</v>
      </c>
    </row>
    <row r="372" spans="14:14" ht="14.25" customHeight="1">
      <c r="N372" s="192">
        <v>0</v>
      </c>
    </row>
    <row r="373" spans="14:14" ht="14.25" customHeight="1">
      <c r="N373" s="192">
        <v>0</v>
      </c>
    </row>
    <row r="374" spans="14:14" ht="14.25" customHeight="1">
      <c r="N374" s="192">
        <v>0</v>
      </c>
    </row>
    <row r="375" spans="14:14" ht="14.25" customHeight="1">
      <c r="N375" s="192">
        <v>0</v>
      </c>
    </row>
    <row r="376" spans="14:14" ht="14.25" customHeight="1">
      <c r="N376" s="192">
        <v>0</v>
      </c>
    </row>
    <row r="377" spans="14:14" ht="14.25" customHeight="1">
      <c r="N377" s="192">
        <v>0</v>
      </c>
    </row>
    <row r="378" spans="14:14" ht="14.25" customHeight="1">
      <c r="N378" s="192">
        <v>0</v>
      </c>
    </row>
    <row r="379" spans="14:14" ht="14.25" customHeight="1">
      <c r="N379" s="192">
        <v>0</v>
      </c>
    </row>
    <row r="380" spans="14:14" ht="14.25" customHeight="1">
      <c r="N380" s="192">
        <v>0</v>
      </c>
    </row>
    <row r="381" spans="14:14" ht="14.25" customHeight="1">
      <c r="N381" s="192">
        <v>0</v>
      </c>
    </row>
    <row r="382" spans="14:14" ht="14.25" customHeight="1">
      <c r="N382" s="192">
        <v>0</v>
      </c>
    </row>
    <row r="383" spans="14:14" ht="14.25" customHeight="1">
      <c r="N383" s="192">
        <v>0</v>
      </c>
    </row>
    <row r="384" spans="14:14" ht="14.25" customHeight="1">
      <c r="N384" s="192">
        <v>0</v>
      </c>
    </row>
    <row r="385" spans="14:14" ht="14.25" customHeight="1">
      <c r="N385" s="192">
        <v>0</v>
      </c>
    </row>
    <row r="386" spans="14:14" ht="14.25" customHeight="1">
      <c r="N386" s="192">
        <v>0</v>
      </c>
    </row>
    <row r="387" spans="14:14" ht="14.25" customHeight="1">
      <c r="N387" s="192">
        <v>0</v>
      </c>
    </row>
    <row r="388" spans="14:14" ht="14.25" customHeight="1">
      <c r="N388" s="192">
        <v>0</v>
      </c>
    </row>
    <row r="389" spans="14:14" ht="14.25" customHeight="1">
      <c r="N389" s="192">
        <v>0</v>
      </c>
    </row>
    <row r="390" spans="14:14" ht="14.25" customHeight="1">
      <c r="N390" s="192">
        <v>0</v>
      </c>
    </row>
    <row r="391" spans="14:14" ht="14.25" customHeight="1">
      <c r="N391" s="192">
        <v>0</v>
      </c>
    </row>
    <row r="392" spans="14:14" ht="14.25" customHeight="1">
      <c r="N392" s="192">
        <v>0</v>
      </c>
    </row>
    <row r="393" spans="14:14" ht="14.25" customHeight="1">
      <c r="N393" s="192">
        <v>0</v>
      </c>
    </row>
    <row r="394" spans="14:14" ht="14.25" customHeight="1">
      <c r="N394" s="192">
        <v>0</v>
      </c>
    </row>
    <row r="395" spans="14:14" ht="14.25" customHeight="1">
      <c r="N395" s="192">
        <v>0</v>
      </c>
    </row>
    <row r="396" spans="14:14" ht="14.25" customHeight="1">
      <c r="N396" s="192">
        <v>0</v>
      </c>
    </row>
    <row r="397" spans="14:14" ht="14.25" customHeight="1">
      <c r="N397" s="192">
        <v>0</v>
      </c>
    </row>
    <row r="398" spans="14:14" ht="14.25" customHeight="1">
      <c r="N398" s="192">
        <v>0</v>
      </c>
    </row>
    <row r="399" spans="14:14" ht="14.25" customHeight="1">
      <c r="N399" s="192">
        <v>0</v>
      </c>
    </row>
    <row r="400" spans="14:14" ht="14.25" customHeight="1">
      <c r="N400" s="192">
        <v>0</v>
      </c>
    </row>
    <row r="401" spans="14:14" ht="14.25" customHeight="1">
      <c r="N401" s="192">
        <v>0</v>
      </c>
    </row>
    <row r="402" spans="14:14" ht="14.25" customHeight="1">
      <c r="N402" s="192">
        <v>0</v>
      </c>
    </row>
    <row r="403" spans="14:14" ht="14.25" customHeight="1">
      <c r="N403" s="192">
        <v>0</v>
      </c>
    </row>
    <row r="404" spans="14:14" ht="14.25" customHeight="1">
      <c r="N404" s="192">
        <v>0</v>
      </c>
    </row>
    <row r="405" spans="14:14" ht="14.25" customHeight="1">
      <c r="N405" s="192">
        <v>0</v>
      </c>
    </row>
    <row r="406" spans="14:14" ht="14.25" customHeight="1">
      <c r="N406" s="192">
        <v>0</v>
      </c>
    </row>
    <row r="407" spans="14:14" ht="14.25" customHeight="1">
      <c r="N407" s="192">
        <v>0</v>
      </c>
    </row>
    <row r="408" spans="14:14" ht="14.25" customHeight="1">
      <c r="N408" s="192">
        <v>0</v>
      </c>
    </row>
    <row r="409" spans="14:14" ht="14.25" customHeight="1">
      <c r="N409" s="192">
        <v>0</v>
      </c>
    </row>
    <row r="410" spans="14:14" ht="14.25" customHeight="1">
      <c r="N410" s="192">
        <v>0</v>
      </c>
    </row>
    <row r="411" spans="14:14" ht="14.25" customHeight="1">
      <c r="N411" s="192">
        <v>0</v>
      </c>
    </row>
    <row r="412" spans="14:14" ht="14.25" customHeight="1">
      <c r="N412" s="192">
        <v>0</v>
      </c>
    </row>
    <row r="413" spans="14:14" ht="14.25" customHeight="1">
      <c r="N413" s="192">
        <v>0</v>
      </c>
    </row>
    <row r="414" spans="14:14" ht="14.25" customHeight="1">
      <c r="N414" s="192">
        <v>0</v>
      </c>
    </row>
    <row r="415" spans="14:14" ht="14.25" customHeight="1">
      <c r="N415" s="192">
        <v>0</v>
      </c>
    </row>
    <row r="416" spans="14:14" ht="14.25" customHeight="1">
      <c r="N416" s="192">
        <v>0</v>
      </c>
    </row>
    <row r="417" spans="14:14" ht="14.25" customHeight="1">
      <c r="N417" s="192">
        <v>0</v>
      </c>
    </row>
    <row r="418" spans="14:14" ht="14.25" customHeight="1">
      <c r="N418" s="192">
        <v>0</v>
      </c>
    </row>
    <row r="419" spans="14:14" ht="14.25" customHeight="1">
      <c r="N419" s="192">
        <v>0</v>
      </c>
    </row>
    <row r="420" spans="14:14" ht="14.25" customHeight="1">
      <c r="N420" s="192">
        <v>0</v>
      </c>
    </row>
    <row r="421" spans="14:14" ht="14.25" customHeight="1">
      <c r="N421" s="192">
        <v>0</v>
      </c>
    </row>
    <row r="422" spans="14:14" ht="14.25" customHeight="1">
      <c r="N422" s="192">
        <v>0</v>
      </c>
    </row>
    <row r="423" spans="14:14" ht="14.25" customHeight="1">
      <c r="N423" s="192">
        <v>0</v>
      </c>
    </row>
    <row r="424" spans="14:14" ht="14.25" customHeight="1">
      <c r="N424" s="192">
        <v>0</v>
      </c>
    </row>
    <row r="425" spans="14:14" ht="14.25" customHeight="1">
      <c r="N425" s="192">
        <v>0</v>
      </c>
    </row>
    <row r="426" spans="14:14" ht="14.25" customHeight="1">
      <c r="N426" s="192">
        <v>0</v>
      </c>
    </row>
    <row r="427" spans="14:14" ht="14.25" customHeight="1">
      <c r="N427" s="192">
        <v>0</v>
      </c>
    </row>
    <row r="428" spans="14:14" ht="14.25" customHeight="1">
      <c r="N428" s="192">
        <v>0</v>
      </c>
    </row>
    <row r="429" spans="14:14" ht="14.25" customHeight="1">
      <c r="N429" s="192">
        <v>0</v>
      </c>
    </row>
    <row r="430" spans="14:14" ht="14.25" customHeight="1">
      <c r="N430" s="192">
        <v>0</v>
      </c>
    </row>
    <row r="431" spans="14:14" ht="14.25" customHeight="1">
      <c r="N431" s="192">
        <v>0</v>
      </c>
    </row>
    <row r="432" spans="14:14" ht="14.25" customHeight="1">
      <c r="N432" s="192">
        <v>0</v>
      </c>
    </row>
    <row r="433" spans="14:14" ht="14.25" customHeight="1">
      <c r="N433" s="192">
        <v>0</v>
      </c>
    </row>
    <row r="434" spans="14:14" ht="14.25" customHeight="1">
      <c r="N434" s="192">
        <v>0</v>
      </c>
    </row>
    <row r="435" spans="14:14" ht="14.25" customHeight="1">
      <c r="N435" s="192">
        <v>0</v>
      </c>
    </row>
    <row r="436" spans="14:14" ht="14.25" customHeight="1">
      <c r="N436" s="192">
        <v>0</v>
      </c>
    </row>
    <row r="437" spans="14:14" ht="14.25" customHeight="1">
      <c r="N437" s="192">
        <v>0</v>
      </c>
    </row>
    <row r="438" spans="14:14" ht="14.25" customHeight="1">
      <c r="N438" s="192">
        <v>0</v>
      </c>
    </row>
    <row r="439" spans="14:14" ht="14.25" customHeight="1">
      <c r="N439" s="192">
        <v>0</v>
      </c>
    </row>
    <row r="440" spans="14:14" ht="14.25" customHeight="1">
      <c r="N440" s="192">
        <v>0</v>
      </c>
    </row>
    <row r="441" spans="14:14" ht="14.25" customHeight="1">
      <c r="N441" s="192">
        <v>0</v>
      </c>
    </row>
    <row r="442" spans="14:14" ht="14.25" customHeight="1">
      <c r="N442" s="192">
        <v>0</v>
      </c>
    </row>
    <row r="443" spans="14:14" ht="14.25" customHeight="1">
      <c r="N443" s="192">
        <v>0</v>
      </c>
    </row>
    <row r="444" spans="14:14" ht="14.25" customHeight="1">
      <c r="N444" s="192">
        <v>0</v>
      </c>
    </row>
    <row r="445" spans="14:14" ht="14.25" customHeight="1">
      <c r="N445" s="192">
        <v>0</v>
      </c>
    </row>
    <row r="446" spans="14:14" ht="14.25" customHeight="1">
      <c r="N446" s="192">
        <v>0</v>
      </c>
    </row>
    <row r="447" spans="14:14" ht="14.25" customHeight="1">
      <c r="N447" s="192">
        <v>0</v>
      </c>
    </row>
    <row r="448" spans="14:14" ht="14.25" customHeight="1">
      <c r="N448" s="192">
        <v>0</v>
      </c>
    </row>
    <row r="449" spans="14:14" ht="14.25" customHeight="1">
      <c r="N449" s="192">
        <v>0</v>
      </c>
    </row>
    <row r="450" spans="14:14" ht="14.25" customHeight="1">
      <c r="N450" s="192">
        <v>0</v>
      </c>
    </row>
    <row r="451" spans="14:14" ht="14.25" customHeight="1">
      <c r="N451" s="192">
        <v>0</v>
      </c>
    </row>
    <row r="452" spans="14:14" ht="14.25" customHeight="1">
      <c r="N452" s="192">
        <v>0</v>
      </c>
    </row>
    <row r="453" spans="14:14" ht="14.25" customHeight="1">
      <c r="N453" s="192">
        <v>0</v>
      </c>
    </row>
    <row r="454" spans="14:14" ht="14.25" customHeight="1">
      <c r="N454" s="192">
        <v>0</v>
      </c>
    </row>
    <row r="455" spans="14:14" ht="14.25" customHeight="1">
      <c r="N455" s="192">
        <v>0</v>
      </c>
    </row>
    <row r="456" spans="14:14" ht="14.25" customHeight="1">
      <c r="N456" s="192">
        <v>0</v>
      </c>
    </row>
    <row r="457" spans="14:14" ht="14.25" customHeight="1">
      <c r="N457" s="192">
        <v>0</v>
      </c>
    </row>
    <row r="458" spans="14:14" ht="14.25" customHeight="1">
      <c r="N458" s="192">
        <v>0</v>
      </c>
    </row>
    <row r="459" spans="14:14" ht="14.25" customHeight="1">
      <c r="N459" s="192">
        <v>0</v>
      </c>
    </row>
    <row r="460" spans="14:14" ht="14.25" customHeight="1">
      <c r="N460" s="192">
        <v>0</v>
      </c>
    </row>
    <row r="461" spans="14:14" ht="14.25" customHeight="1">
      <c r="N461" s="192">
        <v>0</v>
      </c>
    </row>
    <row r="462" spans="14:14" ht="14.25" customHeight="1">
      <c r="N462" s="192">
        <v>0</v>
      </c>
    </row>
    <row r="463" spans="14:14" ht="14.25" customHeight="1">
      <c r="N463" s="192">
        <v>0</v>
      </c>
    </row>
    <row r="464" spans="14:14" ht="14.25" customHeight="1">
      <c r="N464" s="192">
        <v>0</v>
      </c>
    </row>
    <row r="465" spans="14:14" ht="14.25" customHeight="1">
      <c r="N465" s="192">
        <v>0</v>
      </c>
    </row>
    <row r="466" spans="14:14" ht="14.25" customHeight="1">
      <c r="N466" s="192">
        <v>0</v>
      </c>
    </row>
    <row r="467" spans="14:14" ht="14.25" customHeight="1">
      <c r="N467" s="192">
        <v>0</v>
      </c>
    </row>
    <row r="468" spans="14:14" ht="14.25" customHeight="1">
      <c r="N468" s="192">
        <v>0</v>
      </c>
    </row>
    <row r="469" spans="14:14" ht="14.25" customHeight="1">
      <c r="N469" s="192">
        <v>0</v>
      </c>
    </row>
    <row r="470" spans="14:14" ht="14.25" customHeight="1">
      <c r="N470" s="192">
        <v>0</v>
      </c>
    </row>
    <row r="471" spans="14:14" ht="14.25" customHeight="1">
      <c r="N471" s="192">
        <v>0</v>
      </c>
    </row>
    <row r="472" spans="14:14" ht="14.25" customHeight="1">
      <c r="N472" s="192">
        <v>0</v>
      </c>
    </row>
    <row r="473" spans="14:14" ht="14.25" customHeight="1">
      <c r="N473" s="192">
        <v>0</v>
      </c>
    </row>
    <row r="474" spans="14:14" ht="14.25" customHeight="1">
      <c r="N474" s="192">
        <v>0</v>
      </c>
    </row>
    <row r="475" spans="14:14" ht="14.25" customHeight="1">
      <c r="N475" s="192">
        <v>0</v>
      </c>
    </row>
    <row r="476" spans="14:14" ht="14.25" customHeight="1">
      <c r="N476" s="192">
        <v>0</v>
      </c>
    </row>
    <row r="477" spans="14:14" ht="14.25" customHeight="1">
      <c r="N477" s="192">
        <v>0</v>
      </c>
    </row>
    <row r="478" spans="14:14" ht="14.25" customHeight="1">
      <c r="N478" s="192">
        <v>0</v>
      </c>
    </row>
    <row r="479" spans="14:14" ht="14.25" customHeight="1">
      <c r="N479" s="192">
        <v>0</v>
      </c>
    </row>
    <row r="480" spans="14:14" ht="14.25" customHeight="1">
      <c r="N480" s="192">
        <v>0</v>
      </c>
    </row>
    <row r="481" spans="14:14" ht="14.25" customHeight="1">
      <c r="N481" s="192">
        <v>0</v>
      </c>
    </row>
    <row r="482" spans="14:14" ht="14.25" customHeight="1">
      <c r="N482" s="192">
        <v>0</v>
      </c>
    </row>
    <row r="483" spans="14:14" ht="14.25" customHeight="1">
      <c r="N483" s="192">
        <v>0</v>
      </c>
    </row>
    <row r="484" spans="14:14" ht="14.25" customHeight="1">
      <c r="N484" s="192">
        <v>0</v>
      </c>
    </row>
    <row r="485" spans="14:14" ht="14.25" customHeight="1">
      <c r="N485" s="192">
        <v>0</v>
      </c>
    </row>
    <row r="486" spans="14:14" ht="14.25" customHeight="1">
      <c r="N486" s="192">
        <v>0</v>
      </c>
    </row>
    <row r="487" spans="14:14" ht="14.25" customHeight="1">
      <c r="N487" s="192">
        <v>0</v>
      </c>
    </row>
    <row r="488" spans="14:14" ht="14.25" customHeight="1">
      <c r="N488" s="192">
        <v>0</v>
      </c>
    </row>
    <row r="489" spans="14:14" ht="14.25" customHeight="1">
      <c r="N489" s="192">
        <v>0</v>
      </c>
    </row>
    <row r="490" spans="14:14" ht="14.25" customHeight="1">
      <c r="N490" s="192">
        <v>0</v>
      </c>
    </row>
    <row r="491" spans="14:14" ht="14.25" customHeight="1">
      <c r="N491" s="192">
        <v>0</v>
      </c>
    </row>
    <row r="492" spans="14:14" ht="14.25" customHeight="1">
      <c r="N492" s="192">
        <v>0</v>
      </c>
    </row>
    <row r="493" spans="14:14" ht="14.25" customHeight="1">
      <c r="N493" s="192">
        <v>0</v>
      </c>
    </row>
    <row r="494" spans="14:14" ht="14.25" customHeight="1">
      <c r="N494" s="192">
        <v>0</v>
      </c>
    </row>
    <row r="495" spans="14:14" ht="14.25" customHeight="1">
      <c r="N495" s="192">
        <v>0</v>
      </c>
    </row>
    <row r="496" spans="14:14" ht="14.25" customHeight="1">
      <c r="N496" s="192">
        <v>0</v>
      </c>
    </row>
    <row r="497" spans="14:14" ht="14.25" customHeight="1">
      <c r="N497" s="192">
        <v>0</v>
      </c>
    </row>
    <row r="498" spans="14:14" ht="14.25" customHeight="1">
      <c r="N498" s="192">
        <v>0</v>
      </c>
    </row>
    <row r="499" spans="14:14" ht="14.25" customHeight="1">
      <c r="N499" s="192">
        <v>0</v>
      </c>
    </row>
    <row r="500" spans="14:14" ht="14.25" customHeight="1">
      <c r="N500" s="192">
        <v>0</v>
      </c>
    </row>
    <row r="501" spans="14:14" ht="14.25" customHeight="1">
      <c r="N501" s="192">
        <v>0</v>
      </c>
    </row>
    <row r="502" spans="14:14" ht="14.25" customHeight="1">
      <c r="N502" s="192">
        <v>0</v>
      </c>
    </row>
    <row r="503" spans="14:14" ht="14.25" customHeight="1">
      <c r="N503" s="192">
        <v>0</v>
      </c>
    </row>
    <row r="504" spans="14:14" ht="14.25" customHeight="1">
      <c r="N504" s="192">
        <v>0</v>
      </c>
    </row>
    <row r="505" spans="14:14" ht="14.25" customHeight="1">
      <c r="N505" s="192">
        <v>0</v>
      </c>
    </row>
    <row r="506" spans="14:14" ht="14.25" customHeight="1">
      <c r="N506" s="192">
        <v>0</v>
      </c>
    </row>
    <row r="507" spans="14:14" ht="14.25" customHeight="1">
      <c r="N507" s="192">
        <v>0</v>
      </c>
    </row>
    <row r="508" spans="14:14" ht="14.25" customHeight="1">
      <c r="N508" s="192">
        <v>0</v>
      </c>
    </row>
    <row r="509" spans="14:14" ht="14.25" customHeight="1">
      <c r="N509" s="192">
        <v>0</v>
      </c>
    </row>
    <row r="510" spans="14:14" ht="14.25" customHeight="1">
      <c r="N510" s="192">
        <v>0</v>
      </c>
    </row>
    <row r="511" spans="14:14" ht="14.25" customHeight="1">
      <c r="N511" s="192">
        <v>0</v>
      </c>
    </row>
    <row r="512" spans="14:14" ht="14.25" customHeight="1">
      <c r="N512" s="192">
        <v>0</v>
      </c>
    </row>
    <row r="513" spans="14:14" ht="14.25" customHeight="1">
      <c r="N513" s="192">
        <v>0</v>
      </c>
    </row>
    <row r="514" spans="14:14" ht="14.25" customHeight="1">
      <c r="N514" s="192">
        <v>0</v>
      </c>
    </row>
    <row r="515" spans="14:14" ht="14.25" customHeight="1">
      <c r="N515" s="192">
        <v>0</v>
      </c>
    </row>
    <row r="516" spans="14:14" ht="14.25" customHeight="1">
      <c r="N516" s="192">
        <v>0</v>
      </c>
    </row>
    <row r="517" spans="14:14" ht="14.25" customHeight="1">
      <c r="N517" s="192">
        <v>0</v>
      </c>
    </row>
    <row r="518" spans="14:14" ht="14.25" customHeight="1">
      <c r="N518" s="192">
        <v>0</v>
      </c>
    </row>
    <row r="519" spans="14:14" ht="14.25" customHeight="1">
      <c r="N519" s="192">
        <v>0</v>
      </c>
    </row>
    <row r="520" spans="14:14" ht="14.25" customHeight="1">
      <c r="N520" s="192">
        <v>0</v>
      </c>
    </row>
    <row r="521" spans="14:14" ht="14.25" customHeight="1">
      <c r="N521" s="192">
        <v>0</v>
      </c>
    </row>
    <row r="522" spans="14:14" ht="14.25" customHeight="1">
      <c r="N522" s="192">
        <v>0</v>
      </c>
    </row>
    <row r="523" spans="14:14" ht="14.25" customHeight="1">
      <c r="N523" s="192">
        <v>0</v>
      </c>
    </row>
    <row r="524" spans="14:14" ht="14.25" customHeight="1">
      <c r="N524" s="192">
        <v>0</v>
      </c>
    </row>
    <row r="525" spans="14:14" ht="14.25" customHeight="1">
      <c r="N525" s="192">
        <v>0</v>
      </c>
    </row>
    <row r="526" spans="14:14" ht="14.25" customHeight="1">
      <c r="N526" s="192">
        <v>0</v>
      </c>
    </row>
    <row r="527" spans="14:14" ht="14.25" customHeight="1">
      <c r="N527" s="192">
        <v>0</v>
      </c>
    </row>
    <row r="528" spans="14:14" ht="14.25" customHeight="1">
      <c r="N528" s="192">
        <v>0</v>
      </c>
    </row>
    <row r="529" spans="14:14" ht="14.25" customHeight="1">
      <c r="N529" s="192">
        <v>0</v>
      </c>
    </row>
    <row r="530" spans="14:14" ht="14.25" customHeight="1">
      <c r="N530" s="192">
        <v>0</v>
      </c>
    </row>
    <row r="531" spans="14:14" ht="14.25" customHeight="1">
      <c r="N531" s="192">
        <v>0</v>
      </c>
    </row>
    <row r="532" spans="14:14" ht="14.25" customHeight="1">
      <c r="N532" s="192">
        <v>0</v>
      </c>
    </row>
    <row r="533" spans="14:14" ht="14.25" customHeight="1">
      <c r="N533" s="192">
        <v>0</v>
      </c>
    </row>
    <row r="534" spans="14:14" ht="14.25" customHeight="1">
      <c r="N534" s="192">
        <v>0</v>
      </c>
    </row>
    <row r="535" spans="14:14" ht="14.25" customHeight="1">
      <c r="N535" s="192">
        <v>0</v>
      </c>
    </row>
    <row r="536" spans="14:14" ht="14.25" customHeight="1">
      <c r="N536" s="192">
        <v>0</v>
      </c>
    </row>
    <row r="537" spans="14:14" ht="14.25" customHeight="1">
      <c r="N537" s="192">
        <v>0</v>
      </c>
    </row>
    <row r="538" spans="14:14" ht="14.25" customHeight="1">
      <c r="N538" s="192">
        <v>0</v>
      </c>
    </row>
    <row r="539" spans="14:14" ht="14.25" customHeight="1">
      <c r="N539" s="192">
        <v>0</v>
      </c>
    </row>
    <row r="540" spans="14:14" ht="14.25" customHeight="1">
      <c r="N540" s="192">
        <v>0</v>
      </c>
    </row>
    <row r="541" spans="14:14" ht="14.25" customHeight="1">
      <c r="N541" s="192">
        <v>0</v>
      </c>
    </row>
    <row r="542" spans="14:14" ht="14.25" customHeight="1">
      <c r="N542" s="192">
        <v>0</v>
      </c>
    </row>
    <row r="543" spans="14:14" ht="14.25" customHeight="1">
      <c r="N543" s="192">
        <v>0</v>
      </c>
    </row>
    <row r="544" spans="14:14" ht="14.25" customHeight="1">
      <c r="N544" s="192">
        <v>0</v>
      </c>
    </row>
    <row r="545" spans="14:14" ht="14.25" customHeight="1">
      <c r="N545" s="192">
        <v>0</v>
      </c>
    </row>
    <row r="546" spans="14:14" ht="14.25" customHeight="1">
      <c r="N546" s="192">
        <v>0</v>
      </c>
    </row>
    <row r="547" spans="14:14" ht="14.25" customHeight="1">
      <c r="N547" s="192">
        <v>0</v>
      </c>
    </row>
    <row r="548" spans="14:14" ht="14.25" customHeight="1">
      <c r="N548" s="192">
        <v>0</v>
      </c>
    </row>
    <row r="549" spans="14:14" ht="14.25" customHeight="1">
      <c r="N549" s="192">
        <v>0</v>
      </c>
    </row>
    <row r="550" spans="14:14" ht="14.25" customHeight="1">
      <c r="N550" s="192">
        <v>0</v>
      </c>
    </row>
    <row r="551" spans="14:14" ht="14.25" customHeight="1">
      <c r="N551" s="192">
        <v>0</v>
      </c>
    </row>
    <row r="552" spans="14:14" ht="14.25" customHeight="1">
      <c r="N552" s="192">
        <v>0</v>
      </c>
    </row>
    <row r="553" spans="14:14" ht="14.25" customHeight="1">
      <c r="N553" s="192">
        <v>0</v>
      </c>
    </row>
    <row r="554" spans="14:14" ht="14.25" customHeight="1">
      <c r="N554" s="192">
        <v>0</v>
      </c>
    </row>
    <row r="555" spans="14:14" ht="14.25" customHeight="1">
      <c r="N555" s="192">
        <v>0</v>
      </c>
    </row>
    <row r="556" spans="14:14" ht="14.25" customHeight="1">
      <c r="N556" s="192">
        <v>0</v>
      </c>
    </row>
    <row r="557" spans="14:14" ht="14.25" customHeight="1">
      <c r="N557" s="192">
        <v>0</v>
      </c>
    </row>
    <row r="558" spans="14:14" ht="14.25" customHeight="1">
      <c r="N558" s="192">
        <v>0</v>
      </c>
    </row>
    <row r="559" spans="14:14" ht="14.25" customHeight="1">
      <c r="N559" s="192">
        <v>0</v>
      </c>
    </row>
    <row r="560" spans="14:14" ht="14.25" customHeight="1">
      <c r="N560" s="192">
        <v>0</v>
      </c>
    </row>
    <row r="561" spans="14:14" ht="14.25" customHeight="1">
      <c r="N561" s="192">
        <v>0</v>
      </c>
    </row>
    <row r="562" spans="14:14" ht="14.25" customHeight="1">
      <c r="N562" s="192">
        <v>0</v>
      </c>
    </row>
    <row r="563" spans="14:14" ht="14.25" customHeight="1">
      <c r="N563" s="192">
        <v>0</v>
      </c>
    </row>
    <row r="564" spans="14:14" ht="14.25" customHeight="1">
      <c r="N564" s="192">
        <v>0</v>
      </c>
    </row>
    <row r="565" spans="14:14" ht="14.25" customHeight="1">
      <c r="N565" s="192">
        <v>0</v>
      </c>
    </row>
    <row r="566" spans="14:14" ht="14.25" customHeight="1">
      <c r="N566" s="192">
        <v>0</v>
      </c>
    </row>
    <row r="567" spans="14:14" ht="14.25" customHeight="1">
      <c r="N567" s="192">
        <v>0</v>
      </c>
    </row>
    <row r="568" spans="14:14" ht="14.25" customHeight="1">
      <c r="N568" s="192">
        <v>0</v>
      </c>
    </row>
    <row r="569" spans="14:14" ht="14.25" customHeight="1">
      <c r="N569" s="192">
        <v>0</v>
      </c>
    </row>
    <row r="570" spans="14:14" ht="14.25" customHeight="1">
      <c r="N570" s="192">
        <v>0</v>
      </c>
    </row>
    <row r="571" spans="14:14" ht="14.25" customHeight="1">
      <c r="N571" s="192">
        <v>0</v>
      </c>
    </row>
    <row r="572" spans="14:14" ht="14.25" customHeight="1">
      <c r="N572" s="192">
        <v>0</v>
      </c>
    </row>
    <row r="573" spans="14:14" ht="14.25" customHeight="1">
      <c r="N573" s="192">
        <v>0</v>
      </c>
    </row>
    <row r="574" spans="14:14" ht="14.25" customHeight="1">
      <c r="N574" s="192">
        <v>0</v>
      </c>
    </row>
    <row r="575" spans="14:14" ht="14.25" customHeight="1">
      <c r="N575" s="192">
        <v>0</v>
      </c>
    </row>
    <row r="576" spans="14:14" ht="14.25" customHeight="1">
      <c r="N576" s="192">
        <v>0</v>
      </c>
    </row>
    <row r="577" spans="14:14" ht="14.25" customHeight="1">
      <c r="N577" s="192">
        <v>0</v>
      </c>
    </row>
    <row r="578" spans="14:14" ht="14.25" customHeight="1">
      <c r="N578" s="192">
        <v>0</v>
      </c>
    </row>
    <row r="579" spans="14:14" ht="14.25" customHeight="1">
      <c r="N579" s="192">
        <v>0</v>
      </c>
    </row>
    <row r="580" spans="14:14" ht="14.25" customHeight="1">
      <c r="N580" s="192">
        <v>0</v>
      </c>
    </row>
    <row r="581" spans="14:14" ht="14.25" customHeight="1">
      <c r="N581" s="192">
        <v>0</v>
      </c>
    </row>
    <row r="582" spans="14:14" ht="14.25" customHeight="1">
      <c r="N582" s="192">
        <v>0</v>
      </c>
    </row>
    <row r="583" spans="14:14" ht="14.25" customHeight="1">
      <c r="N583" s="192">
        <v>0</v>
      </c>
    </row>
    <row r="584" spans="14:14" ht="14.25" customHeight="1">
      <c r="N584" s="192">
        <v>0</v>
      </c>
    </row>
    <row r="585" spans="14:14" ht="14.25" customHeight="1">
      <c r="N585" s="192">
        <v>0</v>
      </c>
    </row>
    <row r="586" spans="14:14" ht="14.25" customHeight="1">
      <c r="N586" s="192">
        <v>0</v>
      </c>
    </row>
    <row r="587" spans="14:14" ht="14.25" customHeight="1">
      <c r="N587" s="192">
        <v>0</v>
      </c>
    </row>
    <row r="588" spans="14:14" ht="14.25" customHeight="1">
      <c r="N588" s="192">
        <v>0</v>
      </c>
    </row>
    <row r="589" spans="14:14" ht="14.25" customHeight="1">
      <c r="N589" s="192">
        <v>0</v>
      </c>
    </row>
    <row r="590" spans="14:14" ht="14.25" customHeight="1">
      <c r="N590" s="192">
        <v>0</v>
      </c>
    </row>
    <row r="591" spans="14:14" ht="14.25" customHeight="1">
      <c r="N591" s="192">
        <v>0</v>
      </c>
    </row>
    <row r="592" spans="14:14" ht="14.25" customHeight="1">
      <c r="N592" s="192">
        <v>0</v>
      </c>
    </row>
    <row r="593" spans="14:14" ht="14.25" customHeight="1">
      <c r="N593" s="192">
        <v>0</v>
      </c>
    </row>
    <row r="594" spans="14:14" ht="14.25" customHeight="1">
      <c r="N594" s="192">
        <v>0</v>
      </c>
    </row>
    <row r="595" spans="14:14" ht="14.25" customHeight="1">
      <c r="N595" s="192">
        <v>0</v>
      </c>
    </row>
    <row r="596" spans="14:14" ht="14.25" customHeight="1">
      <c r="N596" s="192">
        <v>0</v>
      </c>
    </row>
    <row r="597" spans="14:14" ht="14.25" customHeight="1">
      <c r="N597" s="192">
        <v>0</v>
      </c>
    </row>
    <row r="598" spans="14:14" ht="14.25" customHeight="1">
      <c r="N598" s="192">
        <v>0</v>
      </c>
    </row>
    <row r="599" spans="14:14" ht="14.25" customHeight="1">
      <c r="N599" s="192">
        <v>0</v>
      </c>
    </row>
    <row r="600" spans="14:14" ht="14.25" customHeight="1">
      <c r="N600" s="192">
        <v>0</v>
      </c>
    </row>
    <row r="601" spans="14:14" ht="14.25" customHeight="1">
      <c r="N601" s="192">
        <v>0</v>
      </c>
    </row>
    <row r="602" spans="14:14" ht="14.25" customHeight="1">
      <c r="N602" s="192">
        <v>0</v>
      </c>
    </row>
    <row r="603" spans="14:14" ht="14.25" customHeight="1">
      <c r="N603" s="192">
        <v>0</v>
      </c>
    </row>
    <row r="604" spans="14:14" ht="14.25" customHeight="1">
      <c r="N604" s="192">
        <v>0</v>
      </c>
    </row>
    <row r="605" spans="14:14" ht="14.25" customHeight="1">
      <c r="N605" s="192">
        <v>0</v>
      </c>
    </row>
    <row r="606" spans="14:14" ht="14.25" customHeight="1">
      <c r="N606" s="192">
        <v>0</v>
      </c>
    </row>
    <row r="607" spans="14:14" ht="14.25" customHeight="1">
      <c r="N607" s="192">
        <v>0</v>
      </c>
    </row>
    <row r="608" spans="14:14" ht="14.25" customHeight="1">
      <c r="N608" s="192">
        <v>0</v>
      </c>
    </row>
    <row r="609" spans="14:14" ht="14.25" customHeight="1">
      <c r="N609" s="192">
        <v>0</v>
      </c>
    </row>
    <row r="610" spans="14:14" ht="14.25" customHeight="1">
      <c r="N610" s="192">
        <v>0</v>
      </c>
    </row>
    <row r="611" spans="14:14" ht="14.25" customHeight="1">
      <c r="N611" s="192">
        <v>0</v>
      </c>
    </row>
    <row r="612" spans="14:14" ht="14.25" customHeight="1">
      <c r="N612" s="192">
        <v>0</v>
      </c>
    </row>
    <row r="613" spans="14:14" ht="14.25" customHeight="1">
      <c r="N613" s="192">
        <v>0</v>
      </c>
    </row>
    <row r="614" spans="14:14" ht="14.25" customHeight="1">
      <c r="N614" s="192">
        <v>0</v>
      </c>
    </row>
    <row r="615" spans="14:14" ht="14.25" customHeight="1">
      <c r="N615" s="192">
        <v>0</v>
      </c>
    </row>
    <row r="616" spans="14:14" ht="14.25" customHeight="1">
      <c r="N616" s="192">
        <v>0</v>
      </c>
    </row>
    <row r="617" spans="14:14" ht="14.25" customHeight="1">
      <c r="N617" s="192">
        <v>0</v>
      </c>
    </row>
    <row r="618" spans="14:14" ht="14.25" customHeight="1">
      <c r="N618" s="192">
        <v>0</v>
      </c>
    </row>
    <row r="619" spans="14:14" ht="14.25" customHeight="1">
      <c r="N619" s="192">
        <v>0</v>
      </c>
    </row>
    <row r="620" spans="14:14" ht="14.25" customHeight="1">
      <c r="N620" s="192">
        <v>0</v>
      </c>
    </row>
    <row r="621" spans="14:14" ht="14.25" customHeight="1">
      <c r="N621" s="192">
        <v>0</v>
      </c>
    </row>
    <row r="622" spans="14:14" ht="14.25" customHeight="1">
      <c r="N622" s="192">
        <v>0</v>
      </c>
    </row>
    <row r="623" spans="14:14" ht="14.25" customHeight="1">
      <c r="N623" s="192">
        <v>0</v>
      </c>
    </row>
    <row r="624" spans="14:14" ht="14.25" customHeight="1">
      <c r="N624" s="192">
        <v>0</v>
      </c>
    </row>
    <row r="625" spans="14:14" ht="14.25" customHeight="1">
      <c r="N625" s="192">
        <v>0</v>
      </c>
    </row>
    <row r="626" spans="14:14" ht="14.25" customHeight="1">
      <c r="N626" s="192">
        <v>0</v>
      </c>
    </row>
    <row r="627" spans="14:14" ht="14.25" customHeight="1">
      <c r="N627" s="192">
        <v>0</v>
      </c>
    </row>
    <row r="628" spans="14:14" ht="14.25" customHeight="1">
      <c r="N628" s="192">
        <v>0</v>
      </c>
    </row>
    <row r="629" spans="14:14" ht="14.25" customHeight="1">
      <c r="N629" s="192">
        <v>0</v>
      </c>
    </row>
    <row r="630" spans="14:14" ht="14.25" customHeight="1">
      <c r="N630" s="192">
        <v>0</v>
      </c>
    </row>
    <row r="631" spans="14:14" ht="14.25" customHeight="1">
      <c r="N631" s="192">
        <v>0</v>
      </c>
    </row>
    <row r="632" spans="14:14" ht="14.25" customHeight="1">
      <c r="N632" s="192">
        <v>0</v>
      </c>
    </row>
    <row r="633" spans="14:14" ht="14.25" customHeight="1">
      <c r="N633" s="192">
        <v>0</v>
      </c>
    </row>
    <row r="634" spans="14:14" ht="14.25" customHeight="1">
      <c r="N634" s="192">
        <v>0</v>
      </c>
    </row>
    <row r="635" spans="14:14" ht="14.25" customHeight="1">
      <c r="N635" s="192">
        <v>0</v>
      </c>
    </row>
    <row r="636" spans="14:14" ht="14.25" customHeight="1">
      <c r="N636" s="192">
        <v>0</v>
      </c>
    </row>
    <row r="637" spans="14:14" ht="14.25" customHeight="1">
      <c r="N637" s="192">
        <v>0</v>
      </c>
    </row>
    <row r="638" spans="14:14" ht="14.25" customHeight="1">
      <c r="N638" s="192">
        <v>0</v>
      </c>
    </row>
    <row r="639" spans="14:14" ht="14.25" customHeight="1">
      <c r="N639" s="192">
        <v>0</v>
      </c>
    </row>
    <row r="640" spans="14:14" ht="14.25" customHeight="1">
      <c r="N640" s="192">
        <v>0</v>
      </c>
    </row>
    <row r="641" spans="14:14" ht="14.25" customHeight="1">
      <c r="N641" s="192">
        <v>0</v>
      </c>
    </row>
    <row r="642" spans="14:14" ht="14.25" customHeight="1">
      <c r="N642" s="192">
        <v>0</v>
      </c>
    </row>
    <row r="643" spans="14:14" ht="14.25" customHeight="1">
      <c r="N643" s="192">
        <v>0</v>
      </c>
    </row>
    <row r="644" spans="14:14" ht="14.25" customHeight="1">
      <c r="N644" s="192">
        <v>0</v>
      </c>
    </row>
    <row r="645" spans="14:14" ht="14.25" customHeight="1">
      <c r="N645" s="192">
        <v>0</v>
      </c>
    </row>
    <row r="646" spans="14:14" ht="14.25" customHeight="1">
      <c r="N646" s="192">
        <v>0</v>
      </c>
    </row>
    <row r="647" spans="14:14" ht="14.25" customHeight="1">
      <c r="N647" s="192">
        <v>0</v>
      </c>
    </row>
    <row r="648" spans="14:14" ht="14.25" customHeight="1">
      <c r="N648" s="192">
        <v>0</v>
      </c>
    </row>
    <row r="649" spans="14:14" ht="14.25" customHeight="1">
      <c r="N649" s="192">
        <v>0</v>
      </c>
    </row>
    <row r="650" spans="14:14" ht="14.25" customHeight="1">
      <c r="N650" s="192">
        <v>0</v>
      </c>
    </row>
    <row r="651" spans="14:14" ht="14.25" customHeight="1">
      <c r="N651" s="192">
        <v>0</v>
      </c>
    </row>
    <row r="652" spans="14:14" ht="14.25" customHeight="1">
      <c r="N652" s="192">
        <v>0</v>
      </c>
    </row>
    <row r="653" spans="14:14" ht="14.25" customHeight="1">
      <c r="N653" s="192">
        <v>0</v>
      </c>
    </row>
    <row r="654" spans="14:14" ht="14.25" customHeight="1">
      <c r="N654" s="192">
        <v>0</v>
      </c>
    </row>
    <row r="655" spans="14:14" ht="14.25" customHeight="1">
      <c r="N655" s="192">
        <v>0</v>
      </c>
    </row>
    <row r="656" spans="14:14" ht="14.25" customHeight="1">
      <c r="N656" s="192">
        <v>0</v>
      </c>
    </row>
    <row r="657" spans="14:14" ht="14.25" customHeight="1">
      <c r="N657" s="192">
        <v>0</v>
      </c>
    </row>
    <row r="658" spans="14:14" ht="14.25" customHeight="1">
      <c r="N658" s="192">
        <v>0</v>
      </c>
    </row>
    <row r="659" spans="14:14" ht="14.25" customHeight="1">
      <c r="N659" s="192">
        <v>0</v>
      </c>
    </row>
    <row r="660" spans="14:14" ht="14.25" customHeight="1">
      <c r="N660" s="192">
        <v>0</v>
      </c>
    </row>
    <row r="661" spans="14:14" ht="14.25" customHeight="1">
      <c r="N661" s="192">
        <v>0</v>
      </c>
    </row>
    <row r="662" spans="14:14" ht="14.25" customHeight="1">
      <c r="N662" s="192">
        <v>0</v>
      </c>
    </row>
    <row r="663" spans="14:14" ht="14.25" customHeight="1">
      <c r="N663" s="192">
        <v>0</v>
      </c>
    </row>
    <row r="664" spans="14:14" ht="14.25" customHeight="1">
      <c r="N664" s="192">
        <v>0</v>
      </c>
    </row>
    <row r="665" spans="14:14" ht="14.25" customHeight="1">
      <c r="N665" s="192">
        <v>0</v>
      </c>
    </row>
    <row r="666" spans="14:14" ht="14.25" customHeight="1">
      <c r="N666" s="192">
        <v>0</v>
      </c>
    </row>
    <row r="667" spans="14:14" ht="14.25" customHeight="1">
      <c r="N667" s="192">
        <v>0</v>
      </c>
    </row>
    <row r="668" spans="14:14" ht="14.25" customHeight="1">
      <c r="N668" s="192">
        <v>0</v>
      </c>
    </row>
    <row r="669" spans="14:14" ht="14.25" customHeight="1">
      <c r="N669" s="192">
        <v>0</v>
      </c>
    </row>
    <row r="670" spans="14:14" ht="14.25" customHeight="1">
      <c r="N670" s="192">
        <v>0</v>
      </c>
    </row>
    <row r="671" spans="14:14" ht="14.25" customHeight="1">
      <c r="N671" s="192">
        <v>0</v>
      </c>
    </row>
    <row r="672" spans="14:14" ht="14.25" customHeight="1">
      <c r="N672" s="192">
        <v>0</v>
      </c>
    </row>
    <row r="673" spans="14:14" ht="14.25" customHeight="1">
      <c r="N673" s="192">
        <v>0</v>
      </c>
    </row>
    <row r="674" spans="14:14" ht="14.25" customHeight="1">
      <c r="N674" s="192">
        <v>0</v>
      </c>
    </row>
    <row r="675" spans="14:14" ht="14.25" customHeight="1">
      <c r="N675" s="192">
        <v>0</v>
      </c>
    </row>
    <row r="676" spans="14:14" ht="14.25" customHeight="1">
      <c r="N676" s="192">
        <v>0</v>
      </c>
    </row>
    <row r="677" spans="14:14" ht="14.25" customHeight="1">
      <c r="N677" s="192">
        <v>0</v>
      </c>
    </row>
    <row r="678" spans="14:14" ht="14.25" customHeight="1">
      <c r="N678" s="192">
        <v>0</v>
      </c>
    </row>
    <row r="679" spans="14:14" ht="14.25" customHeight="1">
      <c r="N679" s="192">
        <v>0</v>
      </c>
    </row>
    <row r="680" spans="14:14" ht="14.25" customHeight="1">
      <c r="N680" s="192">
        <v>0</v>
      </c>
    </row>
    <row r="681" spans="14:14" ht="14.25" customHeight="1">
      <c r="N681" s="192">
        <v>0</v>
      </c>
    </row>
    <row r="682" spans="14:14" ht="14.25" customHeight="1">
      <c r="N682" s="192">
        <v>0</v>
      </c>
    </row>
    <row r="683" spans="14:14" ht="14.25" customHeight="1">
      <c r="N683" s="192">
        <v>0</v>
      </c>
    </row>
    <row r="684" spans="14:14" ht="14.25" customHeight="1">
      <c r="N684" s="192">
        <v>0</v>
      </c>
    </row>
    <row r="685" spans="14:14" ht="14.25" customHeight="1">
      <c r="N685" s="192">
        <v>0</v>
      </c>
    </row>
    <row r="686" spans="14:14" ht="14.25" customHeight="1">
      <c r="N686" s="192">
        <v>0</v>
      </c>
    </row>
    <row r="687" spans="14:14" ht="14.25" customHeight="1">
      <c r="N687" s="192">
        <v>0</v>
      </c>
    </row>
    <row r="688" spans="14:14" ht="14.25" customHeight="1">
      <c r="N688" s="192">
        <v>0</v>
      </c>
    </row>
    <row r="689" spans="14:14" ht="14.25" customHeight="1">
      <c r="N689" s="192">
        <v>0</v>
      </c>
    </row>
    <row r="690" spans="14:14" ht="14.25" customHeight="1">
      <c r="N690" s="192">
        <v>0</v>
      </c>
    </row>
    <row r="691" spans="14:14" ht="14.25" customHeight="1">
      <c r="N691" s="192">
        <v>0</v>
      </c>
    </row>
    <row r="692" spans="14:14" ht="14.25" customHeight="1">
      <c r="N692" s="192">
        <v>0</v>
      </c>
    </row>
    <row r="693" spans="14:14" ht="14.25" customHeight="1">
      <c r="N693" s="192">
        <v>0</v>
      </c>
    </row>
    <row r="694" spans="14:14" ht="14.25" customHeight="1">
      <c r="N694" s="192">
        <v>0</v>
      </c>
    </row>
    <row r="695" spans="14:14" ht="14.25" customHeight="1">
      <c r="N695" s="192">
        <v>0</v>
      </c>
    </row>
    <row r="696" spans="14:14" ht="14.25" customHeight="1">
      <c r="N696" s="192">
        <v>0</v>
      </c>
    </row>
    <row r="697" spans="14:14" ht="14.25" customHeight="1">
      <c r="N697" s="192">
        <v>0</v>
      </c>
    </row>
    <row r="698" spans="14:14" ht="14.25" customHeight="1">
      <c r="N698" s="192">
        <v>0</v>
      </c>
    </row>
    <row r="699" spans="14:14" ht="14.25" customHeight="1">
      <c r="N699" s="192">
        <v>0</v>
      </c>
    </row>
    <row r="700" spans="14:14" ht="14.25" customHeight="1">
      <c r="N700" s="192">
        <v>0</v>
      </c>
    </row>
    <row r="701" spans="14:14" ht="14.25" customHeight="1">
      <c r="N701" s="192">
        <v>0</v>
      </c>
    </row>
    <row r="702" spans="14:14" ht="14.25" customHeight="1">
      <c r="N702" s="192">
        <v>0</v>
      </c>
    </row>
    <row r="703" spans="14:14" ht="14.25" customHeight="1">
      <c r="N703" s="192">
        <v>0</v>
      </c>
    </row>
    <row r="704" spans="14:14" ht="14.25" customHeight="1">
      <c r="N704" s="192">
        <v>0</v>
      </c>
    </row>
    <row r="705" spans="14:14" ht="14.25" customHeight="1">
      <c r="N705" s="192">
        <v>0</v>
      </c>
    </row>
    <row r="706" spans="14:14" ht="14.25" customHeight="1">
      <c r="N706" s="192">
        <v>0</v>
      </c>
    </row>
    <row r="707" spans="14:14" ht="14.25" customHeight="1">
      <c r="N707" s="192">
        <v>0</v>
      </c>
    </row>
    <row r="708" spans="14:14" ht="14.25" customHeight="1">
      <c r="N708" s="192">
        <v>0</v>
      </c>
    </row>
    <row r="709" spans="14:14" ht="14.25" customHeight="1">
      <c r="N709" s="192">
        <v>0</v>
      </c>
    </row>
    <row r="710" spans="14:14" ht="14.25" customHeight="1">
      <c r="N710" s="192">
        <v>0</v>
      </c>
    </row>
    <row r="711" spans="14:14" ht="14.25" customHeight="1">
      <c r="N711" s="192">
        <v>0</v>
      </c>
    </row>
    <row r="712" spans="14:14" ht="14.25" customHeight="1">
      <c r="N712" s="192">
        <v>0</v>
      </c>
    </row>
    <row r="713" spans="14:14" ht="14.25" customHeight="1">
      <c r="N713" s="192">
        <v>0</v>
      </c>
    </row>
    <row r="714" spans="14:14" ht="14.25" customHeight="1">
      <c r="N714" s="192">
        <v>0</v>
      </c>
    </row>
    <row r="715" spans="14:14" ht="14.25" customHeight="1">
      <c r="N715" s="192">
        <v>0</v>
      </c>
    </row>
    <row r="716" spans="14:14" ht="14.25" customHeight="1">
      <c r="N716" s="192">
        <v>0</v>
      </c>
    </row>
    <row r="717" spans="14:14" ht="14.25" customHeight="1">
      <c r="N717" s="192">
        <v>0</v>
      </c>
    </row>
    <row r="718" spans="14:14" ht="14.25" customHeight="1">
      <c r="N718" s="192">
        <v>0</v>
      </c>
    </row>
    <row r="719" spans="14:14" ht="14.25" customHeight="1">
      <c r="N719" s="192">
        <v>0</v>
      </c>
    </row>
    <row r="720" spans="14:14" ht="14.25" customHeight="1">
      <c r="N720" s="192">
        <v>0</v>
      </c>
    </row>
    <row r="721" spans="14:14" ht="14.25" customHeight="1">
      <c r="N721" s="192">
        <v>0</v>
      </c>
    </row>
    <row r="722" spans="14:14" ht="14.25" customHeight="1">
      <c r="N722" s="192">
        <v>0</v>
      </c>
    </row>
    <row r="723" spans="14:14" ht="14.25" customHeight="1">
      <c r="N723" s="192">
        <v>0</v>
      </c>
    </row>
    <row r="724" spans="14:14" ht="14.25" customHeight="1">
      <c r="N724" s="192">
        <v>0</v>
      </c>
    </row>
    <row r="725" spans="14:14" ht="14.25" customHeight="1">
      <c r="N725" s="192">
        <v>0</v>
      </c>
    </row>
    <row r="726" spans="14:14" ht="14.25" customHeight="1">
      <c r="N726" s="192">
        <v>0</v>
      </c>
    </row>
    <row r="727" spans="14:14" ht="14.25" customHeight="1">
      <c r="N727" s="192">
        <v>0</v>
      </c>
    </row>
    <row r="728" spans="14:14" ht="14.25" customHeight="1">
      <c r="N728" s="192">
        <v>0</v>
      </c>
    </row>
    <row r="729" spans="14:14" ht="14.25" customHeight="1">
      <c r="N729" s="192">
        <v>0</v>
      </c>
    </row>
    <row r="730" spans="14:14" ht="14.25" customHeight="1">
      <c r="N730" s="192">
        <v>0</v>
      </c>
    </row>
    <row r="731" spans="14:14" ht="14.25" customHeight="1">
      <c r="N731" s="192">
        <v>0</v>
      </c>
    </row>
    <row r="732" spans="14:14" ht="14.25" customHeight="1">
      <c r="N732" s="192">
        <v>0</v>
      </c>
    </row>
    <row r="733" spans="14:14" ht="14.25" customHeight="1">
      <c r="N733" s="192">
        <v>0</v>
      </c>
    </row>
    <row r="734" spans="14:14" ht="14.25" customHeight="1">
      <c r="N734" s="192">
        <v>0</v>
      </c>
    </row>
    <row r="735" spans="14:14" ht="14.25" customHeight="1">
      <c r="N735" s="192">
        <v>0</v>
      </c>
    </row>
    <row r="736" spans="14:14" ht="14.25" customHeight="1">
      <c r="N736" s="192">
        <v>0</v>
      </c>
    </row>
    <row r="737" spans="14:14" ht="14.25" customHeight="1">
      <c r="N737" s="192">
        <v>0</v>
      </c>
    </row>
    <row r="738" spans="14:14" ht="14.25" customHeight="1">
      <c r="N738" s="192">
        <v>0</v>
      </c>
    </row>
    <row r="739" spans="14:14" ht="14.25" customHeight="1">
      <c r="N739" s="192">
        <v>0</v>
      </c>
    </row>
    <row r="740" spans="14:14" ht="14.25" customHeight="1">
      <c r="N740" s="192">
        <v>0</v>
      </c>
    </row>
    <row r="741" spans="14:14" ht="14.25" customHeight="1">
      <c r="N741" s="192">
        <v>0</v>
      </c>
    </row>
    <row r="742" spans="14:14" ht="14.25" customHeight="1">
      <c r="N742" s="192">
        <v>0</v>
      </c>
    </row>
    <row r="743" spans="14:14" ht="14.25" customHeight="1">
      <c r="N743" s="192">
        <v>0</v>
      </c>
    </row>
    <row r="744" spans="14:14" ht="14.25" customHeight="1">
      <c r="N744" s="192">
        <v>0</v>
      </c>
    </row>
    <row r="745" spans="14:14" ht="14.25" customHeight="1">
      <c r="N745" s="192">
        <v>0</v>
      </c>
    </row>
    <row r="746" spans="14:14" ht="14.25" customHeight="1">
      <c r="N746" s="192">
        <v>0</v>
      </c>
    </row>
    <row r="747" spans="14:14" ht="14.25" customHeight="1">
      <c r="N747" s="192">
        <v>0</v>
      </c>
    </row>
    <row r="748" spans="14:14" ht="14.25" customHeight="1">
      <c r="N748" s="192">
        <v>0</v>
      </c>
    </row>
    <row r="749" spans="14:14" ht="14.25" customHeight="1">
      <c r="N749" s="192">
        <v>0</v>
      </c>
    </row>
    <row r="750" spans="14:14" ht="14.25" customHeight="1">
      <c r="N750" s="192">
        <v>0</v>
      </c>
    </row>
    <row r="751" spans="14:14" ht="14.25" customHeight="1">
      <c r="N751" s="192">
        <v>0</v>
      </c>
    </row>
    <row r="752" spans="14:14" ht="14.25" customHeight="1">
      <c r="N752" s="192">
        <v>0</v>
      </c>
    </row>
    <row r="753" spans="14:14" ht="14.25" customHeight="1">
      <c r="N753" s="192">
        <v>0</v>
      </c>
    </row>
    <row r="754" spans="14:14" ht="14.25" customHeight="1">
      <c r="N754" s="192">
        <v>0</v>
      </c>
    </row>
    <row r="755" spans="14:14" ht="14.25" customHeight="1">
      <c r="N755" s="192">
        <v>0</v>
      </c>
    </row>
    <row r="756" spans="14:14" ht="14.25" customHeight="1">
      <c r="N756" s="192">
        <v>0</v>
      </c>
    </row>
    <row r="757" spans="14:14" ht="14.25" customHeight="1">
      <c r="N757" s="192">
        <v>0</v>
      </c>
    </row>
    <row r="758" spans="14:14" ht="14.25" customHeight="1">
      <c r="N758" s="192">
        <v>0</v>
      </c>
    </row>
    <row r="759" spans="14:14" ht="14.25" customHeight="1">
      <c r="N759" s="192">
        <v>0</v>
      </c>
    </row>
    <row r="760" spans="14:14" ht="14.25" customHeight="1">
      <c r="N760" s="192">
        <v>0</v>
      </c>
    </row>
    <row r="761" spans="14:14" ht="14.25" customHeight="1">
      <c r="N761" s="192">
        <v>0</v>
      </c>
    </row>
    <row r="762" spans="14:14" ht="14.25" customHeight="1">
      <c r="N762" s="192">
        <v>0</v>
      </c>
    </row>
    <row r="763" spans="14:14" ht="14.25" customHeight="1">
      <c r="N763" s="192">
        <v>0</v>
      </c>
    </row>
    <row r="764" spans="14:14" ht="14.25" customHeight="1">
      <c r="N764" s="192">
        <v>0</v>
      </c>
    </row>
    <row r="765" spans="14:14" ht="14.25" customHeight="1">
      <c r="N765" s="192">
        <v>0</v>
      </c>
    </row>
    <row r="766" spans="14:14" ht="14.25" customHeight="1">
      <c r="N766" s="192">
        <v>0</v>
      </c>
    </row>
    <row r="767" spans="14:14" ht="14.25" customHeight="1">
      <c r="N767" s="192">
        <v>0</v>
      </c>
    </row>
    <row r="768" spans="14:14" ht="14.25" customHeight="1">
      <c r="N768" s="192">
        <v>0</v>
      </c>
    </row>
    <row r="769" spans="14:14" ht="14.25" customHeight="1">
      <c r="N769" s="192">
        <v>0</v>
      </c>
    </row>
    <row r="770" spans="14:14" ht="14.25" customHeight="1">
      <c r="N770" s="192">
        <v>0</v>
      </c>
    </row>
    <row r="771" spans="14:14" ht="14.25" customHeight="1">
      <c r="N771" s="192">
        <v>0</v>
      </c>
    </row>
    <row r="772" spans="14:14" ht="14.25" customHeight="1">
      <c r="N772" s="192">
        <v>0</v>
      </c>
    </row>
    <row r="773" spans="14:14" ht="14.25" customHeight="1">
      <c r="N773" s="192">
        <v>0</v>
      </c>
    </row>
    <row r="774" spans="14:14" ht="14.25" customHeight="1">
      <c r="N774" s="192">
        <v>0</v>
      </c>
    </row>
    <row r="775" spans="14:14" ht="14.25" customHeight="1">
      <c r="N775" s="192">
        <v>0</v>
      </c>
    </row>
    <row r="776" spans="14:14" ht="14.25" customHeight="1">
      <c r="N776" s="192">
        <v>0</v>
      </c>
    </row>
    <row r="777" spans="14:14" ht="14.25" customHeight="1">
      <c r="N777" s="192">
        <v>0</v>
      </c>
    </row>
    <row r="778" spans="14:14" ht="14.25" customHeight="1">
      <c r="N778" s="192">
        <v>0</v>
      </c>
    </row>
    <row r="779" spans="14:14" ht="14.25" customHeight="1">
      <c r="N779" s="192">
        <v>0</v>
      </c>
    </row>
    <row r="780" spans="14:14" ht="14.25" customHeight="1">
      <c r="N780" s="192">
        <v>0</v>
      </c>
    </row>
    <row r="781" spans="14:14" ht="14.25" customHeight="1">
      <c r="N781" s="192">
        <v>0</v>
      </c>
    </row>
    <row r="782" spans="14:14" ht="14.25" customHeight="1">
      <c r="N782" s="192">
        <v>0</v>
      </c>
    </row>
    <row r="783" spans="14:14" ht="14.25" customHeight="1">
      <c r="N783" s="192">
        <v>0</v>
      </c>
    </row>
    <row r="784" spans="14:14" ht="14.25" customHeight="1">
      <c r="N784" s="192">
        <v>0</v>
      </c>
    </row>
    <row r="785" spans="14:14" ht="14.25" customHeight="1">
      <c r="N785" s="192">
        <v>0</v>
      </c>
    </row>
    <row r="786" spans="14:14" ht="14.25" customHeight="1">
      <c r="N786" s="192">
        <v>0</v>
      </c>
    </row>
    <row r="787" spans="14:14" ht="14.25" customHeight="1">
      <c r="N787" s="192">
        <v>0</v>
      </c>
    </row>
    <row r="788" spans="14:14" ht="14.25" customHeight="1">
      <c r="N788" s="192">
        <v>0</v>
      </c>
    </row>
    <row r="789" spans="14:14" ht="14.25" customHeight="1">
      <c r="N789" s="192">
        <v>0</v>
      </c>
    </row>
    <row r="790" spans="14:14" ht="14.25" customHeight="1">
      <c r="N790" s="192">
        <v>0</v>
      </c>
    </row>
    <row r="791" spans="14:14" ht="14.25" customHeight="1">
      <c r="N791" s="192">
        <v>0</v>
      </c>
    </row>
    <row r="792" spans="14:14" ht="14.25" customHeight="1">
      <c r="N792" s="192">
        <v>0</v>
      </c>
    </row>
    <row r="793" spans="14:14" ht="14.25" customHeight="1">
      <c r="N793" s="192">
        <v>0</v>
      </c>
    </row>
    <row r="794" spans="14:14" ht="14.25" customHeight="1">
      <c r="N794" s="192">
        <v>0</v>
      </c>
    </row>
    <row r="795" spans="14:14" ht="14.25" customHeight="1">
      <c r="N795" s="192">
        <v>0</v>
      </c>
    </row>
    <row r="796" spans="14:14" ht="14.25" customHeight="1">
      <c r="N796" s="192">
        <v>0</v>
      </c>
    </row>
    <row r="797" spans="14:14" ht="14.25" customHeight="1">
      <c r="N797" s="192">
        <v>0</v>
      </c>
    </row>
    <row r="798" spans="14:14" ht="14.25" customHeight="1">
      <c r="N798" s="192">
        <v>0</v>
      </c>
    </row>
    <row r="799" spans="14:14" ht="14.25" customHeight="1">
      <c r="N799" s="192">
        <v>0</v>
      </c>
    </row>
    <row r="800" spans="14:14" ht="14.25" customHeight="1">
      <c r="N800" s="192">
        <v>0</v>
      </c>
    </row>
    <row r="801" spans="14:14" ht="14.25" customHeight="1">
      <c r="N801" s="192">
        <v>0</v>
      </c>
    </row>
    <row r="802" spans="14:14" ht="14.25" customHeight="1">
      <c r="N802" s="192">
        <v>0</v>
      </c>
    </row>
    <row r="803" spans="14:14" ht="14.25" customHeight="1">
      <c r="N803" s="192">
        <v>0</v>
      </c>
    </row>
    <row r="804" spans="14:14" ht="14.25" customHeight="1">
      <c r="N804" s="192">
        <v>0</v>
      </c>
    </row>
    <row r="805" spans="14:14" ht="14.25" customHeight="1">
      <c r="N805" s="192">
        <v>0</v>
      </c>
    </row>
    <row r="806" spans="14:14" ht="14.25" customHeight="1">
      <c r="N806" s="192">
        <v>0</v>
      </c>
    </row>
    <row r="807" spans="14:14" ht="14.25" customHeight="1">
      <c r="N807" s="192">
        <v>0</v>
      </c>
    </row>
    <row r="808" spans="14:14" ht="14.25" customHeight="1">
      <c r="N808" s="192">
        <v>0</v>
      </c>
    </row>
    <row r="809" spans="14:14" ht="14.25" customHeight="1">
      <c r="N809" s="192">
        <v>0</v>
      </c>
    </row>
    <row r="810" spans="14:14" ht="14.25" customHeight="1">
      <c r="N810" s="192">
        <v>0</v>
      </c>
    </row>
    <row r="811" spans="14:14" ht="14.25" customHeight="1">
      <c r="N811" s="192">
        <v>0</v>
      </c>
    </row>
    <row r="812" spans="14:14" ht="14.25" customHeight="1">
      <c r="N812" s="192">
        <v>0</v>
      </c>
    </row>
    <row r="813" spans="14:14" ht="14.25" customHeight="1">
      <c r="N813" s="192">
        <v>0</v>
      </c>
    </row>
    <row r="814" spans="14:14" ht="14.25" customHeight="1">
      <c r="N814" s="192">
        <v>0</v>
      </c>
    </row>
    <row r="815" spans="14:14" ht="14.25" customHeight="1">
      <c r="N815" s="192">
        <v>0</v>
      </c>
    </row>
    <row r="816" spans="14:14" ht="14.25" customHeight="1">
      <c r="N816" s="192">
        <v>0</v>
      </c>
    </row>
    <row r="817" spans="14:14" ht="14.25" customHeight="1">
      <c r="N817" s="192">
        <v>0</v>
      </c>
    </row>
    <row r="818" spans="14:14" ht="14.25" customHeight="1">
      <c r="N818" s="192">
        <v>0</v>
      </c>
    </row>
    <row r="819" spans="14:14" ht="14.25" customHeight="1">
      <c r="N819" s="192">
        <v>0</v>
      </c>
    </row>
    <row r="820" spans="14:14" ht="14.25" customHeight="1">
      <c r="N820" s="192">
        <v>0</v>
      </c>
    </row>
    <row r="821" spans="14:14" ht="14.25" customHeight="1">
      <c r="N821" s="192">
        <v>0</v>
      </c>
    </row>
    <row r="822" spans="14:14" ht="14.25" customHeight="1">
      <c r="N822" s="192">
        <v>0</v>
      </c>
    </row>
    <row r="823" spans="14:14" ht="14.25" customHeight="1">
      <c r="N823" s="192">
        <v>0</v>
      </c>
    </row>
    <row r="824" spans="14:14" ht="14.25" customHeight="1">
      <c r="N824" s="192">
        <v>0</v>
      </c>
    </row>
    <row r="825" spans="14:14" ht="14.25" customHeight="1">
      <c r="N825" s="192">
        <v>0</v>
      </c>
    </row>
    <row r="826" spans="14:14" ht="14.25" customHeight="1">
      <c r="N826" s="192">
        <v>0</v>
      </c>
    </row>
    <row r="827" spans="14:14" ht="14.25" customHeight="1">
      <c r="N827" s="192">
        <v>0</v>
      </c>
    </row>
    <row r="828" spans="14:14" ht="14.25" customHeight="1">
      <c r="N828" s="192">
        <v>0</v>
      </c>
    </row>
    <row r="829" spans="14:14" ht="14.25" customHeight="1">
      <c r="N829" s="192">
        <v>0</v>
      </c>
    </row>
    <row r="830" spans="14:14" ht="14.25" customHeight="1">
      <c r="N830" s="192">
        <v>0</v>
      </c>
    </row>
    <row r="831" spans="14:14" ht="14.25" customHeight="1">
      <c r="N831" s="192">
        <v>0</v>
      </c>
    </row>
    <row r="832" spans="14:14" ht="14.25" customHeight="1">
      <c r="N832" s="192">
        <v>0</v>
      </c>
    </row>
    <row r="833" spans="14:14" ht="14.25" customHeight="1">
      <c r="N833" s="192">
        <v>0</v>
      </c>
    </row>
    <row r="834" spans="14:14" ht="14.25" customHeight="1">
      <c r="N834" s="192">
        <v>0</v>
      </c>
    </row>
    <row r="835" spans="14:14" ht="14.25" customHeight="1">
      <c r="N835" s="192">
        <v>0</v>
      </c>
    </row>
    <row r="836" spans="14:14" ht="14.25" customHeight="1">
      <c r="N836" s="192">
        <v>0</v>
      </c>
    </row>
    <row r="837" spans="14:14" ht="14.25" customHeight="1">
      <c r="N837" s="192">
        <v>0</v>
      </c>
    </row>
    <row r="838" spans="14:14" ht="14.25" customHeight="1">
      <c r="N838" s="192">
        <v>0</v>
      </c>
    </row>
    <row r="839" spans="14:14" ht="14.25" customHeight="1">
      <c r="N839" s="192">
        <v>0</v>
      </c>
    </row>
    <row r="840" spans="14:14" ht="14.25" customHeight="1">
      <c r="N840" s="192">
        <v>0</v>
      </c>
    </row>
    <row r="841" spans="14:14" ht="14.25" customHeight="1">
      <c r="N841" s="192">
        <v>0</v>
      </c>
    </row>
    <row r="842" spans="14:14" ht="14.25" customHeight="1">
      <c r="N842" s="192">
        <v>0</v>
      </c>
    </row>
    <row r="843" spans="14:14" ht="14.25" customHeight="1">
      <c r="N843" s="192">
        <v>0</v>
      </c>
    </row>
    <row r="844" spans="14:14" ht="14.25" customHeight="1">
      <c r="N844" s="192">
        <v>0</v>
      </c>
    </row>
    <row r="845" spans="14:14" ht="14.25" customHeight="1">
      <c r="N845" s="192">
        <v>0</v>
      </c>
    </row>
    <row r="846" spans="14:14" ht="14.25" customHeight="1">
      <c r="N846" s="192">
        <v>0</v>
      </c>
    </row>
    <row r="847" spans="14:14" ht="14.25" customHeight="1">
      <c r="N847" s="192">
        <v>0</v>
      </c>
    </row>
    <row r="848" spans="14:14" ht="14.25" customHeight="1">
      <c r="N848" s="192">
        <v>0</v>
      </c>
    </row>
    <row r="849" spans="14:14" ht="14.25" customHeight="1">
      <c r="N849" s="192">
        <v>0</v>
      </c>
    </row>
    <row r="850" spans="14:14" ht="14.25" customHeight="1">
      <c r="N850" s="192">
        <v>0</v>
      </c>
    </row>
    <row r="851" spans="14:14" ht="14.25" customHeight="1">
      <c r="N851" s="192">
        <v>0</v>
      </c>
    </row>
    <row r="852" spans="14:14" ht="14.25" customHeight="1">
      <c r="N852" s="192">
        <v>0</v>
      </c>
    </row>
    <row r="853" spans="14:14" ht="14.25" customHeight="1">
      <c r="N853" s="192">
        <v>0</v>
      </c>
    </row>
    <row r="854" spans="14:14" ht="14.25" customHeight="1">
      <c r="N854" s="192">
        <v>0</v>
      </c>
    </row>
    <row r="855" spans="14:14" ht="14.25" customHeight="1">
      <c r="N855" s="192">
        <v>0</v>
      </c>
    </row>
    <row r="856" spans="14:14" ht="14.25" customHeight="1">
      <c r="N856" s="192">
        <v>0</v>
      </c>
    </row>
    <row r="857" spans="14:14" ht="14.25" customHeight="1">
      <c r="N857" s="192">
        <v>0</v>
      </c>
    </row>
    <row r="858" spans="14:14" ht="14.25" customHeight="1">
      <c r="N858" s="192">
        <v>0</v>
      </c>
    </row>
    <row r="859" spans="14:14" ht="14.25" customHeight="1">
      <c r="N859" s="192">
        <v>0</v>
      </c>
    </row>
    <row r="860" spans="14:14" ht="14.25" customHeight="1">
      <c r="N860" s="192">
        <v>0</v>
      </c>
    </row>
    <row r="861" spans="14:14" ht="14.25" customHeight="1">
      <c r="N861" s="192">
        <v>0</v>
      </c>
    </row>
    <row r="862" spans="14:14" ht="14.25" customHeight="1">
      <c r="N862" s="192">
        <v>0</v>
      </c>
    </row>
    <row r="863" spans="14:14" ht="14.25" customHeight="1">
      <c r="N863" s="192">
        <v>0</v>
      </c>
    </row>
    <row r="864" spans="14:14" ht="14.25" customHeight="1">
      <c r="N864" s="192">
        <v>0</v>
      </c>
    </row>
    <row r="865" spans="14:14" ht="14.25" customHeight="1">
      <c r="N865" s="192">
        <v>0</v>
      </c>
    </row>
    <row r="866" spans="14:14" ht="14.25" customHeight="1">
      <c r="N866" s="192">
        <v>0</v>
      </c>
    </row>
    <row r="867" spans="14:14" ht="14.25" customHeight="1">
      <c r="N867" s="192">
        <v>0</v>
      </c>
    </row>
    <row r="868" spans="14:14" ht="14.25" customHeight="1">
      <c r="N868" s="192">
        <v>0</v>
      </c>
    </row>
    <row r="869" spans="14:14" ht="14.25" customHeight="1">
      <c r="N869" s="192">
        <v>0</v>
      </c>
    </row>
    <row r="870" spans="14:14" ht="14.25" customHeight="1">
      <c r="N870" s="192">
        <v>0</v>
      </c>
    </row>
    <row r="871" spans="14:14" ht="14.25" customHeight="1">
      <c r="N871" s="192">
        <v>0</v>
      </c>
    </row>
    <row r="872" spans="14:14" ht="14.25" customHeight="1">
      <c r="N872" s="192">
        <v>0</v>
      </c>
    </row>
    <row r="873" spans="14:14" ht="14.25" customHeight="1">
      <c r="N873" s="192">
        <v>0</v>
      </c>
    </row>
    <row r="874" spans="14:14" ht="14.25" customHeight="1">
      <c r="N874" s="192">
        <v>0</v>
      </c>
    </row>
    <row r="875" spans="14:14" ht="14.25" customHeight="1">
      <c r="N875" s="192">
        <v>0</v>
      </c>
    </row>
    <row r="876" spans="14:14" ht="14.25" customHeight="1">
      <c r="N876" s="192">
        <v>0</v>
      </c>
    </row>
    <row r="877" spans="14:14" ht="14.25" customHeight="1">
      <c r="N877" s="192">
        <v>0</v>
      </c>
    </row>
    <row r="878" spans="14:14" ht="14.25" customHeight="1">
      <c r="N878" s="192">
        <v>0</v>
      </c>
    </row>
    <row r="879" spans="14:14" ht="14.25" customHeight="1">
      <c r="N879" s="192">
        <v>0</v>
      </c>
    </row>
    <row r="880" spans="14:14" ht="14.25" customHeight="1">
      <c r="N880" s="192">
        <v>0</v>
      </c>
    </row>
    <row r="881" spans="14:14" ht="14.25" customHeight="1">
      <c r="N881" s="192">
        <v>0</v>
      </c>
    </row>
    <row r="882" spans="14:14" ht="14.25" customHeight="1">
      <c r="N882" s="192">
        <v>0</v>
      </c>
    </row>
    <row r="883" spans="14:14" ht="14.25" customHeight="1">
      <c r="N883" s="192">
        <v>0</v>
      </c>
    </row>
    <row r="884" spans="14:14" ht="14.25" customHeight="1">
      <c r="N884" s="192">
        <v>0</v>
      </c>
    </row>
    <row r="885" spans="14:14" ht="14.25" customHeight="1">
      <c r="N885" s="192">
        <v>0</v>
      </c>
    </row>
    <row r="886" spans="14:14" ht="14.25" customHeight="1">
      <c r="N886" s="192">
        <v>0</v>
      </c>
    </row>
    <row r="887" spans="14:14" ht="14.25" customHeight="1">
      <c r="N887" s="192">
        <v>0</v>
      </c>
    </row>
    <row r="888" spans="14:14" ht="14.25" customHeight="1">
      <c r="N888" s="192">
        <v>0</v>
      </c>
    </row>
    <row r="889" spans="14:14" ht="14.25" customHeight="1">
      <c r="N889" s="192">
        <v>0</v>
      </c>
    </row>
    <row r="890" spans="14:14" ht="14.25" customHeight="1">
      <c r="N890" s="192">
        <v>0</v>
      </c>
    </row>
    <row r="891" spans="14:14" ht="14.25" customHeight="1">
      <c r="N891" s="192">
        <v>0</v>
      </c>
    </row>
    <row r="892" spans="14:14" ht="14.25" customHeight="1">
      <c r="N892" s="192">
        <v>0</v>
      </c>
    </row>
    <row r="893" spans="14:14" ht="14.25" customHeight="1">
      <c r="N893" s="192">
        <v>0</v>
      </c>
    </row>
    <row r="894" spans="14:14" ht="14.25" customHeight="1">
      <c r="N894" s="192">
        <v>0</v>
      </c>
    </row>
    <row r="895" spans="14:14" ht="14.25" customHeight="1">
      <c r="N895" s="192">
        <v>0</v>
      </c>
    </row>
    <row r="896" spans="14:14" ht="14.25" customHeight="1">
      <c r="N896" s="192">
        <v>0</v>
      </c>
    </row>
    <row r="897" spans="14:14" ht="14.25" customHeight="1">
      <c r="N897" s="192">
        <v>0</v>
      </c>
    </row>
    <row r="898" spans="14:14" ht="14.25" customHeight="1">
      <c r="N898" s="192">
        <v>0</v>
      </c>
    </row>
    <row r="899" spans="14:14" ht="14.25" customHeight="1">
      <c r="N899" s="192">
        <v>0</v>
      </c>
    </row>
    <row r="900" spans="14:14" ht="14.25" customHeight="1">
      <c r="N900" s="192">
        <v>0</v>
      </c>
    </row>
    <row r="901" spans="14:14" ht="14.25" customHeight="1">
      <c r="N901" s="192">
        <v>0</v>
      </c>
    </row>
    <row r="902" spans="14:14" ht="14.25" customHeight="1">
      <c r="N902" s="192">
        <v>0</v>
      </c>
    </row>
    <row r="903" spans="14:14" ht="14.25" customHeight="1">
      <c r="N903" s="192">
        <v>0</v>
      </c>
    </row>
    <row r="904" spans="14:14" ht="14.25" customHeight="1">
      <c r="N904" s="192">
        <v>0</v>
      </c>
    </row>
    <row r="905" spans="14:14" ht="14.25" customHeight="1">
      <c r="N905" s="192">
        <v>0</v>
      </c>
    </row>
    <row r="906" spans="14:14" ht="14.25" customHeight="1">
      <c r="N906" s="192">
        <v>0</v>
      </c>
    </row>
    <row r="907" spans="14:14" ht="14.25" customHeight="1">
      <c r="N907" s="192">
        <v>0</v>
      </c>
    </row>
    <row r="908" spans="14:14" ht="14.25" customHeight="1">
      <c r="N908" s="192">
        <v>0</v>
      </c>
    </row>
    <row r="909" spans="14:14" ht="14.25" customHeight="1">
      <c r="N909" s="192">
        <v>0</v>
      </c>
    </row>
    <row r="910" spans="14:14" ht="14.25" customHeight="1">
      <c r="N910" s="192">
        <v>0</v>
      </c>
    </row>
    <row r="911" spans="14:14" ht="14.25" customHeight="1">
      <c r="N911" s="192">
        <v>0</v>
      </c>
    </row>
    <row r="912" spans="14:14" ht="14.25" customHeight="1">
      <c r="N912" s="192">
        <v>0</v>
      </c>
    </row>
    <row r="913" spans="14:14" ht="14.25" customHeight="1">
      <c r="N913" s="192">
        <v>0</v>
      </c>
    </row>
    <row r="914" spans="14:14" ht="14.25" customHeight="1">
      <c r="N914" s="192">
        <v>0</v>
      </c>
    </row>
    <row r="915" spans="14:14" ht="14.25" customHeight="1">
      <c r="N915" s="192">
        <v>0</v>
      </c>
    </row>
    <row r="916" spans="14:14" ht="14.25" customHeight="1">
      <c r="N916" s="192">
        <v>0</v>
      </c>
    </row>
    <row r="917" spans="14:14" ht="14.25" customHeight="1">
      <c r="N917" s="192">
        <v>0</v>
      </c>
    </row>
    <row r="918" spans="14:14" ht="14.25" customHeight="1">
      <c r="N918" s="192">
        <v>0</v>
      </c>
    </row>
    <row r="919" spans="14:14" ht="14.25" customHeight="1">
      <c r="N919" s="192">
        <v>0</v>
      </c>
    </row>
    <row r="920" spans="14:14" ht="14.25" customHeight="1">
      <c r="N920" s="192">
        <v>0</v>
      </c>
    </row>
    <row r="921" spans="14:14" ht="14.25" customHeight="1">
      <c r="N921" s="192">
        <v>0</v>
      </c>
    </row>
    <row r="922" spans="14:14" ht="14.25" customHeight="1">
      <c r="N922" s="192">
        <v>0</v>
      </c>
    </row>
    <row r="923" spans="14:14" ht="14.25" customHeight="1">
      <c r="N923" s="192">
        <v>0</v>
      </c>
    </row>
    <row r="924" spans="14:14" ht="14.25" customHeight="1">
      <c r="N924" s="192">
        <v>0</v>
      </c>
    </row>
    <row r="925" spans="14:14" ht="14.25" customHeight="1">
      <c r="N925" s="192">
        <v>0</v>
      </c>
    </row>
    <row r="926" spans="14:14" ht="14.25" customHeight="1">
      <c r="N926" s="192">
        <v>0</v>
      </c>
    </row>
    <row r="927" spans="14:14" ht="14.25" customHeight="1">
      <c r="N927" s="192">
        <v>0</v>
      </c>
    </row>
    <row r="928" spans="14:14" ht="14.25" customHeight="1">
      <c r="N928" s="192">
        <v>0</v>
      </c>
    </row>
    <row r="929" spans="14:14" ht="14.25" customHeight="1">
      <c r="N929" s="192">
        <v>0</v>
      </c>
    </row>
    <row r="930" spans="14:14" ht="14.25" customHeight="1">
      <c r="N930" s="192">
        <v>0</v>
      </c>
    </row>
    <row r="931" spans="14:14" ht="14.25" customHeight="1">
      <c r="N931" s="192">
        <v>0</v>
      </c>
    </row>
    <row r="932" spans="14:14" ht="14.25" customHeight="1">
      <c r="N932" s="192">
        <v>0</v>
      </c>
    </row>
    <row r="933" spans="14:14" ht="14.25" customHeight="1">
      <c r="N933" s="192">
        <v>0</v>
      </c>
    </row>
    <row r="934" spans="14:14" ht="14.25" customHeight="1">
      <c r="N934" s="192">
        <v>0</v>
      </c>
    </row>
    <row r="935" spans="14:14" ht="14.25" customHeight="1">
      <c r="N935" s="192">
        <v>0</v>
      </c>
    </row>
    <row r="936" spans="14:14" ht="14.25" customHeight="1">
      <c r="N936" s="192">
        <v>0</v>
      </c>
    </row>
    <row r="937" spans="14:14" ht="14.25" customHeight="1">
      <c r="N937" s="192">
        <v>0</v>
      </c>
    </row>
    <row r="938" spans="14:14" ht="14.25" customHeight="1">
      <c r="N938" s="192">
        <v>0</v>
      </c>
    </row>
    <row r="939" spans="14:14" ht="14.25" customHeight="1">
      <c r="N939" s="192">
        <v>0</v>
      </c>
    </row>
    <row r="940" spans="14:14" ht="14.25" customHeight="1">
      <c r="N940" s="192">
        <v>0</v>
      </c>
    </row>
    <row r="941" spans="14:14" ht="14.25" customHeight="1">
      <c r="N941" s="192">
        <v>0</v>
      </c>
    </row>
    <row r="942" spans="14:14" ht="14.25" customHeight="1">
      <c r="N942" s="192">
        <v>0</v>
      </c>
    </row>
    <row r="943" spans="14:14" ht="14.25" customHeight="1">
      <c r="N943" s="192">
        <v>0</v>
      </c>
    </row>
    <row r="944" spans="14:14" ht="14.25" customHeight="1">
      <c r="N944" s="192">
        <v>0</v>
      </c>
    </row>
    <row r="945" spans="14:14" ht="14.25" customHeight="1">
      <c r="N945" s="192">
        <v>0</v>
      </c>
    </row>
    <row r="946" spans="14:14" ht="14.25" customHeight="1">
      <c r="N946" s="192">
        <v>0</v>
      </c>
    </row>
    <row r="947" spans="14:14" ht="14.25" customHeight="1">
      <c r="N947" s="192">
        <v>0</v>
      </c>
    </row>
    <row r="948" spans="14:14" ht="14.25" customHeight="1">
      <c r="N948" s="192">
        <v>0</v>
      </c>
    </row>
    <row r="949" spans="14:14" ht="14.25" customHeight="1">
      <c r="N949" s="192">
        <v>0</v>
      </c>
    </row>
    <row r="950" spans="14:14" ht="14.25" customHeight="1">
      <c r="N950" s="192">
        <v>0</v>
      </c>
    </row>
    <row r="951" spans="14:14" ht="14.25" customHeight="1">
      <c r="N951" s="192">
        <v>0</v>
      </c>
    </row>
    <row r="952" spans="14:14" ht="14.25" customHeight="1">
      <c r="N952" s="192">
        <v>0</v>
      </c>
    </row>
    <row r="953" spans="14:14" ht="14.25" customHeight="1">
      <c r="N953" s="192">
        <v>0</v>
      </c>
    </row>
    <row r="954" spans="14:14" ht="14.25" customHeight="1">
      <c r="N954" s="192">
        <v>0</v>
      </c>
    </row>
    <row r="955" spans="14:14" ht="14.25" customHeight="1">
      <c r="N955" s="192">
        <v>0</v>
      </c>
    </row>
    <row r="956" spans="14:14" ht="14.25" customHeight="1">
      <c r="N956" s="192">
        <v>0</v>
      </c>
    </row>
    <row r="957" spans="14:14" ht="14.25" customHeight="1">
      <c r="N957" s="192">
        <v>0</v>
      </c>
    </row>
    <row r="958" spans="14:14" ht="14.25" customHeight="1">
      <c r="N958" s="192">
        <v>0</v>
      </c>
    </row>
    <row r="959" spans="14:14" ht="14.25" customHeight="1">
      <c r="N959" s="192">
        <v>0</v>
      </c>
    </row>
    <row r="960" spans="14:14" ht="14.25" customHeight="1">
      <c r="N960" s="192">
        <v>0</v>
      </c>
    </row>
    <row r="961" spans="14:14" ht="14.25" customHeight="1">
      <c r="N961" s="192">
        <v>0</v>
      </c>
    </row>
    <row r="962" spans="14:14" ht="14.25" customHeight="1">
      <c r="N962" s="192">
        <v>0</v>
      </c>
    </row>
    <row r="963" spans="14:14" ht="14.25" customHeight="1">
      <c r="N963" s="192">
        <v>0</v>
      </c>
    </row>
    <row r="964" spans="14:14" ht="14.25" customHeight="1">
      <c r="N964" s="192">
        <v>0</v>
      </c>
    </row>
    <row r="965" spans="14:14" ht="14.25" customHeight="1">
      <c r="N965" s="192">
        <v>0</v>
      </c>
    </row>
    <row r="966" spans="14:14" ht="14.25" customHeight="1">
      <c r="N966" s="192">
        <v>0</v>
      </c>
    </row>
    <row r="967" spans="14:14" ht="14.25" customHeight="1">
      <c r="N967" s="192">
        <v>0</v>
      </c>
    </row>
    <row r="968" spans="14:14" ht="14.25" customHeight="1">
      <c r="N968" s="192">
        <v>0</v>
      </c>
    </row>
    <row r="969" spans="14:14" ht="14.25" customHeight="1">
      <c r="N969" s="192">
        <v>0</v>
      </c>
    </row>
    <row r="970" spans="14:14" ht="14.25" customHeight="1">
      <c r="N970" s="192">
        <v>0</v>
      </c>
    </row>
    <row r="971" spans="14:14" ht="14.25" customHeight="1">
      <c r="N971" s="192">
        <v>0</v>
      </c>
    </row>
    <row r="972" spans="14:14" ht="14.25" customHeight="1">
      <c r="N972" s="192">
        <v>0</v>
      </c>
    </row>
    <row r="973" spans="14:14" ht="14.25" customHeight="1">
      <c r="N973" s="192">
        <v>0</v>
      </c>
    </row>
    <row r="974" spans="14:14" ht="14.25" customHeight="1">
      <c r="N974" s="192">
        <v>0</v>
      </c>
    </row>
    <row r="975" spans="14:14" ht="14.25" customHeight="1">
      <c r="N975" s="192">
        <v>0</v>
      </c>
    </row>
    <row r="976" spans="14:14" ht="14.25" customHeight="1">
      <c r="N976" s="192">
        <v>0</v>
      </c>
    </row>
    <row r="977" spans="14:14" ht="14.25" customHeight="1">
      <c r="N977" s="192">
        <v>0</v>
      </c>
    </row>
    <row r="978" spans="14:14" ht="14.25" customHeight="1">
      <c r="N978" s="192">
        <v>0</v>
      </c>
    </row>
    <row r="979" spans="14:14" ht="14.25" customHeight="1">
      <c r="N979" s="192">
        <v>0</v>
      </c>
    </row>
    <row r="980" spans="14:14" ht="14.25" customHeight="1">
      <c r="N980" s="192">
        <v>0</v>
      </c>
    </row>
    <row r="981" spans="14:14" ht="14.25" customHeight="1">
      <c r="N981" s="192">
        <v>0</v>
      </c>
    </row>
    <row r="982" spans="14:14" ht="14.25" customHeight="1">
      <c r="N982" s="192">
        <v>0</v>
      </c>
    </row>
    <row r="983" spans="14:14" ht="14.25" customHeight="1">
      <c r="N983" s="192">
        <v>0</v>
      </c>
    </row>
    <row r="984" spans="14:14" ht="14.25" customHeight="1">
      <c r="N984" s="192">
        <v>0</v>
      </c>
    </row>
    <row r="985" spans="14:14" ht="14.25" customHeight="1">
      <c r="N985" s="192">
        <v>0</v>
      </c>
    </row>
    <row r="986" spans="14:14" ht="14.25" customHeight="1">
      <c r="N986" s="192">
        <v>0</v>
      </c>
    </row>
    <row r="987" spans="14:14" ht="14.25" customHeight="1">
      <c r="N987" s="192">
        <v>0</v>
      </c>
    </row>
    <row r="988" spans="14:14" ht="14.25" customHeight="1">
      <c r="N988" s="192">
        <v>0</v>
      </c>
    </row>
    <row r="989" spans="14:14" ht="14.25" customHeight="1">
      <c r="N989" s="192">
        <v>0</v>
      </c>
    </row>
    <row r="990" spans="14:14" ht="14.25" customHeight="1">
      <c r="N990" s="192">
        <v>0</v>
      </c>
    </row>
    <row r="991" spans="14:14" ht="14.25" customHeight="1">
      <c r="N991" s="192">
        <v>0</v>
      </c>
    </row>
    <row r="992" spans="14:14" ht="14.25" customHeight="1">
      <c r="N992" s="192">
        <v>0</v>
      </c>
    </row>
    <row r="993" spans="14:14" ht="14.25" customHeight="1">
      <c r="N993" s="192">
        <v>0</v>
      </c>
    </row>
    <row r="994" spans="14:14" ht="14.25" customHeight="1">
      <c r="N994" s="192">
        <v>0</v>
      </c>
    </row>
    <row r="995" spans="14:14" ht="14.25" customHeight="1">
      <c r="N995" s="192">
        <v>0</v>
      </c>
    </row>
    <row r="996" spans="14:14" ht="14.25" customHeight="1">
      <c r="N996" s="192">
        <v>0</v>
      </c>
    </row>
    <row r="997" spans="14:14" ht="14.25" customHeight="1">
      <c r="N997" s="192">
        <v>0</v>
      </c>
    </row>
    <row r="998" spans="14:14" ht="14.25" customHeight="1">
      <c r="N998" s="192">
        <v>0</v>
      </c>
    </row>
    <row r="999" spans="14:14" ht="14.25" customHeight="1">
      <c r="N999" s="192">
        <v>0</v>
      </c>
    </row>
    <row r="1000" spans="14:14" ht="14.25" customHeight="1">
      <c r="N1000" s="192">
        <v>0</v>
      </c>
    </row>
    <row r="1001" spans="14:14" ht="14.25" customHeight="1">
      <c r="N1001" s="192">
        <v>0</v>
      </c>
    </row>
    <row r="1002" spans="14:14" ht="14.25" customHeight="1">
      <c r="N1002" s="192">
        <v>0</v>
      </c>
    </row>
    <row r="1003" spans="14:14" ht="14.25" customHeight="1">
      <c r="N1003" s="192">
        <v>0</v>
      </c>
    </row>
    <row r="1004" spans="14:14" ht="14.25" customHeight="1">
      <c r="N1004" s="192">
        <v>0</v>
      </c>
    </row>
    <row r="1005" spans="14:14" ht="14.25" customHeight="1">
      <c r="N1005" s="192">
        <v>0</v>
      </c>
    </row>
    <row r="1006" spans="14:14" ht="14.25" customHeight="1">
      <c r="N1006" s="192">
        <v>0</v>
      </c>
    </row>
    <row r="1007" spans="14:14" ht="14.25" customHeight="1">
      <c r="N1007" s="192">
        <v>0</v>
      </c>
    </row>
    <row r="1008" spans="14:14" ht="14.25" customHeight="1">
      <c r="N1008" s="192">
        <v>0</v>
      </c>
    </row>
    <row r="1009" spans="14:14" ht="14.25" customHeight="1">
      <c r="N1009" s="192">
        <v>0</v>
      </c>
    </row>
    <row r="1010" spans="14:14" ht="14.25" customHeight="1">
      <c r="N1010" s="192">
        <v>0</v>
      </c>
    </row>
    <row r="1011" spans="14:14" ht="14.25" customHeight="1">
      <c r="N1011" s="192">
        <v>0</v>
      </c>
    </row>
    <row r="1012" spans="14:14" ht="14.25" customHeight="1">
      <c r="N1012" s="192">
        <v>0</v>
      </c>
    </row>
    <row r="1013" spans="14:14" ht="14.25" customHeight="1">
      <c r="N1013" s="192">
        <v>0</v>
      </c>
    </row>
    <row r="1014" spans="14:14" ht="14.25" customHeight="1">
      <c r="N1014" s="192">
        <v>0</v>
      </c>
    </row>
    <row r="1015" spans="14:14" ht="14.25" customHeight="1">
      <c r="N1015" s="192">
        <v>0</v>
      </c>
    </row>
    <row r="1016" spans="14:14" ht="14.25" customHeight="1">
      <c r="N1016" s="192">
        <v>0</v>
      </c>
    </row>
    <row r="1017" spans="14:14" ht="14.25" customHeight="1">
      <c r="N1017" s="192">
        <v>0</v>
      </c>
    </row>
    <row r="1018" spans="14:14" ht="14.25" customHeight="1">
      <c r="N1018" s="192">
        <v>0</v>
      </c>
    </row>
    <row r="1019" spans="14:14" ht="14.25" customHeight="1">
      <c r="N1019" s="192">
        <v>0</v>
      </c>
    </row>
    <row r="1020" spans="14:14" ht="14.25" customHeight="1">
      <c r="N1020" s="192">
        <v>0</v>
      </c>
    </row>
    <row r="1021" spans="14:14" ht="14.25" customHeight="1">
      <c r="N1021" s="192">
        <v>0</v>
      </c>
    </row>
    <row r="1022" spans="14:14" ht="14.25" customHeight="1">
      <c r="N1022" s="192">
        <v>0</v>
      </c>
    </row>
    <row r="1023" spans="14:14" ht="14.25" customHeight="1">
      <c r="N1023" s="192">
        <v>0</v>
      </c>
    </row>
    <row r="1024" spans="14:14" ht="14.25" customHeight="1">
      <c r="N1024" s="192">
        <v>0</v>
      </c>
    </row>
    <row r="1025" spans="14:14" ht="14.25" customHeight="1">
      <c r="N1025" s="192">
        <v>0</v>
      </c>
    </row>
    <row r="1026" spans="14:14" ht="14.25" customHeight="1">
      <c r="N1026" s="192">
        <v>0</v>
      </c>
    </row>
    <row r="1027" spans="14:14" ht="14.25" customHeight="1">
      <c r="N1027" s="192">
        <v>0</v>
      </c>
    </row>
    <row r="1028" spans="14:14" ht="14.25" customHeight="1">
      <c r="N1028" s="192">
        <v>0</v>
      </c>
    </row>
    <row r="1029" spans="14:14" ht="14.25" customHeight="1">
      <c r="N1029" s="192">
        <v>0</v>
      </c>
    </row>
    <row r="1030" spans="14:14" ht="14.25" customHeight="1">
      <c r="N1030" s="192">
        <v>0</v>
      </c>
    </row>
    <row r="1031" spans="14:14" ht="14.25" customHeight="1">
      <c r="N1031" s="192">
        <v>0</v>
      </c>
    </row>
    <row r="1032" spans="14:14" ht="14.25" customHeight="1">
      <c r="N1032" s="192">
        <v>0</v>
      </c>
    </row>
    <row r="1033" spans="14:14" ht="14.25" customHeight="1">
      <c r="N1033" s="192">
        <v>0</v>
      </c>
    </row>
    <row r="1034" spans="14:14" ht="14.25" customHeight="1">
      <c r="N1034" s="192">
        <v>0</v>
      </c>
    </row>
    <row r="1035" spans="14:14" ht="14.25" customHeight="1">
      <c r="N1035" s="192">
        <v>0</v>
      </c>
    </row>
    <row r="1036" spans="14:14" ht="14.25" customHeight="1">
      <c r="N1036" s="192">
        <v>0</v>
      </c>
    </row>
    <row r="1037" spans="14:14" ht="14.25" customHeight="1">
      <c r="N1037" s="192">
        <v>0</v>
      </c>
    </row>
    <row r="1038" spans="14:14" ht="14.25" customHeight="1">
      <c r="N1038" s="192">
        <v>0</v>
      </c>
    </row>
    <row r="1039" spans="14:14" ht="14.25" customHeight="1">
      <c r="N1039" s="192">
        <v>0</v>
      </c>
    </row>
    <row r="1040" spans="14:14" ht="14.25" customHeight="1">
      <c r="N1040" s="192">
        <v>0</v>
      </c>
    </row>
    <row r="1041" spans="14:14" ht="14.25" customHeight="1">
      <c r="N1041" s="192">
        <v>0</v>
      </c>
    </row>
    <row r="1042" spans="14:14" ht="14.25" customHeight="1">
      <c r="N1042" s="192">
        <v>0</v>
      </c>
    </row>
    <row r="1043" spans="14:14" ht="14.25" customHeight="1">
      <c r="N1043" s="192">
        <v>0</v>
      </c>
    </row>
    <row r="1044" spans="14:14" ht="14.25" customHeight="1">
      <c r="N1044" s="192">
        <v>0</v>
      </c>
    </row>
    <row r="1045" spans="14:14" ht="14.25" customHeight="1">
      <c r="N1045" s="192">
        <v>0</v>
      </c>
    </row>
    <row r="1046" spans="14:14" ht="14.25" customHeight="1">
      <c r="N1046" s="192">
        <v>0</v>
      </c>
    </row>
    <row r="1047" spans="14:14" ht="14.25" customHeight="1">
      <c r="N1047" s="192">
        <v>0</v>
      </c>
    </row>
    <row r="1048" spans="14:14" ht="14.25" customHeight="1">
      <c r="N1048" s="192">
        <v>0</v>
      </c>
    </row>
    <row r="1049" spans="14:14" ht="14.25" customHeight="1">
      <c r="N1049" s="192">
        <v>0</v>
      </c>
    </row>
    <row r="1050" spans="14:14" ht="14.25" customHeight="1">
      <c r="N1050" s="192">
        <v>0</v>
      </c>
    </row>
    <row r="1051" spans="14:14" ht="14.25" customHeight="1">
      <c r="N1051" s="192">
        <v>0</v>
      </c>
    </row>
    <row r="1052" spans="14:14" ht="14.25" customHeight="1">
      <c r="N1052" s="192">
        <v>0</v>
      </c>
    </row>
    <row r="1053" spans="14:14" ht="14.25" customHeight="1">
      <c r="N1053" s="192">
        <v>0</v>
      </c>
    </row>
    <row r="1054" spans="14:14" ht="14.25" customHeight="1">
      <c r="N1054" s="192">
        <v>0</v>
      </c>
    </row>
    <row r="1055" spans="14:14" ht="14.25" customHeight="1">
      <c r="N1055" s="192">
        <v>0</v>
      </c>
    </row>
    <row r="1056" spans="14:14" ht="14.25" customHeight="1">
      <c r="N1056" s="192">
        <v>0</v>
      </c>
    </row>
    <row r="1057" spans="14:14" ht="14.25" customHeight="1">
      <c r="N1057" s="192">
        <v>0</v>
      </c>
    </row>
    <row r="1058" spans="14:14" ht="14.25" customHeight="1">
      <c r="N1058" s="192">
        <v>0</v>
      </c>
    </row>
    <row r="1059" spans="14:14" ht="14.25" customHeight="1">
      <c r="N1059" s="192">
        <v>0</v>
      </c>
    </row>
    <row r="1060" spans="14:14" ht="14.25" customHeight="1">
      <c r="N1060" s="192">
        <v>0</v>
      </c>
    </row>
    <row r="1061" spans="14:14" ht="14.25" customHeight="1">
      <c r="N1061" s="192">
        <v>0</v>
      </c>
    </row>
    <row r="1062" spans="14:14" ht="14.25" customHeight="1">
      <c r="N1062" s="192">
        <v>0</v>
      </c>
    </row>
    <row r="1063" spans="14:14" ht="14.25" customHeight="1">
      <c r="N1063" s="192">
        <v>0</v>
      </c>
    </row>
    <row r="1064" spans="14:14" ht="14.25" customHeight="1">
      <c r="N1064" s="192">
        <v>0</v>
      </c>
    </row>
    <row r="1065" spans="14:14" ht="14.25" customHeight="1">
      <c r="N1065" s="192">
        <v>0</v>
      </c>
    </row>
    <row r="1066" spans="14:14" ht="14.25" customHeight="1">
      <c r="N1066" s="192">
        <v>0</v>
      </c>
    </row>
    <row r="1067" spans="14:14" ht="14.25" customHeight="1">
      <c r="N1067" s="192">
        <v>0</v>
      </c>
    </row>
    <row r="1068" spans="14:14" ht="14.25" customHeight="1">
      <c r="N1068" s="192">
        <v>0</v>
      </c>
    </row>
    <row r="1069" spans="14:14" ht="14.25" customHeight="1">
      <c r="N1069" s="192">
        <v>0</v>
      </c>
    </row>
    <row r="1070" spans="14:14" ht="14.25" customHeight="1">
      <c r="N1070" s="192">
        <v>0</v>
      </c>
    </row>
    <row r="1071" spans="14:14" ht="14.25" customHeight="1">
      <c r="N1071" s="192">
        <v>0</v>
      </c>
    </row>
    <row r="1072" spans="14:14" ht="14.25" customHeight="1">
      <c r="N1072" s="192">
        <v>0</v>
      </c>
    </row>
    <row r="1073" spans="14:14" ht="14.25" customHeight="1">
      <c r="N1073" s="192">
        <v>0</v>
      </c>
    </row>
    <row r="1074" spans="14:14" ht="14.25" customHeight="1">
      <c r="N1074" s="192">
        <v>0</v>
      </c>
    </row>
    <row r="1075" spans="14:14" ht="14.25" customHeight="1">
      <c r="N1075" s="192">
        <v>0</v>
      </c>
    </row>
    <row r="1076" spans="14:14" ht="14.25" customHeight="1">
      <c r="N1076" s="192">
        <v>0</v>
      </c>
    </row>
    <row r="1077" spans="14:14" ht="14.25" customHeight="1">
      <c r="N1077" s="192">
        <v>0</v>
      </c>
    </row>
    <row r="1078" spans="14:14" ht="14.25" customHeight="1">
      <c r="N1078" s="192">
        <v>0</v>
      </c>
    </row>
    <row r="1079" spans="14:14" ht="14.25" customHeight="1">
      <c r="N1079" s="192">
        <v>0</v>
      </c>
    </row>
    <row r="1080" spans="14:14" ht="14.25" customHeight="1">
      <c r="N1080" s="192">
        <v>0</v>
      </c>
    </row>
    <row r="1081" spans="14:14" ht="14.25" customHeight="1">
      <c r="N1081" s="192">
        <v>0</v>
      </c>
    </row>
    <row r="1082" spans="14:14" ht="14.25" customHeight="1">
      <c r="N1082" s="192">
        <v>0</v>
      </c>
    </row>
    <row r="1083" spans="14:14" ht="14.25" customHeight="1">
      <c r="N1083" s="192">
        <v>0</v>
      </c>
    </row>
    <row r="1084" spans="14:14" ht="14.25" customHeight="1">
      <c r="N1084" s="192">
        <v>0</v>
      </c>
    </row>
    <row r="1085" spans="14:14" ht="14.25" customHeight="1">
      <c r="N1085" s="192">
        <v>0</v>
      </c>
    </row>
    <row r="1086" spans="14:14" ht="14.25" customHeight="1">
      <c r="N1086" s="192">
        <v>0</v>
      </c>
    </row>
    <row r="1087" spans="14:14" ht="14.25" customHeight="1">
      <c r="N1087" s="192">
        <v>0</v>
      </c>
    </row>
    <row r="1088" spans="14:14" ht="14.25" customHeight="1">
      <c r="N1088" s="192">
        <v>0</v>
      </c>
    </row>
    <row r="1089" spans="14:14" ht="14.25" customHeight="1">
      <c r="N1089" s="192">
        <v>0</v>
      </c>
    </row>
    <row r="1090" spans="14:14" ht="14.25" customHeight="1">
      <c r="N1090" s="192">
        <v>0</v>
      </c>
    </row>
    <row r="1091" spans="14:14" ht="14.25" customHeight="1">
      <c r="N1091" s="192">
        <v>0</v>
      </c>
    </row>
    <row r="1092" spans="14:14" ht="14.25" customHeight="1">
      <c r="N1092" s="192">
        <v>0</v>
      </c>
    </row>
    <row r="1093" spans="14:14" ht="14.25" customHeight="1">
      <c r="N1093" s="192">
        <v>0</v>
      </c>
    </row>
    <row r="1094" spans="14:14" ht="14.25" customHeight="1">
      <c r="N1094" s="192">
        <v>0</v>
      </c>
    </row>
    <row r="1095" spans="14:14" ht="14.25" customHeight="1">
      <c r="N1095" s="192">
        <v>0</v>
      </c>
    </row>
    <row r="1096" spans="14:14" ht="14.25" customHeight="1">
      <c r="N1096" s="192">
        <v>0</v>
      </c>
    </row>
    <row r="1097" spans="14:14" ht="14.25" customHeight="1">
      <c r="N1097" s="192">
        <v>0</v>
      </c>
    </row>
    <row r="1098" spans="14:14" ht="14.25" customHeight="1">
      <c r="N1098" s="192">
        <v>0</v>
      </c>
    </row>
    <row r="1099" spans="14:14" ht="14.25" customHeight="1">
      <c r="N1099" s="192">
        <v>0</v>
      </c>
    </row>
    <row r="1100" spans="14:14" ht="14.25" customHeight="1">
      <c r="N1100" s="192">
        <v>0</v>
      </c>
    </row>
    <row r="1101" spans="14:14" ht="14.25" customHeight="1">
      <c r="N1101" s="192">
        <v>0</v>
      </c>
    </row>
    <row r="1102" spans="14:14" ht="14.25" customHeight="1">
      <c r="N1102" s="192">
        <v>0</v>
      </c>
    </row>
    <row r="1103" spans="14:14" ht="14.25" customHeight="1">
      <c r="N1103" s="192">
        <v>0</v>
      </c>
    </row>
    <row r="1104" spans="14:14" ht="14.25" customHeight="1">
      <c r="N1104" s="192">
        <v>0</v>
      </c>
    </row>
    <row r="1105" spans="14:14" ht="14.25" customHeight="1">
      <c r="N1105" s="192">
        <v>0</v>
      </c>
    </row>
    <row r="1106" spans="14:14" ht="14.25" customHeight="1">
      <c r="N1106" s="192">
        <v>0</v>
      </c>
    </row>
    <row r="1107" spans="14:14" ht="14.25" customHeight="1">
      <c r="N1107" s="192">
        <v>0</v>
      </c>
    </row>
    <row r="1108" spans="14:14" ht="14.25" customHeight="1">
      <c r="N1108" s="192">
        <v>0</v>
      </c>
    </row>
    <row r="1109" spans="14:14" ht="14.25" customHeight="1">
      <c r="N1109" s="192">
        <v>0</v>
      </c>
    </row>
    <row r="1110" spans="14:14" ht="14.25" customHeight="1">
      <c r="N1110" s="192">
        <v>0</v>
      </c>
    </row>
    <row r="1111" spans="14:14" ht="14.25" customHeight="1">
      <c r="N1111" s="192">
        <v>0</v>
      </c>
    </row>
    <row r="1112" spans="14:14" ht="14.25" customHeight="1">
      <c r="N1112" s="192">
        <v>0</v>
      </c>
    </row>
    <row r="1113" spans="14:14" ht="14.25" customHeight="1">
      <c r="N1113" s="192">
        <v>0</v>
      </c>
    </row>
    <row r="1114" spans="14:14" ht="14.25" customHeight="1">
      <c r="N1114" s="192">
        <v>0</v>
      </c>
    </row>
    <row r="1115" spans="14:14" ht="14.25" customHeight="1">
      <c r="N1115" s="192">
        <v>0</v>
      </c>
    </row>
    <row r="1116" spans="14:14" ht="14.25" customHeight="1">
      <c r="N1116" s="192">
        <v>0</v>
      </c>
    </row>
    <row r="1117" spans="14:14" ht="14.25" customHeight="1">
      <c r="N1117" s="192">
        <v>0</v>
      </c>
    </row>
    <row r="1118" spans="14:14" ht="14.25" customHeight="1">
      <c r="N1118" s="192">
        <v>0</v>
      </c>
    </row>
    <row r="1119" spans="14:14" ht="14.25" customHeight="1">
      <c r="N1119" s="192">
        <v>0</v>
      </c>
    </row>
    <row r="1120" spans="14:14" ht="14.25" customHeight="1">
      <c r="N1120" s="192">
        <v>0</v>
      </c>
    </row>
    <row r="1121" spans="14:14" ht="14.25" customHeight="1">
      <c r="N1121" s="192">
        <v>0</v>
      </c>
    </row>
    <row r="1122" spans="14:14" ht="14.25" customHeight="1">
      <c r="N1122" s="192">
        <v>0</v>
      </c>
    </row>
    <row r="1123" spans="14:14" ht="14.25" customHeight="1">
      <c r="N1123" s="192">
        <v>0</v>
      </c>
    </row>
    <row r="1124" spans="14:14" ht="14.25" customHeight="1">
      <c r="N1124" s="192">
        <v>0</v>
      </c>
    </row>
    <row r="1125" spans="14:14" ht="14.25" customHeight="1">
      <c r="N1125" s="192">
        <v>0</v>
      </c>
    </row>
    <row r="1126" spans="14:14" ht="14.25" customHeight="1">
      <c r="N1126" s="192">
        <v>0</v>
      </c>
    </row>
    <row r="1127" spans="14:14" ht="14.25" customHeight="1">
      <c r="N1127" s="192">
        <v>0</v>
      </c>
    </row>
    <row r="1128" spans="14:14" ht="14.25" customHeight="1">
      <c r="N1128" s="192">
        <v>0</v>
      </c>
    </row>
    <row r="1129" spans="14:14" ht="14.25" customHeight="1">
      <c r="N1129" s="192">
        <v>0</v>
      </c>
    </row>
    <row r="1130" spans="14:14" ht="14.25" customHeight="1">
      <c r="N1130" s="192">
        <v>0</v>
      </c>
    </row>
    <row r="1131" spans="14:14" ht="14.25" customHeight="1">
      <c r="N1131" s="192">
        <v>0</v>
      </c>
    </row>
    <row r="1132" spans="14:14" ht="14.25" customHeight="1">
      <c r="N1132" s="192">
        <v>0</v>
      </c>
    </row>
    <row r="1133" spans="14:14" ht="14.25" customHeight="1">
      <c r="N1133" s="192">
        <v>0</v>
      </c>
    </row>
    <row r="1134" spans="14:14" ht="14.25" customHeight="1">
      <c r="N1134" s="192">
        <v>0</v>
      </c>
    </row>
    <row r="1135" spans="14:14" ht="14.25" customHeight="1">
      <c r="N1135" s="192">
        <v>0</v>
      </c>
    </row>
    <row r="1136" spans="14:14" ht="14.25" customHeight="1">
      <c r="N1136" s="192">
        <v>0</v>
      </c>
    </row>
    <row r="1137" spans="14:14" ht="14.25" customHeight="1">
      <c r="N1137" s="192">
        <v>0</v>
      </c>
    </row>
    <row r="1138" spans="14:14" ht="14.25" customHeight="1">
      <c r="N1138" s="192">
        <v>0</v>
      </c>
    </row>
    <row r="1139" spans="14:14" ht="14.25" customHeight="1">
      <c r="N1139" s="192">
        <v>0</v>
      </c>
    </row>
    <row r="1140" spans="14:14" ht="14.25" customHeight="1">
      <c r="N1140" s="192">
        <v>0</v>
      </c>
    </row>
    <row r="1141" spans="14:14" ht="14.25" customHeight="1">
      <c r="N1141" s="192">
        <v>0</v>
      </c>
    </row>
    <row r="1142" spans="14:14" ht="14.25" customHeight="1">
      <c r="N1142" s="192">
        <v>0</v>
      </c>
    </row>
    <row r="1143" spans="14:14" ht="14.25" customHeight="1">
      <c r="N1143" s="192">
        <v>0</v>
      </c>
    </row>
    <row r="1144" spans="14:14" ht="14.25" customHeight="1">
      <c r="N1144" s="192">
        <v>0</v>
      </c>
    </row>
    <row r="1145" spans="14:14" ht="14.25" customHeight="1">
      <c r="N1145" s="192">
        <v>0</v>
      </c>
    </row>
    <row r="1146" spans="14:14" ht="14.25" customHeight="1">
      <c r="N1146" s="192">
        <v>0</v>
      </c>
    </row>
    <row r="1147" spans="14:14" ht="14.25" customHeight="1">
      <c r="N1147" s="192">
        <v>0</v>
      </c>
    </row>
    <row r="1148" spans="14:14" ht="14.25" customHeight="1">
      <c r="N1148" s="192">
        <v>0</v>
      </c>
    </row>
    <row r="1149" spans="14:14" ht="14.25" customHeight="1">
      <c r="N1149" s="192">
        <v>0</v>
      </c>
    </row>
    <row r="1150" spans="14:14" ht="14.25" customHeight="1">
      <c r="N1150" s="192">
        <v>0</v>
      </c>
    </row>
    <row r="1151" spans="14:14" ht="14.25" customHeight="1">
      <c r="N1151" s="192">
        <v>0</v>
      </c>
    </row>
    <row r="1152" spans="14:14" ht="14.25" customHeight="1">
      <c r="N1152" s="192">
        <v>0</v>
      </c>
    </row>
    <row r="1153" spans="14:14" ht="14.25" customHeight="1">
      <c r="N1153" s="192">
        <v>0</v>
      </c>
    </row>
    <row r="1154" spans="14:14" ht="14.25" customHeight="1">
      <c r="N1154" s="192">
        <v>0</v>
      </c>
    </row>
    <row r="1155" spans="14:14" ht="14.25" customHeight="1">
      <c r="N1155" s="192">
        <v>0</v>
      </c>
    </row>
    <row r="1156" spans="14:14" ht="14.25" customHeight="1">
      <c r="N1156" s="192">
        <v>0</v>
      </c>
    </row>
    <row r="1157" spans="14:14" ht="14.25" customHeight="1">
      <c r="N1157" s="192">
        <v>0</v>
      </c>
    </row>
    <row r="1158" spans="14:14" ht="14.25" customHeight="1">
      <c r="N1158" s="192">
        <v>0</v>
      </c>
    </row>
    <row r="1159" spans="14:14" ht="14.25" customHeight="1">
      <c r="N1159" s="192">
        <v>0</v>
      </c>
    </row>
    <row r="1160" spans="14:14" ht="14.25" customHeight="1">
      <c r="N1160" s="192">
        <v>0</v>
      </c>
    </row>
    <row r="1161" spans="14:14" ht="14.25" customHeight="1">
      <c r="N1161" s="192">
        <v>0</v>
      </c>
    </row>
    <row r="1162" spans="14:14" ht="14.25" customHeight="1">
      <c r="N1162" s="192">
        <v>0</v>
      </c>
    </row>
    <row r="1163" spans="14:14" ht="14.25" customHeight="1">
      <c r="N1163" s="192">
        <v>0</v>
      </c>
    </row>
    <row r="1164" spans="14:14" ht="14.25" customHeight="1">
      <c r="N1164" s="192">
        <v>0</v>
      </c>
    </row>
    <row r="1165" spans="14:14" ht="14.25" customHeight="1">
      <c r="N1165" s="192">
        <v>0</v>
      </c>
    </row>
    <row r="1166" spans="14:14" ht="14.25" customHeight="1">
      <c r="N1166" s="192">
        <v>0</v>
      </c>
    </row>
    <row r="1167" spans="14:14" ht="14.25" customHeight="1">
      <c r="N1167" s="192">
        <v>0</v>
      </c>
    </row>
    <row r="1168" spans="14:14" ht="14.25" customHeight="1">
      <c r="N1168" s="192">
        <v>0</v>
      </c>
    </row>
    <row r="1169" spans="14:14" ht="14.25" customHeight="1">
      <c r="N1169" s="192">
        <v>0</v>
      </c>
    </row>
    <row r="1170" spans="14:14" ht="14.25" customHeight="1">
      <c r="N1170" s="192">
        <v>0</v>
      </c>
    </row>
    <row r="1171" spans="14:14" ht="14.25" customHeight="1">
      <c r="N1171" s="192">
        <v>0</v>
      </c>
    </row>
    <row r="1172" spans="14:14" ht="14.25" customHeight="1">
      <c r="N1172" s="192">
        <v>0</v>
      </c>
    </row>
    <row r="1173" spans="14:14" ht="14.25" customHeight="1">
      <c r="N1173" s="192">
        <v>0</v>
      </c>
    </row>
    <row r="1174" spans="14:14" ht="14.25" customHeight="1">
      <c r="N1174" s="192">
        <v>0</v>
      </c>
    </row>
    <row r="1175" spans="14:14" ht="14.25" customHeight="1">
      <c r="N1175" s="192">
        <v>0</v>
      </c>
    </row>
    <row r="1176" spans="14:14" ht="14.25" customHeight="1">
      <c r="N1176" s="192">
        <v>0</v>
      </c>
    </row>
    <row r="1177" spans="14:14" ht="14.25" customHeight="1">
      <c r="N1177" s="192">
        <v>0</v>
      </c>
    </row>
    <row r="1178" spans="14:14" ht="14.25" customHeight="1">
      <c r="N1178" s="192">
        <v>0</v>
      </c>
    </row>
    <row r="1179" spans="14:14" ht="14.25" customHeight="1">
      <c r="N1179" s="192">
        <v>0</v>
      </c>
    </row>
    <row r="1180" spans="14:14" ht="14.25" customHeight="1">
      <c r="N1180" s="192">
        <v>0</v>
      </c>
    </row>
    <row r="1181" spans="14:14" ht="14.25" customHeight="1">
      <c r="N1181" s="192">
        <v>0</v>
      </c>
    </row>
    <row r="1182" spans="14:14" ht="14.25" customHeight="1">
      <c r="N1182" s="192">
        <v>0</v>
      </c>
    </row>
    <row r="1183" spans="14:14" ht="14.25" customHeight="1">
      <c r="N1183" s="192">
        <v>0</v>
      </c>
    </row>
    <row r="1184" spans="14:14" ht="14.25" customHeight="1">
      <c r="N1184" s="192">
        <v>0</v>
      </c>
    </row>
    <row r="1185" spans="14:14" ht="14.25" customHeight="1">
      <c r="N1185" s="192">
        <v>0</v>
      </c>
    </row>
    <row r="1186" spans="14:14" ht="14.25" customHeight="1">
      <c r="N1186" s="192">
        <v>0</v>
      </c>
    </row>
    <row r="1187" spans="14:14" ht="14.25" customHeight="1">
      <c r="N1187" s="192">
        <v>0</v>
      </c>
    </row>
    <row r="1188" spans="14:14" ht="14.25" customHeight="1">
      <c r="N1188" s="192">
        <v>0</v>
      </c>
    </row>
    <row r="1189" spans="14:14" ht="14.25" customHeight="1">
      <c r="N1189" s="192">
        <v>0</v>
      </c>
    </row>
    <row r="1190" spans="14:14" ht="14.25" customHeight="1">
      <c r="N1190" s="192">
        <v>0</v>
      </c>
    </row>
    <row r="1191" spans="14:14" ht="14.25" customHeight="1">
      <c r="N1191" s="192">
        <v>0</v>
      </c>
    </row>
    <row r="1192" spans="14:14" ht="14.25" customHeight="1">
      <c r="N1192" s="192">
        <v>0</v>
      </c>
    </row>
    <row r="1193" spans="14:14" ht="14.25" customHeight="1">
      <c r="N1193" s="192">
        <v>0</v>
      </c>
    </row>
    <row r="1194" spans="14:14" ht="14.25" customHeight="1">
      <c r="N1194" s="192">
        <v>0</v>
      </c>
    </row>
    <row r="1195" spans="14:14" ht="14.25" customHeight="1">
      <c r="N1195" s="192">
        <v>0</v>
      </c>
    </row>
    <row r="1196" spans="14:14" ht="14.25" customHeight="1">
      <c r="N1196" s="192">
        <v>0</v>
      </c>
    </row>
    <row r="1197" spans="14:14" ht="14.25" customHeight="1">
      <c r="N1197" s="192">
        <v>0</v>
      </c>
    </row>
    <row r="1198" spans="14:14" ht="14.25" customHeight="1">
      <c r="N1198" s="192">
        <v>0</v>
      </c>
    </row>
    <row r="1199" spans="14:14" ht="14.25" customHeight="1">
      <c r="N1199" s="192">
        <v>0</v>
      </c>
    </row>
    <row r="1200" spans="14:14" ht="14.25" customHeight="1">
      <c r="N1200" s="192">
        <v>0</v>
      </c>
    </row>
    <row r="1201" spans="14:14" ht="14.25" customHeight="1">
      <c r="N1201" s="192">
        <v>0</v>
      </c>
    </row>
    <row r="1202" spans="14:14" ht="14.25" customHeight="1">
      <c r="N1202" s="192">
        <v>0</v>
      </c>
    </row>
    <row r="1203" spans="14:14" ht="14.25" customHeight="1">
      <c r="N1203" s="192">
        <v>0</v>
      </c>
    </row>
    <row r="1204" spans="14:14" ht="14.25" customHeight="1">
      <c r="N1204" s="192">
        <v>0</v>
      </c>
    </row>
    <row r="1205" spans="14:14" ht="14.25" customHeight="1">
      <c r="N1205" s="192">
        <v>0</v>
      </c>
    </row>
    <row r="1206" spans="14:14" ht="14.25" customHeight="1">
      <c r="N1206" s="192">
        <v>0</v>
      </c>
    </row>
    <row r="1207" spans="14:14" ht="14.25" customHeight="1">
      <c r="N1207" s="192">
        <v>0</v>
      </c>
    </row>
    <row r="1208" spans="14:14" ht="14.25" customHeight="1">
      <c r="N1208" s="192">
        <v>0</v>
      </c>
    </row>
    <row r="1209" spans="14:14" ht="14.25" customHeight="1">
      <c r="N1209" s="192">
        <v>0</v>
      </c>
    </row>
    <row r="1210" spans="14:14" ht="14.25" customHeight="1">
      <c r="N1210" s="192">
        <v>0</v>
      </c>
    </row>
    <row r="1211" spans="14:14" ht="14.25" customHeight="1">
      <c r="N1211" s="192">
        <v>0</v>
      </c>
    </row>
    <row r="1212" spans="14:14" ht="14.25" customHeight="1">
      <c r="N1212" s="192">
        <v>0</v>
      </c>
    </row>
    <row r="1213" spans="14:14" ht="14.25" customHeight="1">
      <c r="N1213" s="192">
        <v>0</v>
      </c>
    </row>
    <row r="1214" spans="14:14" ht="14.25" customHeight="1">
      <c r="N1214" s="192">
        <v>0</v>
      </c>
    </row>
    <row r="1215" spans="14:14" ht="14.25" customHeight="1">
      <c r="N1215" s="192">
        <v>0</v>
      </c>
    </row>
    <row r="1216" spans="14:14" ht="14.25" customHeight="1">
      <c r="N1216" s="192">
        <v>0</v>
      </c>
    </row>
    <row r="1217" spans="14:14" ht="14.25" customHeight="1">
      <c r="N1217" s="192">
        <v>0</v>
      </c>
    </row>
    <row r="1218" spans="14:14" ht="14.25" customHeight="1">
      <c r="N1218" s="192">
        <v>0</v>
      </c>
    </row>
    <row r="1219" spans="14:14" ht="14.25" customHeight="1">
      <c r="N1219" s="192">
        <v>0</v>
      </c>
    </row>
    <row r="1220" spans="14:14" ht="14.25" customHeight="1">
      <c r="N1220" s="192">
        <v>0</v>
      </c>
    </row>
    <row r="1221" spans="14:14" ht="14.25" customHeight="1">
      <c r="N1221" s="192">
        <v>0</v>
      </c>
    </row>
    <row r="1222" spans="14:14" ht="14.25" customHeight="1">
      <c r="N1222" s="192">
        <v>0</v>
      </c>
    </row>
    <row r="1223" spans="14:14" ht="14.25" customHeight="1">
      <c r="N1223" s="192">
        <v>0</v>
      </c>
    </row>
    <row r="1224" spans="14:14" ht="14.25" customHeight="1">
      <c r="N1224" s="192">
        <v>0</v>
      </c>
    </row>
    <row r="1225" spans="14:14" ht="14.25" customHeight="1">
      <c r="N1225" s="192">
        <v>0</v>
      </c>
    </row>
    <row r="1226" spans="14:14" ht="14.25" customHeight="1">
      <c r="N1226" s="192">
        <v>0</v>
      </c>
    </row>
    <row r="1227" spans="14:14" ht="14.25" customHeight="1">
      <c r="N1227" s="192">
        <v>0</v>
      </c>
    </row>
    <row r="1228" spans="14:14" ht="14.25" customHeight="1">
      <c r="N1228" s="192">
        <v>0</v>
      </c>
    </row>
    <row r="1229" spans="14:14" ht="14.25" customHeight="1">
      <c r="N1229" s="192">
        <v>0</v>
      </c>
    </row>
    <row r="1230" spans="14:14" ht="14.25" customHeight="1">
      <c r="N1230" s="192">
        <v>0</v>
      </c>
    </row>
    <row r="1231" spans="14:14" ht="14.25" customHeight="1">
      <c r="N1231" s="192">
        <v>0</v>
      </c>
    </row>
    <row r="1232" spans="14:14" ht="14.25" customHeight="1">
      <c r="N1232" s="192">
        <v>0</v>
      </c>
    </row>
    <row r="1233" spans="14:14" ht="14.25" customHeight="1">
      <c r="N1233" s="192">
        <v>0</v>
      </c>
    </row>
    <row r="1234" spans="14:14" ht="14.25" customHeight="1">
      <c r="N1234" s="192">
        <v>0</v>
      </c>
    </row>
    <row r="1235" spans="14:14" ht="14.25" customHeight="1">
      <c r="N1235" s="192">
        <v>0</v>
      </c>
    </row>
    <row r="1236" spans="14:14" ht="14.25" customHeight="1">
      <c r="N1236" s="192">
        <v>0</v>
      </c>
    </row>
    <row r="1237" spans="14:14" ht="14.25" customHeight="1">
      <c r="N1237" s="192">
        <v>0</v>
      </c>
    </row>
    <row r="1238" spans="14:14" ht="14.25" customHeight="1">
      <c r="N1238" s="192">
        <v>0</v>
      </c>
    </row>
    <row r="1239" spans="14:14" ht="14.25" customHeight="1">
      <c r="N1239" s="192">
        <v>0</v>
      </c>
    </row>
    <row r="1240" spans="14:14" ht="14.25" customHeight="1">
      <c r="N1240" s="192">
        <v>0</v>
      </c>
    </row>
    <row r="1241" spans="14:14" ht="14.25" customHeight="1">
      <c r="N1241" s="192">
        <v>0</v>
      </c>
    </row>
    <row r="1242" spans="14:14" ht="14.25" customHeight="1">
      <c r="N1242" s="192">
        <v>0</v>
      </c>
    </row>
    <row r="1243" spans="14:14" ht="14.25" customHeight="1">
      <c r="N1243" s="192">
        <v>0</v>
      </c>
    </row>
    <row r="1244" spans="14:14" ht="14.25" customHeight="1">
      <c r="N1244" s="192">
        <v>0</v>
      </c>
    </row>
    <row r="1245" spans="14:14" ht="14.25" customHeight="1">
      <c r="N1245" s="192">
        <v>0</v>
      </c>
    </row>
    <row r="1246" spans="14:14" ht="14.25" customHeight="1">
      <c r="N1246" s="192">
        <v>0</v>
      </c>
    </row>
    <row r="1247" spans="14:14" ht="14.25" customHeight="1">
      <c r="N1247" s="192">
        <v>0</v>
      </c>
    </row>
    <row r="1248" spans="14:14" ht="14.25" customHeight="1">
      <c r="N1248" s="192">
        <v>0</v>
      </c>
    </row>
    <row r="1249" spans="14:14" ht="14.25" customHeight="1">
      <c r="N1249" s="192">
        <v>0</v>
      </c>
    </row>
    <row r="1250" spans="14:14" ht="14.25" customHeight="1">
      <c r="N1250" s="192">
        <v>0</v>
      </c>
    </row>
    <row r="1251" spans="14:14" ht="14.25" customHeight="1">
      <c r="N1251" s="192">
        <v>0</v>
      </c>
    </row>
    <row r="1252" spans="14:14" ht="14.25" customHeight="1">
      <c r="N1252" s="192">
        <v>0</v>
      </c>
    </row>
    <row r="1253" spans="14:14" ht="14.25" customHeight="1">
      <c r="N1253" s="192">
        <v>0</v>
      </c>
    </row>
    <row r="1254" spans="14:14" ht="14.25" customHeight="1">
      <c r="N1254" s="192">
        <v>0</v>
      </c>
    </row>
    <row r="1255" spans="14:14" ht="14.25" customHeight="1">
      <c r="N1255" s="192">
        <v>0</v>
      </c>
    </row>
    <row r="1256" spans="14:14" ht="14.25" customHeight="1">
      <c r="N1256" s="192">
        <v>0</v>
      </c>
    </row>
    <row r="1257" spans="14:14" ht="14.25" customHeight="1">
      <c r="N1257" s="192">
        <v>0</v>
      </c>
    </row>
    <row r="1258" spans="14:14" ht="14.25" customHeight="1">
      <c r="N1258" s="192">
        <v>0</v>
      </c>
    </row>
    <row r="1259" spans="14:14" ht="14.25" customHeight="1">
      <c r="N1259" s="192">
        <v>0</v>
      </c>
    </row>
    <row r="1260" spans="14:14" ht="14.25" customHeight="1">
      <c r="N1260" s="192">
        <v>0</v>
      </c>
    </row>
    <row r="1261" spans="14:14" ht="14.25" customHeight="1">
      <c r="N1261" s="192">
        <v>0</v>
      </c>
    </row>
    <row r="1262" spans="14:14" ht="14.25" customHeight="1">
      <c r="N1262" s="192">
        <v>0</v>
      </c>
    </row>
    <row r="1263" spans="14:14" ht="14.25" customHeight="1">
      <c r="N1263" s="192">
        <v>0</v>
      </c>
    </row>
    <row r="1264" spans="14:14" ht="14.25" customHeight="1">
      <c r="N1264" s="192">
        <v>0</v>
      </c>
    </row>
    <row r="1265" spans="14:14" ht="14.25" customHeight="1">
      <c r="N1265" s="192">
        <v>0</v>
      </c>
    </row>
    <row r="1266" spans="14:14" ht="14.25" customHeight="1">
      <c r="N1266" s="192">
        <v>0</v>
      </c>
    </row>
    <row r="1267" spans="14:14" ht="14.25" customHeight="1">
      <c r="N1267" s="192">
        <v>0</v>
      </c>
    </row>
    <row r="1268" spans="14:14" ht="14.25" customHeight="1">
      <c r="N1268" s="192">
        <v>0</v>
      </c>
    </row>
    <row r="1269" spans="14:14" ht="14.25" customHeight="1">
      <c r="N1269" s="192">
        <v>0</v>
      </c>
    </row>
    <row r="1270" spans="14:14" ht="14.25" customHeight="1">
      <c r="N1270" s="192">
        <v>0</v>
      </c>
    </row>
    <row r="1271" spans="14:14" ht="14.25" customHeight="1">
      <c r="N1271" s="192">
        <v>0</v>
      </c>
    </row>
    <row r="1272" spans="14:14" ht="14.25" customHeight="1">
      <c r="N1272" s="192">
        <v>0</v>
      </c>
    </row>
    <row r="1273" spans="14:14" ht="14.25" customHeight="1">
      <c r="N1273" s="192">
        <v>0</v>
      </c>
    </row>
    <row r="1274" spans="14:14" ht="14.25" customHeight="1">
      <c r="N1274" s="192">
        <v>0</v>
      </c>
    </row>
    <row r="1275" spans="14:14" ht="14.25" customHeight="1">
      <c r="N1275" s="192">
        <v>0</v>
      </c>
    </row>
    <row r="1276" spans="14:14" ht="14.25" customHeight="1">
      <c r="N1276" s="192">
        <v>0</v>
      </c>
    </row>
    <row r="1277" spans="14:14" ht="14.25" customHeight="1">
      <c r="N1277" s="192">
        <v>0</v>
      </c>
    </row>
    <row r="1278" spans="14:14" ht="14.25" customHeight="1">
      <c r="N1278" s="192">
        <v>0</v>
      </c>
    </row>
    <row r="1279" spans="14:14" ht="14.25" customHeight="1">
      <c r="N1279" s="192">
        <v>0</v>
      </c>
    </row>
    <row r="1280" spans="14:14" ht="14.25" customHeight="1">
      <c r="N1280" s="192">
        <v>0</v>
      </c>
    </row>
    <row r="1281" spans="14:14" ht="14.25" customHeight="1">
      <c r="N1281" s="192">
        <v>0</v>
      </c>
    </row>
    <row r="1282" spans="14:14" ht="14.25" customHeight="1">
      <c r="N1282" s="192">
        <v>0</v>
      </c>
    </row>
    <row r="1283" spans="14:14" ht="14.25" customHeight="1">
      <c r="N1283" s="192">
        <v>0</v>
      </c>
    </row>
    <row r="1284" spans="14:14" ht="14.25" customHeight="1">
      <c r="N1284" s="192">
        <v>0</v>
      </c>
    </row>
    <row r="1285" spans="14:14" ht="14.25" customHeight="1">
      <c r="N1285" s="192">
        <v>0</v>
      </c>
    </row>
    <row r="1286" spans="14:14" ht="14.25" customHeight="1">
      <c r="N1286" s="192">
        <v>0</v>
      </c>
    </row>
    <row r="1287" spans="14:14" ht="14.25" customHeight="1">
      <c r="N1287" s="192">
        <v>0</v>
      </c>
    </row>
    <row r="1288" spans="14:14" ht="14.25" customHeight="1">
      <c r="N1288" s="192">
        <v>0</v>
      </c>
    </row>
    <row r="1289" spans="14:14" ht="14.25" customHeight="1">
      <c r="N1289" s="192">
        <v>0</v>
      </c>
    </row>
    <row r="1290" spans="14:14" ht="14.25" customHeight="1">
      <c r="N1290" s="192">
        <v>0</v>
      </c>
    </row>
    <row r="1291" spans="14:14" ht="14.25" customHeight="1">
      <c r="N1291" s="192">
        <v>0</v>
      </c>
    </row>
    <row r="1292" spans="14:14" ht="14.25" customHeight="1">
      <c r="N1292" s="192">
        <v>0</v>
      </c>
    </row>
    <row r="1293" spans="14:14" ht="14.25" customHeight="1">
      <c r="N1293" s="192">
        <v>0</v>
      </c>
    </row>
    <row r="1294" spans="14:14" ht="14.25" customHeight="1">
      <c r="N1294" s="192">
        <v>0</v>
      </c>
    </row>
    <row r="1295" spans="14:14" ht="14.25" customHeight="1">
      <c r="N1295" s="192">
        <v>0</v>
      </c>
    </row>
    <row r="1296" spans="14:14" ht="14.25" customHeight="1">
      <c r="N1296" s="192">
        <v>0</v>
      </c>
    </row>
    <row r="1297" spans="14:14" ht="14.25" customHeight="1">
      <c r="N1297" s="192">
        <v>0</v>
      </c>
    </row>
    <row r="1298" spans="14:14" ht="14.25" customHeight="1">
      <c r="N1298" s="192">
        <v>0</v>
      </c>
    </row>
    <row r="1299" spans="14:14" ht="14.25" customHeight="1">
      <c r="N1299" s="192">
        <v>0</v>
      </c>
    </row>
    <row r="1300" spans="14:14" ht="14.25" customHeight="1">
      <c r="N1300" s="192">
        <v>0</v>
      </c>
    </row>
    <row r="1301" spans="14:14" ht="14.25" customHeight="1">
      <c r="N1301" s="192">
        <v>0</v>
      </c>
    </row>
    <row r="1302" spans="14:14" ht="14.25" customHeight="1">
      <c r="N1302" s="192">
        <v>0</v>
      </c>
    </row>
    <row r="1303" spans="14:14" ht="14.25" customHeight="1">
      <c r="N1303" s="192">
        <v>0</v>
      </c>
    </row>
    <row r="1304" spans="14:14" ht="14.25" customHeight="1">
      <c r="N1304" s="192">
        <v>0</v>
      </c>
    </row>
    <row r="1305" spans="14:14" ht="14.25" customHeight="1">
      <c r="N1305" s="192">
        <v>0</v>
      </c>
    </row>
    <row r="1306" spans="14:14" ht="14.25" customHeight="1">
      <c r="N1306" s="192">
        <v>0</v>
      </c>
    </row>
    <row r="1307" spans="14:14" ht="14.25" customHeight="1">
      <c r="N1307" s="192">
        <v>0</v>
      </c>
    </row>
    <row r="1308" spans="14:14" ht="14.25" customHeight="1">
      <c r="N1308" s="192">
        <v>0</v>
      </c>
    </row>
    <row r="1309" spans="14:14" ht="14.25" customHeight="1">
      <c r="N1309" s="192">
        <v>0</v>
      </c>
    </row>
    <row r="1310" spans="14:14" ht="14.25" customHeight="1">
      <c r="N1310" s="192">
        <v>0</v>
      </c>
    </row>
    <row r="1311" spans="14:14" ht="14.25" customHeight="1">
      <c r="N1311" s="192">
        <v>0</v>
      </c>
    </row>
    <row r="1312" spans="14:14" ht="14.25" customHeight="1">
      <c r="N1312" s="192">
        <v>0</v>
      </c>
    </row>
    <row r="1313" spans="14:14" ht="14.25" customHeight="1">
      <c r="N1313" s="192">
        <v>0</v>
      </c>
    </row>
    <row r="1314" spans="14:14" ht="14.25" customHeight="1">
      <c r="N1314" s="192">
        <v>0</v>
      </c>
    </row>
    <row r="1315" spans="14:14" ht="14.25" customHeight="1">
      <c r="N1315" s="192">
        <v>0</v>
      </c>
    </row>
    <row r="1316" spans="14:14" ht="14.25" customHeight="1">
      <c r="N1316" s="192">
        <v>0</v>
      </c>
    </row>
    <row r="1317" spans="14:14" ht="14.25" customHeight="1">
      <c r="N1317" s="192">
        <v>0</v>
      </c>
    </row>
    <row r="1318" spans="14:14" ht="14.25" customHeight="1">
      <c r="N1318" s="192">
        <v>0</v>
      </c>
    </row>
    <row r="1319" spans="14:14" ht="14.25" customHeight="1">
      <c r="N1319" s="192">
        <v>0</v>
      </c>
    </row>
    <row r="1320" spans="14:14" ht="14.25" customHeight="1">
      <c r="N1320" s="192">
        <v>0</v>
      </c>
    </row>
    <row r="1321" spans="14:14" ht="14.25" customHeight="1">
      <c r="N1321" s="192">
        <v>0</v>
      </c>
    </row>
    <row r="1322" spans="14:14" ht="14.25" customHeight="1">
      <c r="N1322" s="192">
        <v>0</v>
      </c>
    </row>
    <row r="1323" spans="14:14" ht="14.25" customHeight="1">
      <c r="N1323" s="192">
        <v>0</v>
      </c>
    </row>
    <row r="1324" spans="14:14" ht="14.25" customHeight="1">
      <c r="N1324" s="192">
        <v>0</v>
      </c>
    </row>
    <row r="1325" spans="14:14" ht="14.25" customHeight="1">
      <c r="N1325" s="192">
        <v>0</v>
      </c>
    </row>
    <row r="1326" spans="14:14" ht="14.25" customHeight="1">
      <c r="N1326" s="192">
        <v>0</v>
      </c>
    </row>
    <row r="1327" spans="14:14" ht="14.25" customHeight="1">
      <c r="N1327" s="192">
        <v>0</v>
      </c>
    </row>
    <row r="1328" spans="14:14" ht="14.25" customHeight="1">
      <c r="N1328" s="192">
        <v>0</v>
      </c>
    </row>
    <row r="1329" spans="14:14" ht="14.25" customHeight="1">
      <c r="N1329" s="192">
        <v>0</v>
      </c>
    </row>
    <row r="1330" spans="14:14" ht="14.25" customHeight="1">
      <c r="N1330" s="192">
        <v>0</v>
      </c>
    </row>
    <row r="1331" spans="14:14" ht="14.25" customHeight="1">
      <c r="N1331" s="192">
        <v>0</v>
      </c>
    </row>
    <row r="1332" spans="14:14" ht="14.25" customHeight="1">
      <c r="N1332" s="192">
        <v>0</v>
      </c>
    </row>
    <row r="1333" spans="14:14" ht="14.25" customHeight="1">
      <c r="N1333" s="192">
        <v>0</v>
      </c>
    </row>
    <row r="1334" spans="14:14" ht="14.25" customHeight="1">
      <c r="N1334" s="192">
        <v>0</v>
      </c>
    </row>
    <row r="1335" spans="14:14" ht="14.25" customHeight="1">
      <c r="N1335" s="192">
        <v>0</v>
      </c>
    </row>
    <row r="1336" spans="14:14" ht="14.25" customHeight="1">
      <c r="N1336" s="192">
        <v>0</v>
      </c>
    </row>
    <row r="1337" spans="14:14" ht="14.25" customHeight="1">
      <c r="N1337" s="192">
        <v>0</v>
      </c>
    </row>
    <row r="1338" spans="14:14" ht="14.25" customHeight="1">
      <c r="N1338" s="192">
        <v>0</v>
      </c>
    </row>
    <row r="1339" spans="14:14" ht="14.25" customHeight="1">
      <c r="N1339" s="192">
        <v>0</v>
      </c>
    </row>
    <row r="1340" spans="14:14" ht="14.25" customHeight="1">
      <c r="N1340" s="192">
        <v>0</v>
      </c>
    </row>
    <row r="1341" spans="14:14" ht="14.25" customHeight="1">
      <c r="N1341" s="192">
        <v>0</v>
      </c>
    </row>
    <row r="1342" spans="14:14" ht="14.25" customHeight="1">
      <c r="N1342" s="192">
        <v>0</v>
      </c>
    </row>
    <row r="1343" spans="14:14" ht="14.25" customHeight="1">
      <c r="N1343" s="192">
        <v>0</v>
      </c>
    </row>
    <row r="1344" spans="14:14" ht="14.25" customHeight="1">
      <c r="N1344" s="192">
        <v>0</v>
      </c>
    </row>
    <row r="1345" spans="14:14" ht="14.25" customHeight="1">
      <c r="N1345" s="192">
        <v>0</v>
      </c>
    </row>
    <row r="1346" spans="14:14" ht="14.25" customHeight="1">
      <c r="N1346" s="192">
        <v>0</v>
      </c>
    </row>
    <row r="1347" spans="14:14" ht="14.25" customHeight="1">
      <c r="N1347" s="192">
        <v>0</v>
      </c>
    </row>
    <row r="1348" spans="14:14" ht="14.25" customHeight="1">
      <c r="N1348" s="192">
        <v>0</v>
      </c>
    </row>
    <row r="1349" spans="14:14" ht="14.25" customHeight="1">
      <c r="N1349" s="192">
        <v>0</v>
      </c>
    </row>
    <row r="1350" spans="14:14" ht="14.25" customHeight="1">
      <c r="N1350" s="192">
        <v>0</v>
      </c>
    </row>
    <row r="1351" spans="14:14" ht="14.25" customHeight="1">
      <c r="N1351" s="192">
        <v>0</v>
      </c>
    </row>
    <row r="1352" spans="14:14" ht="14.25" customHeight="1">
      <c r="N1352" s="192">
        <v>0</v>
      </c>
    </row>
    <row r="1353" spans="14:14" ht="14.25" customHeight="1">
      <c r="N1353" s="192">
        <v>0</v>
      </c>
    </row>
    <row r="1354" spans="14:14" ht="14.25" customHeight="1">
      <c r="N1354" s="192">
        <v>0</v>
      </c>
    </row>
    <row r="1355" spans="14:14" ht="14.25" customHeight="1">
      <c r="N1355" s="192">
        <v>0</v>
      </c>
    </row>
    <row r="1356" spans="14:14" ht="14.25" customHeight="1">
      <c r="N1356" s="192">
        <v>0</v>
      </c>
    </row>
    <row r="1357" spans="14:14" ht="14.25" customHeight="1">
      <c r="N1357" s="192">
        <v>0</v>
      </c>
    </row>
    <row r="1358" spans="14:14" ht="14.25" customHeight="1">
      <c r="N1358" s="192">
        <v>0</v>
      </c>
    </row>
    <row r="1359" spans="14:14" ht="14.25" customHeight="1">
      <c r="N1359" s="192">
        <v>0</v>
      </c>
    </row>
    <row r="1360" spans="14:14" ht="14.25" customHeight="1">
      <c r="N1360" s="192">
        <v>0</v>
      </c>
    </row>
    <row r="1361" spans="14:14" ht="14.25" customHeight="1">
      <c r="N1361" s="192">
        <v>0</v>
      </c>
    </row>
    <row r="1362" spans="14:14" ht="14.25" customHeight="1">
      <c r="N1362" s="192">
        <v>0</v>
      </c>
    </row>
    <row r="1363" spans="14:14" ht="14.25" customHeight="1">
      <c r="N1363" s="192">
        <v>0</v>
      </c>
    </row>
    <row r="1364" spans="14:14" ht="14.25" customHeight="1">
      <c r="N1364" s="192">
        <v>0</v>
      </c>
    </row>
    <row r="1365" spans="14:14" ht="14.25" customHeight="1">
      <c r="N1365" s="192">
        <v>0</v>
      </c>
    </row>
    <row r="1366" spans="14:14" ht="14.25" customHeight="1">
      <c r="N1366" s="192">
        <v>0</v>
      </c>
    </row>
    <row r="1367" spans="14:14" ht="14.25" customHeight="1">
      <c r="N1367" s="192">
        <v>0</v>
      </c>
    </row>
    <row r="1368" spans="14:14" ht="14.25" customHeight="1">
      <c r="N1368" s="192">
        <v>0</v>
      </c>
    </row>
    <row r="1369" spans="14:14" ht="14.25" customHeight="1">
      <c r="N1369" s="192">
        <v>0</v>
      </c>
    </row>
    <row r="1370" spans="14:14" ht="14.25" customHeight="1">
      <c r="N1370" s="192">
        <v>0</v>
      </c>
    </row>
    <row r="1371" spans="14:14" ht="14.25" customHeight="1">
      <c r="N1371" s="192">
        <v>0</v>
      </c>
    </row>
    <row r="1372" spans="14:14" ht="14.25" customHeight="1">
      <c r="N1372" s="192">
        <v>0</v>
      </c>
    </row>
    <row r="1373" spans="14:14" ht="14.25" customHeight="1">
      <c r="N1373" s="192">
        <v>0</v>
      </c>
    </row>
    <row r="1374" spans="14:14" ht="14.25" customHeight="1">
      <c r="N1374" s="192">
        <v>0</v>
      </c>
    </row>
    <row r="1375" spans="14:14" ht="14.25" customHeight="1">
      <c r="N1375" s="192">
        <v>0</v>
      </c>
    </row>
    <row r="1376" spans="14:14" ht="14.25" customHeight="1">
      <c r="N1376" s="192">
        <v>0</v>
      </c>
    </row>
    <row r="1377" spans="14:14" ht="14.25" customHeight="1">
      <c r="N1377" s="192">
        <v>0</v>
      </c>
    </row>
    <row r="1378" spans="14:14" ht="14.25" customHeight="1">
      <c r="N1378" s="192">
        <v>0</v>
      </c>
    </row>
    <row r="1379" spans="14:14" ht="14.25" customHeight="1">
      <c r="N1379" s="192">
        <v>0</v>
      </c>
    </row>
    <row r="1380" spans="14:14" ht="14.25" customHeight="1">
      <c r="N1380" s="192">
        <v>0</v>
      </c>
    </row>
    <row r="1381" spans="14:14" ht="14.25" customHeight="1">
      <c r="N1381" s="192">
        <v>0</v>
      </c>
    </row>
    <row r="1382" spans="14:14" ht="14.25" customHeight="1">
      <c r="N1382" s="192">
        <v>0</v>
      </c>
    </row>
    <row r="1383" spans="14:14" ht="14.25" customHeight="1">
      <c r="N1383" s="192">
        <v>0</v>
      </c>
    </row>
    <row r="1384" spans="14:14" ht="14.25" customHeight="1">
      <c r="N1384" s="192">
        <v>0</v>
      </c>
    </row>
    <row r="1385" spans="14:14" ht="14.25" customHeight="1">
      <c r="N1385" s="192">
        <v>0</v>
      </c>
    </row>
    <row r="1386" spans="14:14" ht="14.25" customHeight="1">
      <c r="N1386" s="192">
        <v>0</v>
      </c>
    </row>
    <row r="1387" spans="14:14" ht="14.25" customHeight="1">
      <c r="N1387" s="192">
        <v>0</v>
      </c>
    </row>
    <row r="1388" spans="14:14" ht="14.25" customHeight="1">
      <c r="N1388" s="192">
        <v>0</v>
      </c>
    </row>
    <row r="1389" spans="14:14" ht="14.25" customHeight="1">
      <c r="N1389" s="192">
        <v>0</v>
      </c>
    </row>
    <row r="1390" spans="14:14" ht="14.25" customHeight="1">
      <c r="N1390" s="192">
        <v>0</v>
      </c>
    </row>
    <row r="1391" spans="14:14" ht="14.25" customHeight="1">
      <c r="N1391" s="192">
        <v>0</v>
      </c>
    </row>
    <row r="1392" spans="14:14" ht="14.25" customHeight="1">
      <c r="N1392" s="192">
        <v>0</v>
      </c>
    </row>
    <row r="1393" spans="14:14" ht="14.25" customHeight="1">
      <c r="N1393" s="192">
        <v>0</v>
      </c>
    </row>
    <row r="1394" spans="14:14" ht="14.25" customHeight="1">
      <c r="N1394" s="192">
        <v>0</v>
      </c>
    </row>
    <row r="1395" spans="14:14" ht="14.25" customHeight="1">
      <c r="N1395" s="192">
        <v>0</v>
      </c>
    </row>
    <row r="1396" spans="14:14" ht="14.25" customHeight="1">
      <c r="N1396" s="192">
        <v>0</v>
      </c>
    </row>
    <row r="1397" spans="14:14" ht="14.25" customHeight="1">
      <c r="N1397" s="192">
        <v>0</v>
      </c>
    </row>
    <row r="1398" spans="14:14" ht="14.25" customHeight="1">
      <c r="N1398" s="192">
        <v>0</v>
      </c>
    </row>
    <row r="1399" spans="14:14" ht="14.25" customHeight="1">
      <c r="N1399" s="192">
        <v>0</v>
      </c>
    </row>
    <row r="1400" spans="14:14" ht="14.25" customHeight="1">
      <c r="N1400" s="192">
        <v>0</v>
      </c>
    </row>
    <row r="1401" spans="14:14" ht="14.25" customHeight="1">
      <c r="N1401" s="192">
        <v>0</v>
      </c>
    </row>
    <row r="1402" spans="14:14" ht="14.25" customHeight="1">
      <c r="N1402" s="192">
        <v>0</v>
      </c>
    </row>
    <row r="1403" spans="14:14" ht="14.25" customHeight="1">
      <c r="N1403" s="192">
        <v>0</v>
      </c>
    </row>
    <row r="1404" spans="14:14" ht="14.25" customHeight="1">
      <c r="N1404" s="192">
        <v>0</v>
      </c>
    </row>
    <row r="1405" spans="14:14" ht="14.25" customHeight="1">
      <c r="N1405" s="192">
        <v>0</v>
      </c>
    </row>
    <row r="1406" spans="14:14" ht="14.25" customHeight="1">
      <c r="N1406" s="192">
        <v>0</v>
      </c>
    </row>
    <row r="1407" spans="14:14" ht="14.25" customHeight="1">
      <c r="N1407" s="192">
        <v>0</v>
      </c>
    </row>
    <row r="1408" spans="14:14" ht="14.25" customHeight="1">
      <c r="N1408" s="192">
        <v>0</v>
      </c>
    </row>
    <row r="1409" spans="14:14" ht="14.25" customHeight="1">
      <c r="N1409" s="192">
        <v>0</v>
      </c>
    </row>
    <row r="1410" spans="14:14" ht="14.25" customHeight="1">
      <c r="N1410" s="192">
        <v>0</v>
      </c>
    </row>
    <row r="1411" spans="14:14" ht="14.25" customHeight="1">
      <c r="N1411" s="192">
        <v>0</v>
      </c>
    </row>
    <row r="1412" spans="14:14" ht="14.25" customHeight="1">
      <c r="N1412" s="192">
        <v>0</v>
      </c>
    </row>
    <row r="1413" spans="14:14" ht="14.25" customHeight="1">
      <c r="N1413" s="192">
        <v>0</v>
      </c>
    </row>
    <row r="1414" spans="14:14" ht="14.25" customHeight="1">
      <c r="N1414" s="192">
        <v>0</v>
      </c>
    </row>
    <row r="1415" spans="14:14" ht="14.25" customHeight="1">
      <c r="N1415" s="192">
        <v>0</v>
      </c>
    </row>
    <row r="1416" spans="14:14" ht="14.25" customHeight="1">
      <c r="N1416" s="192">
        <v>0</v>
      </c>
    </row>
    <row r="1417" spans="14:14" ht="14.25" customHeight="1">
      <c r="N1417" s="192">
        <v>0</v>
      </c>
    </row>
    <row r="1418" spans="14:14" ht="14.25" customHeight="1">
      <c r="N1418" s="192">
        <v>0</v>
      </c>
    </row>
    <row r="1419" spans="14:14" ht="14.25" customHeight="1">
      <c r="N1419" s="192">
        <v>0</v>
      </c>
    </row>
    <row r="1420" spans="14:14" ht="14.25" customHeight="1">
      <c r="N1420" s="192">
        <v>0</v>
      </c>
    </row>
    <row r="1421" spans="14:14" ht="14.25" customHeight="1">
      <c r="N1421" s="192">
        <v>0</v>
      </c>
    </row>
    <row r="1422" spans="14:14" ht="14.25" customHeight="1">
      <c r="N1422" s="192">
        <v>0</v>
      </c>
    </row>
    <row r="1423" spans="14:14" ht="14.25" customHeight="1">
      <c r="N1423" s="192">
        <v>0</v>
      </c>
    </row>
    <row r="1424" spans="14:14" ht="14.25" customHeight="1">
      <c r="N1424" s="192">
        <v>0</v>
      </c>
    </row>
    <row r="1425" spans="14:14" ht="14.25" customHeight="1">
      <c r="N1425" s="192">
        <v>0</v>
      </c>
    </row>
    <row r="1426" spans="14:14" ht="14.25" customHeight="1">
      <c r="N1426" s="192">
        <v>0</v>
      </c>
    </row>
    <row r="1427" spans="14:14" ht="14.25" customHeight="1">
      <c r="N1427" s="192">
        <v>0</v>
      </c>
    </row>
    <row r="1428" spans="14:14" ht="14.25" customHeight="1">
      <c r="N1428" s="192">
        <v>0</v>
      </c>
    </row>
    <row r="1429" spans="14:14" ht="14.25" customHeight="1">
      <c r="N1429" s="192">
        <v>0</v>
      </c>
    </row>
    <row r="1430" spans="14:14" ht="14.25" customHeight="1">
      <c r="N1430" s="192">
        <v>0</v>
      </c>
    </row>
    <row r="1431" spans="14:14" ht="14.25" customHeight="1">
      <c r="N1431" s="192">
        <v>0</v>
      </c>
    </row>
    <row r="1432" spans="14:14" ht="14.25" customHeight="1">
      <c r="N1432" s="192">
        <v>0</v>
      </c>
    </row>
    <row r="1433" spans="14:14" ht="14.25" customHeight="1">
      <c r="N1433" s="192">
        <v>0</v>
      </c>
    </row>
    <row r="1434" spans="14:14" ht="14.25" customHeight="1">
      <c r="N1434" s="192">
        <v>0</v>
      </c>
    </row>
    <row r="1435" spans="14:14" ht="14.25" customHeight="1">
      <c r="N1435" s="192">
        <v>0</v>
      </c>
    </row>
    <row r="1436" spans="14:14" ht="14.25" customHeight="1">
      <c r="N1436" s="192">
        <v>0</v>
      </c>
    </row>
    <row r="1437" spans="14:14" ht="14.25" customHeight="1">
      <c r="N1437" s="192">
        <v>0</v>
      </c>
    </row>
    <row r="1438" spans="14:14" ht="14.25" customHeight="1">
      <c r="N1438" s="192">
        <v>0</v>
      </c>
    </row>
    <row r="1439" spans="14:14" ht="14.25" customHeight="1">
      <c r="N1439" s="192">
        <v>0</v>
      </c>
    </row>
    <row r="1440" spans="14:14" ht="14.25" customHeight="1">
      <c r="N1440" s="192">
        <v>0</v>
      </c>
    </row>
    <row r="1441" spans="14:14" ht="14.25" customHeight="1">
      <c r="N1441" s="192">
        <v>0</v>
      </c>
    </row>
    <row r="1442" spans="14:14" ht="14.25" customHeight="1">
      <c r="N1442" s="192">
        <v>0</v>
      </c>
    </row>
    <row r="1443" spans="14:14" ht="14.25" customHeight="1">
      <c r="N1443" s="192">
        <v>0</v>
      </c>
    </row>
    <row r="1444" spans="14:14" ht="14.25" customHeight="1">
      <c r="N1444" s="192">
        <v>0</v>
      </c>
    </row>
    <row r="1445" spans="14:14" ht="14.25" customHeight="1">
      <c r="N1445" s="192">
        <v>0</v>
      </c>
    </row>
    <row r="1446" spans="14:14" ht="14.25" customHeight="1">
      <c r="N1446" s="192">
        <v>0</v>
      </c>
    </row>
    <row r="1447" spans="14:14" ht="14.25" customHeight="1">
      <c r="N1447" s="192">
        <v>0</v>
      </c>
    </row>
    <row r="1448" spans="14:14" ht="14.25" customHeight="1">
      <c r="N1448" s="192">
        <v>0</v>
      </c>
    </row>
    <row r="1449" spans="14:14" ht="14.25" customHeight="1">
      <c r="N1449" s="192">
        <v>0</v>
      </c>
    </row>
    <row r="1450" spans="14:14" ht="14.25" customHeight="1">
      <c r="N1450" s="192">
        <v>0</v>
      </c>
    </row>
    <row r="1451" spans="14:14" ht="14.25" customHeight="1">
      <c r="N1451" s="192">
        <v>0</v>
      </c>
    </row>
    <row r="1452" spans="14:14" ht="14.25" customHeight="1">
      <c r="N1452" s="192">
        <v>0</v>
      </c>
    </row>
    <row r="1453" spans="14:14" ht="14.25" customHeight="1">
      <c r="N1453" s="192">
        <v>0</v>
      </c>
    </row>
    <row r="1454" spans="14:14" ht="14.25" customHeight="1">
      <c r="N1454" s="192">
        <v>0</v>
      </c>
    </row>
    <row r="1455" spans="14:14" ht="14.25" customHeight="1">
      <c r="N1455" s="192">
        <v>0</v>
      </c>
    </row>
    <row r="1456" spans="14:14" ht="14.25" customHeight="1">
      <c r="N1456" s="192">
        <v>0</v>
      </c>
    </row>
    <row r="1457" spans="14:14" ht="14.25" customHeight="1">
      <c r="N1457" s="192">
        <v>0</v>
      </c>
    </row>
    <row r="1458" spans="14:14" ht="14.25" customHeight="1">
      <c r="N1458" s="192">
        <v>0</v>
      </c>
    </row>
    <row r="1459" spans="14:14" ht="14.25" customHeight="1">
      <c r="N1459" s="192">
        <v>0</v>
      </c>
    </row>
    <row r="1460" spans="14:14" ht="14.25" customHeight="1">
      <c r="N1460" s="192">
        <v>0</v>
      </c>
    </row>
    <row r="1461" spans="14:14" ht="14.25" customHeight="1">
      <c r="N1461" s="192">
        <v>0</v>
      </c>
    </row>
    <row r="1462" spans="14:14" ht="14.25" customHeight="1">
      <c r="N1462" s="192">
        <v>0</v>
      </c>
    </row>
    <row r="1463" spans="14:14" ht="14.25" customHeight="1">
      <c r="N1463" s="192">
        <v>0</v>
      </c>
    </row>
    <row r="1464" spans="14:14" ht="14.25" customHeight="1">
      <c r="N1464" s="192">
        <v>0</v>
      </c>
    </row>
    <row r="1465" spans="14:14" ht="14.25" customHeight="1">
      <c r="N1465" s="192">
        <v>0</v>
      </c>
    </row>
    <row r="1466" spans="14:14" ht="14.25" customHeight="1">
      <c r="N1466" s="192">
        <v>0</v>
      </c>
    </row>
    <row r="1467" spans="14:14" ht="14.25" customHeight="1">
      <c r="N1467" s="192">
        <v>0</v>
      </c>
    </row>
    <row r="1468" spans="14:14" ht="14.25" customHeight="1">
      <c r="N1468" s="192">
        <v>0</v>
      </c>
    </row>
    <row r="1469" spans="14:14" ht="14.25" customHeight="1">
      <c r="N1469" s="192">
        <v>0</v>
      </c>
    </row>
    <row r="1470" spans="14:14" ht="14.25" customHeight="1">
      <c r="N1470" s="192">
        <v>0</v>
      </c>
    </row>
    <row r="1471" spans="14:14" ht="14.25" customHeight="1">
      <c r="N1471" s="192">
        <v>0</v>
      </c>
    </row>
    <row r="1472" spans="14:14" ht="14.25" customHeight="1">
      <c r="N1472" s="192">
        <v>0</v>
      </c>
    </row>
    <row r="1473" spans="14:14" ht="14.25" customHeight="1">
      <c r="N1473" s="192">
        <v>0</v>
      </c>
    </row>
    <row r="1474" spans="14:14" ht="14.25" customHeight="1">
      <c r="N1474" s="192">
        <v>0</v>
      </c>
    </row>
    <row r="1475" spans="14:14" ht="14.25" customHeight="1">
      <c r="N1475" s="192">
        <v>0</v>
      </c>
    </row>
    <row r="1476" spans="14:14" ht="14.25" customHeight="1">
      <c r="N1476" s="192">
        <v>0</v>
      </c>
    </row>
    <row r="1477" spans="14:14" ht="14.25" customHeight="1">
      <c r="N1477" s="192">
        <v>0</v>
      </c>
    </row>
    <row r="1478" spans="14:14" ht="14.25" customHeight="1">
      <c r="N1478" s="192">
        <v>0</v>
      </c>
    </row>
    <row r="1479" spans="14:14" ht="14.25" customHeight="1">
      <c r="N1479" s="192">
        <v>0</v>
      </c>
    </row>
    <row r="1480" spans="14:14" ht="14.25" customHeight="1">
      <c r="N1480" s="192">
        <v>0</v>
      </c>
    </row>
    <row r="1481" spans="14:14" ht="14.25" customHeight="1">
      <c r="N1481" s="192">
        <v>0</v>
      </c>
    </row>
    <row r="1482" spans="14:14" ht="14.25" customHeight="1">
      <c r="N1482" s="192">
        <v>0</v>
      </c>
    </row>
    <row r="1483" spans="14:14" ht="14.25" customHeight="1">
      <c r="N1483" s="192">
        <v>0</v>
      </c>
    </row>
    <row r="1484" spans="14:14" ht="14.25" customHeight="1">
      <c r="N1484" s="192">
        <v>0</v>
      </c>
    </row>
    <row r="1485" spans="14:14" ht="14.25" customHeight="1">
      <c r="N1485" s="192">
        <v>0</v>
      </c>
    </row>
    <row r="1486" spans="14:14" ht="14.25" customHeight="1">
      <c r="N1486" s="192">
        <v>0</v>
      </c>
    </row>
    <row r="1487" spans="14:14" ht="14.25" customHeight="1">
      <c r="N1487" s="192">
        <v>0</v>
      </c>
    </row>
    <row r="1488" spans="14:14" ht="14.25" customHeight="1">
      <c r="N1488" s="192">
        <v>0</v>
      </c>
    </row>
    <row r="1489" spans="14:14" ht="14.25" customHeight="1">
      <c r="N1489" s="192">
        <v>0</v>
      </c>
    </row>
    <row r="1490" spans="14:14" ht="14.25" customHeight="1">
      <c r="N1490" s="192">
        <v>0</v>
      </c>
    </row>
    <row r="1491" spans="14:14" ht="14.25" customHeight="1">
      <c r="N1491" s="192">
        <v>0</v>
      </c>
    </row>
    <row r="1492" spans="14:14" ht="14.25" customHeight="1">
      <c r="N1492" s="192">
        <v>0</v>
      </c>
    </row>
    <row r="1493" spans="14:14" ht="14.25" customHeight="1">
      <c r="N1493" s="192">
        <v>0</v>
      </c>
    </row>
    <row r="1494" spans="14:14" ht="14.25" customHeight="1">
      <c r="N1494" s="192">
        <v>0</v>
      </c>
    </row>
    <row r="1495" spans="14:14" ht="14.25" customHeight="1">
      <c r="N1495" s="192">
        <v>0</v>
      </c>
    </row>
    <row r="1496" spans="14:14" ht="14.25" customHeight="1">
      <c r="N1496" s="192">
        <v>0</v>
      </c>
    </row>
    <row r="1497" spans="14:14" ht="14.25" customHeight="1">
      <c r="N1497" s="192">
        <v>0</v>
      </c>
    </row>
    <row r="1498" spans="14:14" ht="14.25" customHeight="1">
      <c r="N1498" s="192">
        <v>0</v>
      </c>
    </row>
    <row r="1499" spans="14:14" ht="14.25" customHeight="1">
      <c r="N1499" s="192">
        <v>0</v>
      </c>
    </row>
    <row r="1500" spans="14:14" ht="14.25" customHeight="1">
      <c r="N1500" s="192">
        <v>0</v>
      </c>
    </row>
    <row r="1501" spans="14:14" ht="14.25" customHeight="1">
      <c r="N1501" s="192">
        <v>0</v>
      </c>
    </row>
    <row r="1502" spans="14:14" ht="14.25" customHeight="1">
      <c r="N1502" s="192">
        <v>0</v>
      </c>
    </row>
    <row r="1503" spans="14:14" ht="14.25" customHeight="1">
      <c r="N1503" s="192">
        <v>0</v>
      </c>
    </row>
    <row r="1504" spans="14:14" ht="14.25" customHeight="1">
      <c r="N1504" s="192">
        <v>0</v>
      </c>
    </row>
    <row r="1505" spans="14:14" ht="14.25" customHeight="1">
      <c r="N1505" s="192">
        <v>0</v>
      </c>
    </row>
    <row r="1506" spans="14:14" ht="14.25" customHeight="1">
      <c r="N1506" s="192">
        <v>0</v>
      </c>
    </row>
    <row r="1507" spans="14:14" ht="14.25" customHeight="1">
      <c r="N1507" s="192">
        <v>0</v>
      </c>
    </row>
    <row r="1508" spans="14:14" ht="14.25" customHeight="1">
      <c r="N1508" s="192">
        <v>0</v>
      </c>
    </row>
    <row r="1509" spans="14:14" ht="14.25" customHeight="1">
      <c r="N1509" s="192">
        <v>0</v>
      </c>
    </row>
    <row r="1510" spans="14:14" ht="14.25" customHeight="1">
      <c r="N1510" s="192">
        <v>0</v>
      </c>
    </row>
    <row r="1511" spans="14:14" ht="14.25" customHeight="1">
      <c r="N1511" s="192">
        <v>0</v>
      </c>
    </row>
    <row r="1512" spans="14:14" ht="14.25" customHeight="1">
      <c r="N1512" s="192">
        <v>0</v>
      </c>
    </row>
    <row r="1513" spans="14:14" ht="14.25" customHeight="1">
      <c r="N1513" s="192">
        <v>0</v>
      </c>
    </row>
    <row r="1514" spans="14:14" ht="14.25" customHeight="1">
      <c r="N1514" s="192">
        <v>0</v>
      </c>
    </row>
    <row r="1515" spans="14:14" ht="14.25" customHeight="1">
      <c r="N1515" s="192">
        <v>0</v>
      </c>
    </row>
    <row r="1516" spans="14:14" ht="14.25" customHeight="1">
      <c r="N1516" s="192">
        <v>0</v>
      </c>
    </row>
    <row r="1517" spans="14:14" ht="14.25" customHeight="1">
      <c r="N1517" s="192">
        <v>0</v>
      </c>
    </row>
    <row r="1518" spans="14:14" ht="14.25" customHeight="1">
      <c r="N1518" s="192">
        <v>0</v>
      </c>
    </row>
    <row r="1519" spans="14:14" ht="14.25" customHeight="1">
      <c r="N1519" s="192">
        <v>0</v>
      </c>
    </row>
    <row r="1520" spans="14:14" ht="14.25" customHeight="1">
      <c r="N1520" s="192">
        <v>0</v>
      </c>
    </row>
    <row r="1521" spans="14:14" ht="14.25" customHeight="1">
      <c r="N1521" s="192">
        <v>0</v>
      </c>
    </row>
    <row r="1522" spans="14:14" ht="14.25" customHeight="1">
      <c r="N1522" s="192">
        <v>0</v>
      </c>
    </row>
    <row r="1523" spans="14:14" ht="14.25" customHeight="1">
      <c r="N1523" s="192">
        <v>0</v>
      </c>
    </row>
    <row r="1524" spans="14:14" ht="14.25" customHeight="1">
      <c r="N1524" s="192">
        <v>0</v>
      </c>
    </row>
    <row r="1525" spans="14:14" ht="14.25" customHeight="1">
      <c r="N1525" s="192">
        <v>0</v>
      </c>
    </row>
    <row r="1526" spans="14:14" ht="14.25" customHeight="1">
      <c r="N1526" s="192">
        <v>0</v>
      </c>
    </row>
    <row r="1527" spans="14:14" ht="14.25" customHeight="1">
      <c r="N1527" s="192">
        <v>0</v>
      </c>
    </row>
    <row r="1528" spans="14:14" ht="14.25" customHeight="1">
      <c r="N1528" s="192">
        <v>0</v>
      </c>
    </row>
    <row r="1529" spans="14:14" ht="14.25" customHeight="1">
      <c r="N1529" s="192">
        <v>0</v>
      </c>
    </row>
    <row r="1530" spans="14:14" ht="14.25" customHeight="1">
      <c r="N1530" s="192">
        <v>0</v>
      </c>
    </row>
    <row r="1531" spans="14:14" ht="14.25" customHeight="1">
      <c r="N1531" s="192">
        <v>0</v>
      </c>
    </row>
    <row r="1532" spans="14:14" ht="14.25" customHeight="1">
      <c r="N1532" s="192">
        <v>0</v>
      </c>
    </row>
    <row r="1533" spans="14:14" ht="14.25" customHeight="1">
      <c r="N1533" s="192">
        <v>0</v>
      </c>
    </row>
    <row r="1534" spans="14:14" ht="14.25" customHeight="1">
      <c r="N1534" s="192">
        <v>0</v>
      </c>
    </row>
    <row r="1535" spans="14:14" ht="14.25" customHeight="1">
      <c r="N1535" s="192">
        <v>0</v>
      </c>
    </row>
    <row r="1536" spans="14:14" ht="14.25" customHeight="1">
      <c r="N1536" s="192">
        <v>0</v>
      </c>
    </row>
    <row r="1537" spans="14:14" ht="14.25" customHeight="1">
      <c r="N1537" s="192">
        <v>0</v>
      </c>
    </row>
    <row r="1538" spans="14:14" ht="14.25" customHeight="1">
      <c r="N1538" s="192">
        <v>0</v>
      </c>
    </row>
    <row r="1539" spans="14:14" ht="14.25" customHeight="1">
      <c r="N1539" s="192">
        <v>0</v>
      </c>
    </row>
    <row r="1540" spans="14:14" ht="14.25" customHeight="1">
      <c r="N1540" s="192">
        <v>0</v>
      </c>
    </row>
    <row r="1541" spans="14:14" ht="14.25" customHeight="1">
      <c r="N1541" s="192">
        <v>0</v>
      </c>
    </row>
    <row r="1542" spans="14:14" ht="14.25" customHeight="1">
      <c r="N1542" s="192">
        <v>0</v>
      </c>
    </row>
    <row r="1543" spans="14:14" ht="14.25" customHeight="1">
      <c r="N1543" s="192">
        <v>0</v>
      </c>
    </row>
    <row r="1544" spans="14:14" ht="14.25" customHeight="1">
      <c r="N1544" s="192">
        <v>0</v>
      </c>
    </row>
    <row r="1545" spans="14:14" ht="14.25" customHeight="1">
      <c r="N1545" s="192">
        <v>0</v>
      </c>
    </row>
    <row r="1546" spans="14:14" ht="14.25" customHeight="1">
      <c r="N1546" s="192">
        <v>0</v>
      </c>
    </row>
    <row r="1547" spans="14:14" ht="14.25" customHeight="1">
      <c r="N1547" s="192">
        <v>0</v>
      </c>
    </row>
    <row r="1548" spans="14:14" ht="14.25" customHeight="1">
      <c r="N1548" s="192">
        <v>0</v>
      </c>
    </row>
    <row r="1549" spans="14:14" ht="14.25" customHeight="1">
      <c r="N1549" s="192">
        <v>0</v>
      </c>
    </row>
    <row r="1550" spans="14:14" ht="14.25" customHeight="1">
      <c r="N1550" s="192">
        <v>0</v>
      </c>
    </row>
    <row r="1551" spans="14:14" ht="14.25" customHeight="1">
      <c r="N1551" s="192">
        <v>0</v>
      </c>
    </row>
    <row r="1552" spans="14:14" ht="14.25" customHeight="1">
      <c r="N1552" s="192">
        <v>0</v>
      </c>
    </row>
    <row r="1553" spans="14:14" ht="14.25" customHeight="1">
      <c r="N1553" s="192">
        <v>0</v>
      </c>
    </row>
    <row r="1554" spans="14:14" ht="14.25" customHeight="1">
      <c r="N1554" s="192">
        <v>0</v>
      </c>
    </row>
    <row r="1555" spans="14:14" ht="14.25" customHeight="1">
      <c r="N1555" s="192">
        <v>0</v>
      </c>
    </row>
    <row r="1556" spans="14:14" ht="14.25" customHeight="1">
      <c r="N1556" s="192">
        <v>0</v>
      </c>
    </row>
    <row r="1557" spans="14:14" ht="14.25" customHeight="1">
      <c r="N1557" s="192">
        <v>0</v>
      </c>
    </row>
    <row r="1558" spans="14:14" ht="14.25" customHeight="1">
      <c r="N1558" s="192">
        <v>0</v>
      </c>
    </row>
    <row r="1559" spans="14:14" ht="14.25" customHeight="1">
      <c r="N1559" s="192">
        <v>0</v>
      </c>
    </row>
    <row r="1560" spans="14:14" ht="14.25" customHeight="1">
      <c r="N1560" s="192">
        <v>0</v>
      </c>
    </row>
    <row r="1561" spans="14:14" ht="14.25" customHeight="1">
      <c r="N1561" s="192">
        <v>0</v>
      </c>
    </row>
    <row r="1562" spans="14:14" ht="14.25" customHeight="1">
      <c r="N1562" s="192">
        <v>0</v>
      </c>
    </row>
    <row r="1563" spans="14:14" ht="14.25" customHeight="1">
      <c r="N1563" s="192">
        <v>0</v>
      </c>
    </row>
    <row r="1564" spans="14:14" ht="14.25" customHeight="1">
      <c r="N1564" s="192">
        <v>0</v>
      </c>
    </row>
    <row r="1565" spans="14:14" ht="14.25" customHeight="1">
      <c r="N1565" s="192">
        <v>0</v>
      </c>
    </row>
    <row r="1566" spans="14:14" ht="14.25" customHeight="1">
      <c r="N1566" s="192">
        <v>0</v>
      </c>
    </row>
    <row r="1567" spans="14:14" ht="14.25" customHeight="1">
      <c r="N1567" s="192">
        <v>0</v>
      </c>
    </row>
    <row r="1568" spans="14:14" ht="14.25" customHeight="1">
      <c r="N1568" s="192">
        <v>0</v>
      </c>
    </row>
    <row r="1569" spans="14:14" ht="14.25" customHeight="1">
      <c r="N1569" s="192">
        <v>0</v>
      </c>
    </row>
    <row r="1570" spans="14:14" ht="14.25" customHeight="1">
      <c r="N1570" s="192">
        <v>0</v>
      </c>
    </row>
    <row r="1571" spans="14:14" ht="14.25" customHeight="1">
      <c r="N1571" s="192">
        <v>0</v>
      </c>
    </row>
    <row r="1572" spans="14:14" ht="14.25" customHeight="1">
      <c r="N1572" s="192">
        <v>0</v>
      </c>
    </row>
    <row r="1573" spans="14:14" ht="14.25" customHeight="1">
      <c r="N1573" s="192">
        <v>0</v>
      </c>
    </row>
    <row r="1574" spans="14:14" ht="14.25" customHeight="1">
      <c r="N1574" s="192">
        <v>0</v>
      </c>
    </row>
    <row r="1575" spans="14:14" ht="14.25" customHeight="1">
      <c r="N1575" s="192">
        <v>0</v>
      </c>
    </row>
    <row r="1576" spans="14:14" ht="14.25" customHeight="1">
      <c r="N1576" s="192">
        <v>0</v>
      </c>
    </row>
    <row r="1577" spans="14:14" ht="14.25" customHeight="1">
      <c r="N1577" s="192">
        <v>0</v>
      </c>
    </row>
    <row r="1578" spans="14:14" ht="14.25" customHeight="1">
      <c r="N1578" s="192">
        <v>0</v>
      </c>
    </row>
    <row r="1579" spans="14:14" ht="14.25" customHeight="1">
      <c r="N1579" s="192">
        <v>0</v>
      </c>
    </row>
    <row r="1580" spans="14:14" ht="14.25" customHeight="1">
      <c r="N1580" s="192">
        <v>0</v>
      </c>
    </row>
    <row r="1581" spans="14:14" ht="14.25" customHeight="1">
      <c r="N1581" s="192">
        <v>0</v>
      </c>
    </row>
    <row r="1582" spans="14:14" ht="14.25" customHeight="1">
      <c r="N1582" s="192">
        <v>0</v>
      </c>
    </row>
    <row r="1583" spans="14:14" ht="14.25" customHeight="1">
      <c r="N1583" s="192">
        <v>0</v>
      </c>
    </row>
    <row r="1584" spans="14:14" ht="14.25" customHeight="1">
      <c r="N1584" s="192">
        <v>0</v>
      </c>
    </row>
    <row r="1585" spans="14:14" ht="14.25" customHeight="1">
      <c r="N1585" s="192">
        <v>0</v>
      </c>
    </row>
    <row r="1586" spans="14:14" ht="14.25" customHeight="1">
      <c r="N1586" s="192">
        <v>0</v>
      </c>
    </row>
    <row r="1587" spans="14:14" ht="14.25" customHeight="1">
      <c r="N1587" s="192">
        <v>0</v>
      </c>
    </row>
    <row r="1588" spans="14:14" ht="14.25" customHeight="1">
      <c r="N1588" s="192">
        <v>0</v>
      </c>
    </row>
    <row r="1589" spans="14:14" ht="14.25" customHeight="1">
      <c r="N1589" s="192">
        <v>0</v>
      </c>
    </row>
    <row r="1590" spans="14:14" ht="14.25" customHeight="1">
      <c r="N1590" s="192">
        <v>0</v>
      </c>
    </row>
    <row r="1591" spans="14:14" ht="14.25" customHeight="1">
      <c r="N1591" s="192">
        <v>0</v>
      </c>
    </row>
    <row r="1592" spans="14:14" ht="14.25" customHeight="1">
      <c r="N1592" s="192">
        <v>0</v>
      </c>
    </row>
    <row r="1593" spans="14:14" ht="14.25" customHeight="1">
      <c r="N1593" s="192">
        <v>0</v>
      </c>
    </row>
    <row r="1594" spans="14:14" ht="14.25" customHeight="1">
      <c r="N1594" s="192">
        <v>0</v>
      </c>
    </row>
    <row r="1595" spans="14:14" ht="14.25" customHeight="1">
      <c r="N1595" s="192">
        <v>0</v>
      </c>
    </row>
    <row r="1596" spans="14:14" ht="14.25" customHeight="1">
      <c r="N1596" s="192">
        <v>0</v>
      </c>
    </row>
    <row r="1597" spans="14:14" ht="14.25" customHeight="1">
      <c r="N1597" s="192">
        <v>0</v>
      </c>
    </row>
    <row r="1598" spans="14:14" ht="14.25" customHeight="1">
      <c r="N1598" s="192">
        <v>0</v>
      </c>
    </row>
    <row r="1599" spans="14:14" ht="14.25" customHeight="1">
      <c r="N1599" s="192">
        <v>0</v>
      </c>
    </row>
    <row r="1600" spans="14:14" ht="14.25" customHeight="1">
      <c r="N1600" s="192">
        <v>0</v>
      </c>
    </row>
    <row r="1601" spans="14:14" ht="14.25" customHeight="1">
      <c r="N1601" s="192">
        <v>0</v>
      </c>
    </row>
    <row r="1602" spans="14:14" ht="14.25" customHeight="1">
      <c r="N1602" s="192">
        <v>0</v>
      </c>
    </row>
    <row r="1603" spans="14:14" ht="14.25" customHeight="1">
      <c r="N1603" s="192">
        <v>0</v>
      </c>
    </row>
    <row r="1604" spans="14:14" ht="14.25" customHeight="1">
      <c r="N1604" s="192">
        <v>0</v>
      </c>
    </row>
    <row r="1605" spans="14:14" ht="14.25" customHeight="1">
      <c r="N1605" s="192">
        <v>0</v>
      </c>
    </row>
    <row r="1606" spans="14:14" ht="14.25" customHeight="1">
      <c r="N1606" s="192">
        <v>0</v>
      </c>
    </row>
    <row r="1607" spans="14:14" ht="14.25" customHeight="1">
      <c r="N1607" s="192">
        <v>0</v>
      </c>
    </row>
    <row r="1608" spans="14:14" ht="14.25" customHeight="1">
      <c r="N1608" s="192">
        <v>0</v>
      </c>
    </row>
    <row r="1609" spans="14:14" ht="14.25" customHeight="1">
      <c r="N1609" s="192">
        <v>0</v>
      </c>
    </row>
    <row r="1610" spans="14:14" ht="14.25" customHeight="1">
      <c r="N1610" s="192">
        <v>0</v>
      </c>
    </row>
    <row r="1611" spans="14:14" ht="14.25" customHeight="1">
      <c r="N1611" s="192">
        <v>0</v>
      </c>
    </row>
    <row r="1612" spans="14:14" ht="14.25" customHeight="1">
      <c r="N1612" s="192">
        <v>0</v>
      </c>
    </row>
    <row r="1613" spans="14:14" ht="14.25" customHeight="1">
      <c r="N1613" s="192">
        <v>0</v>
      </c>
    </row>
    <row r="1614" spans="14:14" ht="14.25" customHeight="1">
      <c r="N1614" s="192">
        <v>0</v>
      </c>
    </row>
    <row r="1615" spans="14:14" ht="14.25" customHeight="1">
      <c r="N1615" s="192">
        <v>0</v>
      </c>
    </row>
    <row r="1616" spans="14:14" ht="14.25" customHeight="1">
      <c r="N1616" s="192">
        <v>0</v>
      </c>
    </row>
    <row r="1617" spans="14:14" ht="14.25" customHeight="1">
      <c r="N1617" s="192">
        <v>0</v>
      </c>
    </row>
    <row r="1618" spans="14:14" ht="14.25" customHeight="1">
      <c r="N1618" s="192">
        <v>0</v>
      </c>
    </row>
    <row r="1619" spans="14:14" ht="14.25" customHeight="1">
      <c r="N1619" s="192">
        <v>0</v>
      </c>
    </row>
    <row r="1620" spans="14:14" ht="14.25" customHeight="1">
      <c r="N1620" s="192">
        <v>0</v>
      </c>
    </row>
    <row r="1621" spans="14:14" ht="14.25" customHeight="1">
      <c r="N1621" s="192">
        <v>0</v>
      </c>
    </row>
    <row r="1622" spans="14:14" ht="14.25" customHeight="1">
      <c r="N1622" s="192">
        <v>0</v>
      </c>
    </row>
    <row r="1623" spans="14:14" ht="14.25" customHeight="1">
      <c r="N1623" s="192">
        <v>0</v>
      </c>
    </row>
    <row r="1624" spans="14:14" ht="14.25" customHeight="1">
      <c r="N1624" s="192">
        <v>0</v>
      </c>
    </row>
    <row r="1625" spans="14:14" ht="14.25" customHeight="1">
      <c r="N1625" s="192">
        <v>0</v>
      </c>
    </row>
    <row r="1626" spans="14:14" ht="14.25" customHeight="1">
      <c r="N1626" s="192">
        <v>0</v>
      </c>
    </row>
    <row r="1627" spans="14:14" ht="14.25" customHeight="1">
      <c r="N1627" s="192">
        <v>0</v>
      </c>
    </row>
    <row r="1628" spans="14:14" ht="14.25" customHeight="1">
      <c r="N1628" s="192">
        <v>0</v>
      </c>
    </row>
    <row r="1629" spans="14:14" ht="14.25" customHeight="1">
      <c r="N1629" s="192">
        <v>0</v>
      </c>
    </row>
    <row r="1630" spans="14:14" ht="14.25" customHeight="1">
      <c r="N1630" s="192">
        <v>0</v>
      </c>
    </row>
    <row r="1631" spans="14:14" ht="14.25" customHeight="1">
      <c r="N1631" s="192">
        <v>0</v>
      </c>
    </row>
    <row r="1632" spans="14:14" ht="14.25" customHeight="1">
      <c r="N1632" s="192">
        <v>0</v>
      </c>
    </row>
    <row r="1633" spans="14:14" ht="14.25" customHeight="1">
      <c r="N1633" s="192">
        <v>0</v>
      </c>
    </row>
    <row r="1634" spans="14:14" ht="14.25" customHeight="1">
      <c r="N1634" s="192">
        <v>0</v>
      </c>
    </row>
    <row r="1635" spans="14:14" ht="14.25" customHeight="1">
      <c r="N1635" s="192">
        <v>0</v>
      </c>
    </row>
    <row r="1636" spans="14:14" ht="14.25" customHeight="1">
      <c r="N1636" s="192">
        <v>0</v>
      </c>
    </row>
    <row r="1637" spans="14:14" ht="14.25" customHeight="1">
      <c r="N1637" s="192">
        <v>0</v>
      </c>
    </row>
    <row r="1638" spans="14:14" ht="14.25" customHeight="1">
      <c r="N1638" s="192">
        <v>0</v>
      </c>
    </row>
    <row r="1639" spans="14:14" ht="14.25" customHeight="1">
      <c r="N1639" s="192">
        <v>0</v>
      </c>
    </row>
    <row r="1640" spans="14:14" ht="14.25" customHeight="1">
      <c r="N1640" s="192">
        <v>0</v>
      </c>
    </row>
    <row r="1641" spans="14:14" ht="14.25" customHeight="1">
      <c r="N1641" s="192">
        <v>0</v>
      </c>
    </row>
    <row r="1642" spans="14:14" ht="14.25" customHeight="1">
      <c r="N1642" s="192">
        <v>0</v>
      </c>
    </row>
    <row r="1643" spans="14:14" ht="14.25" customHeight="1">
      <c r="N1643" s="192">
        <v>0</v>
      </c>
    </row>
    <row r="1644" spans="14:14" ht="14.25" customHeight="1">
      <c r="N1644" s="192">
        <v>0</v>
      </c>
    </row>
    <row r="1645" spans="14:14" ht="14.25" customHeight="1">
      <c r="N1645" s="192">
        <v>0</v>
      </c>
    </row>
    <row r="1646" spans="14:14" ht="14.25" customHeight="1">
      <c r="N1646" s="192">
        <v>0</v>
      </c>
    </row>
    <row r="1647" spans="14:14" ht="14.25" customHeight="1">
      <c r="N1647" s="192">
        <v>0</v>
      </c>
    </row>
    <row r="1648" spans="14:14" ht="14.25" customHeight="1">
      <c r="N1648" s="192">
        <v>0</v>
      </c>
    </row>
    <row r="1649" spans="14:14" ht="14.25" customHeight="1">
      <c r="N1649" s="192">
        <v>0</v>
      </c>
    </row>
    <row r="1650" spans="14:14" ht="14.25" customHeight="1">
      <c r="N1650" s="192">
        <v>0</v>
      </c>
    </row>
    <row r="1651" spans="14:14" ht="14.25" customHeight="1">
      <c r="N1651" s="192">
        <v>0</v>
      </c>
    </row>
    <row r="1652" spans="14:14" ht="14.25" customHeight="1">
      <c r="N1652" s="192">
        <v>0</v>
      </c>
    </row>
    <row r="1653" spans="14:14" ht="14.25" customHeight="1">
      <c r="N1653" s="192">
        <v>0</v>
      </c>
    </row>
    <row r="1654" spans="14:14" ht="14.25" customHeight="1">
      <c r="N1654" s="192">
        <v>0</v>
      </c>
    </row>
    <row r="1655" spans="14:14" ht="14.25" customHeight="1">
      <c r="N1655" s="192">
        <v>0</v>
      </c>
    </row>
    <row r="1656" spans="14:14" ht="14.25" customHeight="1">
      <c r="N1656" s="192">
        <v>0</v>
      </c>
    </row>
    <row r="1657" spans="14:14" ht="14.25" customHeight="1">
      <c r="N1657" s="192">
        <v>0</v>
      </c>
    </row>
    <row r="1658" spans="14:14" ht="14.25" customHeight="1">
      <c r="N1658" s="192">
        <v>0</v>
      </c>
    </row>
    <row r="1659" spans="14:14" ht="14.25" customHeight="1">
      <c r="N1659" s="192">
        <v>0</v>
      </c>
    </row>
    <row r="1660" spans="14:14" ht="14.25" customHeight="1">
      <c r="N1660" s="192">
        <v>0</v>
      </c>
    </row>
    <row r="1661" spans="14:14" ht="14.25" customHeight="1">
      <c r="N1661" s="192">
        <v>0</v>
      </c>
    </row>
    <row r="1662" spans="14:14" ht="14.25" customHeight="1">
      <c r="N1662" s="192">
        <v>0</v>
      </c>
    </row>
    <row r="1663" spans="14:14" ht="14.25" customHeight="1">
      <c r="N1663" s="192">
        <v>0</v>
      </c>
    </row>
    <row r="1664" spans="14:14" ht="14.25" customHeight="1">
      <c r="N1664" s="192">
        <v>0</v>
      </c>
    </row>
    <row r="1665" spans="14:14" ht="14.25" customHeight="1">
      <c r="N1665" s="192">
        <v>0</v>
      </c>
    </row>
    <row r="1666" spans="14:14" ht="14.25" customHeight="1">
      <c r="N1666" s="192">
        <v>0</v>
      </c>
    </row>
    <row r="1667" spans="14:14" ht="14.25" customHeight="1">
      <c r="N1667" s="192">
        <v>0</v>
      </c>
    </row>
    <row r="1668" spans="14:14" ht="14.25" customHeight="1">
      <c r="N1668" s="192">
        <v>0</v>
      </c>
    </row>
    <row r="1669" spans="14:14" ht="14.25" customHeight="1">
      <c r="N1669" s="192">
        <v>0</v>
      </c>
    </row>
    <row r="1670" spans="14:14" ht="14.25" customHeight="1">
      <c r="N1670" s="192">
        <v>0</v>
      </c>
    </row>
    <row r="1671" spans="14:14" ht="14.25" customHeight="1">
      <c r="N1671" s="192">
        <v>0</v>
      </c>
    </row>
    <row r="1672" spans="14:14" ht="14.25" customHeight="1">
      <c r="N1672" s="192">
        <v>0</v>
      </c>
    </row>
    <row r="1673" spans="14:14" ht="14.25" customHeight="1">
      <c r="N1673" s="192">
        <v>0</v>
      </c>
    </row>
    <row r="1674" spans="14:14" ht="14.25" customHeight="1">
      <c r="N1674" s="192">
        <v>0</v>
      </c>
    </row>
    <row r="1675" spans="14:14" ht="14.25" customHeight="1">
      <c r="N1675" s="192">
        <v>0</v>
      </c>
    </row>
    <row r="1676" spans="14:14" ht="14.25" customHeight="1">
      <c r="N1676" s="192">
        <v>0</v>
      </c>
    </row>
    <row r="1677" spans="14:14" ht="14.25" customHeight="1">
      <c r="N1677" s="192">
        <v>0</v>
      </c>
    </row>
    <row r="1678" spans="14:14" ht="14.25" customHeight="1">
      <c r="N1678" s="192">
        <v>0</v>
      </c>
    </row>
    <row r="1679" spans="14:14" ht="14.25" customHeight="1">
      <c r="N1679" s="192">
        <v>0</v>
      </c>
    </row>
    <row r="1680" spans="14:14" ht="14.25" customHeight="1">
      <c r="N1680" s="192">
        <v>0</v>
      </c>
    </row>
    <row r="1681" spans="14:14" ht="14.25" customHeight="1">
      <c r="N1681" s="192">
        <v>0</v>
      </c>
    </row>
    <row r="1682" spans="14:14" ht="14.25" customHeight="1">
      <c r="N1682" s="192">
        <v>0</v>
      </c>
    </row>
    <row r="1683" spans="14:14" ht="14.25" customHeight="1">
      <c r="N1683" s="192">
        <v>0</v>
      </c>
    </row>
    <row r="1684" spans="14:14" ht="14.25" customHeight="1">
      <c r="N1684" s="192">
        <v>0</v>
      </c>
    </row>
    <row r="1685" spans="14:14" ht="14.25" customHeight="1">
      <c r="N1685" s="192">
        <v>0</v>
      </c>
    </row>
    <row r="1686" spans="14:14" ht="14.25" customHeight="1">
      <c r="N1686" s="192">
        <v>0</v>
      </c>
    </row>
    <row r="1687" spans="14:14" ht="14.25" customHeight="1">
      <c r="N1687" s="192">
        <v>0</v>
      </c>
    </row>
    <row r="1688" spans="14:14" ht="14.25" customHeight="1">
      <c r="N1688" s="192">
        <v>0</v>
      </c>
    </row>
    <row r="1689" spans="14:14" ht="14.25" customHeight="1">
      <c r="N1689" s="192">
        <v>0</v>
      </c>
    </row>
    <row r="1690" spans="14:14" ht="14.25" customHeight="1">
      <c r="N1690" s="192">
        <v>0</v>
      </c>
    </row>
    <row r="1691" spans="14:14" ht="14.25" customHeight="1">
      <c r="N1691" s="192">
        <v>0</v>
      </c>
    </row>
    <row r="1692" spans="14:14" ht="14.25" customHeight="1">
      <c r="N1692" s="192">
        <v>0</v>
      </c>
    </row>
    <row r="1693" spans="14:14" ht="14.25" customHeight="1">
      <c r="N1693" s="192">
        <v>0</v>
      </c>
    </row>
    <row r="1694" spans="14:14" ht="14.25" customHeight="1">
      <c r="N1694" s="192">
        <v>0</v>
      </c>
    </row>
    <row r="1695" spans="14:14" ht="14.25" customHeight="1">
      <c r="N1695" s="192">
        <v>0</v>
      </c>
    </row>
    <row r="1696" spans="14:14" ht="14.25" customHeight="1">
      <c r="N1696" s="192">
        <v>0</v>
      </c>
    </row>
    <row r="1697" spans="14:14" ht="14.25" customHeight="1">
      <c r="N1697" s="192">
        <v>0</v>
      </c>
    </row>
    <row r="1698" spans="14:14" ht="14.25" customHeight="1">
      <c r="N1698" s="192">
        <v>0</v>
      </c>
    </row>
    <row r="1699" spans="14:14" ht="14.25" customHeight="1">
      <c r="N1699" s="192">
        <v>0</v>
      </c>
    </row>
    <row r="1700" spans="14:14" ht="14.25" customHeight="1">
      <c r="N1700" s="192">
        <v>0</v>
      </c>
    </row>
    <row r="1701" spans="14:14" ht="14.25" customHeight="1">
      <c r="N1701" s="192">
        <v>0</v>
      </c>
    </row>
    <row r="1702" spans="14:14" ht="14.25" customHeight="1">
      <c r="N1702" s="192">
        <v>0</v>
      </c>
    </row>
    <row r="1703" spans="14:14" ht="14.25" customHeight="1">
      <c r="N1703" s="192">
        <v>0</v>
      </c>
    </row>
    <row r="1704" spans="14:14" ht="14.25" customHeight="1">
      <c r="N1704" s="192">
        <v>0</v>
      </c>
    </row>
    <row r="1705" spans="14:14" ht="14.25" customHeight="1">
      <c r="N1705" s="192">
        <v>0</v>
      </c>
    </row>
    <row r="1706" spans="14:14" ht="14.25" customHeight="1">
      <c r="N1706" s="192">
        <v>0</v>
      </c>
    </row>
    <row r="1707" spans="14:14" ht="14.25" customHeight="1">
      <c r="N1707" s="192">
        <v>0</v>
      </c>
    </row>
    <row r="1708" spans="14:14" ht="14.25" customHeight="1">
      <c r="N1708" s="192">
        <v>0</v>
      </c>
    </row>
    <row r="1709" spans="14:14" ht="14.25" customHeight="1">
      <c r="N1709" s="192">
        <v>0</v>
      </c>
    </row>
    <row r="1710" spans="14:14" ht="14.25" customHeight="1">
      <c r="N1710" s="192">
        <v>0</v>
      </c>
    </row>
    <row r="1711" spans="14:14" ht="14.25" customHeight="1">
      <c r="N1711" s="192">
        <v>0</v>
      </c>
    </row>
    <row r="1712" spans="14:14" ht="14.25" customHeight="1">
      <c r="N1712" s="192">
        <v>0</v>
      </c>
    </row>
    <row r="1713" spans="14:14" ht="14.25" customHeight="1">
      <c r="N1713" s="192">
        <v>0</v>
      </c>
    </row>
    <row r="1714" spans="14:14" ht="14.25" customHeight="1">
      <c r="N1714" s="192">
        <v>0</v>
      </c>
    </row>
    <row r="1715" spans="14:14" ht="14.25" customHeight="1">
      <c r="N1715" s="192">
        <v>0</v>
      </c>
    </row>
    <row r="1716" spans="14:14" ht="14.25" customHeight="1">
      <c r="N1716" s="192">
        <v>0</v>
      </c>
    </row>
    <row r="1717" spans="14:14" ht="14.25" customHeight="1">
      <c r="N1717" s="192">
        <v>0</v>
      </c>
    </row>
    <row r="1718" spans="14:14" ht="14.25" customHeight="1">
      <c r="N1718" s="192">
        <v>0</v>
      </c>
    </row>
    <row r="1719" spans="14:14" ht="14.25" customHeight="1">
      <c r="N1719" s="192">
        <v>0</v>
      </c>
    </row>
    <row r="1720" spans="14:14" ht="14.25" customHeight="1">
      <c r="N1720" s="192">
        <v>0</v>
      </c>
    </row>
    <row r="1721" spans="14:14" ht="14.25" customHeight="1">
      <c r="N1721" s="192">
        <v>0</v>
      </c>
    </row>
    <row r="1722" spans="14:14" ht="14.25" customHeight="1">
      <c r="N1722" s="192">
        <v>0</v>
      </c>
    </row>
    <row r="1723" spans="14:14" ht="14.25" customHeight="1">
      <c r="N1723" s="192">
        <v>0</v>
      </c>
    </row>
    <row r="1724" spans="14:14" ht="14.25" customHeight="1">
      <c r="N1724" s="192">
        <v>0</v>
      </c>
    </row>
    <row r="1725" spans="14:14" ht="14.25" customHeight="1">
      <c r="N1725" s="192">
        <v>0</v>
      </c>
    </row>
    <row r="1726" spans="14:14" ht="14.25" customHeight="1">
      <c r="N1726" s="192">
        <v>0</v>
      </c>
    </row>
    <row r="1727" spans="14:14" ht="14.25" customHeight="1">
      <c r="N1727" s="192">
        <v>0</v>
      </c>
    </row>
    <row r="1728" spans="14:14" ht="14.25" customHeight="1">
      <c r="N1728" s="192">
        <v>0</v>
      </c>
    </row>
    <row r="1729" spans="14:14" ht="14.25" customHeight="1">
      <c r="N1729" s="192">
        <v>0</v>
      </c>
    </row>
    <row r="1730" spans="14:14" ht="14.25" customHeight="1">
      <c r="N1730" s="192">
        <v>0</v>
      </c>
    </row>
    <row r="1731" spans="14:14" ht="14.25" customHeight="1">
      <c r="N1731" s="192">
        <v>0</v>
      </c>
    </row>
    <row r="1732" spans="14:14" ht="14.25" customHeight="1">
      <c r="N1732" s="192">
        <v>0</v>
      </c>
    </row>
    <row r="1733" spans="14:14" ht="14.25" customHeight="1">
      <c r="N1733" s="192">
        <v>0</v>
      </c>
    </row>
    <row r="1734" spans="14:14" ht="14.25" customHeight="1">
      <c r="N1734" s="192">
        <v>0</v>
      </c>
    </row>
    <row r="1735" spans="14:14" ht="14.25" customHeight="1">
      <c r="N1735" s="192">
        <v>0</v>
      </c>
    </row>
    <row r="1736" spans="14:14" ht="14.25" customHeight="1">
      <c r="N1736" s="192">
        <v>0</v>
      </c>
    </row>
    <row r="1737" spans="14:14" ht="14.25" customHeight="1">
      <c r="N1737" s="192">
        <v>0</v>
      </c>
    </row>
    <row r="1738" spans="14:14" ht="14.25" customHeight="1">
      <c r="N1738" s="192">
        <v>0</v>
      </c>
    </row>
    <row r="1739" spans="14:14" ht="14.25" customHeight="1">
      <c r="N1739" s="192">
        <v>0</v>
      </c>
    </row>
    <row r="1740" spans="14:14" ht="14.25" customHeight="1">
      <c r="N1740" s="192">
        <v>0</v>
      </c>
    </row>
    <row r="1741" spans="14:14" ht="14.25" customHeight="1">
      <c r="N1741" s="192">
        <v>0</v>
      </c>
    </row>
    <row r="1742" spans="14:14" ht="14.25" customHeight="1">
      <c r="N1742" s="192">
        <v>0</v>
      </c>
    </row>
    <row r="1743" spans="14:14" ht="14.25" customHeight="1">
      <c r="N1743" s="192">
        <v>0</v>
      </c>
    </row>
    <row r="1744" spans="14:14" ht="14.25" customHeight="1">
      <c r="N1744" s="192">
        <v>0</v>
      </c>
    </row>
    <row r="1745" spans="14:14" ht="14.25" customHeight="1">
      <c r="N1745" s="192">
        <v>0</v>
      </c>
    </row>
    <row r="1746" spans="14:14" ht="14.25" customHeight="1">
      <c r="N1746" s="192">
        <v>0</v>
      </c>
    </row>
    <row r="1747" spans="14:14" ht="14.25" customHeight="1">
      <c r="N1747" s="192">
        <v>0</v>
      </c>
    </row>
    <row r="1748" spans="14:14" ht="14.25" customHeight="1">
      <c r="N1748" s="192">
        <v>0</v>
      </c>
    </row>
    <row r="1749" spans="14:14" ht="14.25" customHeight="1">
      <c r="N1749" s="192">
        <v>0</v>
      </c>
    </row>
    <row r="1750" spans="14:14" ht="14.25" customHeight="1">
      <c r="N1750" s="192">
        <v>0</v>
      </c>
    </row>
    <row r="1751" spans="14:14" ht="14.25" customHeight="1">
      <c r="N1751" s="192">
        <v>0</v>
      </c>
    </row>
    <row r="1752" spans="14:14" ht="14.25" customHeight="1">
      <c r="N1752" s="192">
        <v>0</v>
      </c>
    </row>
    <row r="1753" spans="14:14" ht="14.25" customHeight="1">
      <c r="N1753" s="192">
        <v>0</v>
      </c>
    </row>
    <row r="1754" spans="14:14" ht="14.25" customHeight="1">
      <c r="N1754" s="192">
        <v>0</v>
      </c>
    </row>
    <row r="1755" spans="14:14" ht="14.25" customHeight="1">
      <c r="N1755" s="192">
        <v>0</v>
      </c>
    </row>
    <row r="1756" spans="14:14" ht="14.25" customHeight="1">
      <c r="N1756" s="192">
        <v>0</v>
      </c>
    </row>
    <row r="1757" spans="14:14" ht="14.25" customHeight="1">
      <c r="N1757" s="192">
        <v>0</v>
      </c>
    </row>
    <row r="1758" spans="14:14" ht="14.25" customHeight="1">
      <c r="N1758" s="192">
        <v>0</v>
      </c>
    </row>
    <row r="1759" spans="14:14" ht="14.25" customHeight="1">
      <c r="N1759" s="192">
        <v>0</v>
      </c>
    </row>
    <row r="1760" spans="14:14" ht="14.25" customHeight="1">
      <c r="N1760" s="192">
        <v>0</v>
      </c>
    </row>
    <row r="1761" spans="14:14" ht="14.25" customHeight="1">
      <c r="N1761" s="192">
        <v>0</v>
      </c>
    </row>
    <row r="1762" spans="14:14" ht="14.25" customHeight="1">
      <c r="N1762" s="192">
        <v>0</v>
      </c>
    </row>
    <row r="1763" spans="14:14" ht="14.25" customHeight="1">
      <c r="N1763" s="192">
        <v>0</v>
      </c>
    </row>
    <row r="1764" spans="14:14" ht="14.25" customHeight="1">
      <c r="N1764" s="192">
        <v>0</v>
      </c>
    </row>
    <row r="1765" spans="14:14" ht="14.25" customHeight="1">
      <c r="N1765" s="192">
        <v>0</v>
      </c>
    </row>
    <row r="1766" spans="14:14" ht="14.25" customHeight="1">
      <c r="N1766" s="192">
        <v>0</v>
      </c>
    </row>
    <row r="1767" spans="14:14" ht="14.25" customHeight="1">
      <c r="N1767" s="192">
        <v>0</v>
      </c>
    </row>
    <row r="1768" spans="14:14" ht="14.25" customHeight="1">
      <c r="N1768" s="192">
        <v>0</v>
      </c>
    </row>
    <row r="1769" spans="14:14" ht="14.25" customHeight="1">
      <c r="N1769" s="192">
        <v>0</v>
      </c>
    </row>
    <row r="1770" spans="14:14" ht="14.25" customHeight="1">
      <c r="N1770" s="192">
        <v>0</v>
      </c>
    </row>
    <row r="1771" spans="14:14" ht="14.25" customHeight="1">
      <c r="N1771" s="192">
        <v>0</v>
      </c>
    </row>
    <row r="1772" spans="14:14" ht="14.25" customHeight="1">
      <c r="N1772" s="192">
        <v>0</v>
      </c>
    </row>
    <row r="1773" spans="14:14" ht="14.25" customHeight="1">
      <c r="N1773" s="192">
        <v>0</v>
      </c>
    </row>
    <row r="1774" spans="14:14" ht="14.25" customHeight="1">
      <c r="N1774" s="192">
        <v>0</v>
      </c>
    </row>
    <row r="1775" spans="14:14" ht="14.25" customHeight="1">
      <c r="N1775" s="192">
        <v>0</v>
      </c>
    </row>
    <row r="1776" spans="14:14" ht="14.25" customHeight="1">
      <c r="N1776" s="192">
        <v>0</v>
      </c>
    </row>
    <row r="1777" spans="14:14" ht="14.25" customHeight="1">
      <c r="N1777" s="192">
        <v>0</v>
      </c>
    </row>
    <row r="1778" spans="14:14" ht="14.25" customHeight="1">
      <c r="N1778" s="192">
        <v>0</v>
      </c>
    </row>
    <row r="1779" spans="14:14" ht="14.25" customHeight="1">
      <c r="N1779" s="192">
        <v>0</v>
      </c>
    </row>
    <row r="1780" spans="14:14" ht="14.25" customHeight="1">
      <c r="N1780" s="192">
        <v>0</v>
      </c>
    </row>
    <row r="1781" spans="14:14" ht="14.25" customHeight="1">
      <c r="N1781" s="192">
        <v>0</v>
      </c>
    </row>
    <row r="1782" spans="14:14" ht="14.25" customHeight="1">
      <c r="N1782" s="192">
        <v>0</v>
      </c>
    </row>
    <row r="1783" spans="14:14" ht="14.25" customHeight="1">
      <c r="N1783" s="192">
        <v>0</v>
      </c>
    </row>
    <row r="1784" spans="14:14" ht="14.25" customHeight="1">
      <c r="N1784" s="192">
        <v>0</v>
      </c>
    </row>
    <row r="1785" spans="14:14" ht="14.25" customHeight="1">
      <c r="N1785" s="192">
        <v>0</v>
      </c>
    </row>
    <row r="1786" spans="14:14" ht="14.25" customHeight="1">
      <c r="N1786" s="192">
        <v>0</v>
      </c>
    </row>
    <row r="1787" spans="14:14" ht="14.25" customHeight="1">
      <c r="N1787" s="192">
        <v>0</v>
      </c>
    </row>
    <row r="1788" spans="14:14" ht="14.25" customHeight="1">
      <c r="N1788" s="192">
        <v>0</v>
      </c>
    </row>
    <row r="1789" spans="14:14" ht="14.25" customHeight="1">
      <c r="N1789" s="192">
        <v>0</v>
      </c>
    </row>
    <row r="1790" spans="14:14" ht="14.25" customHeight="1">
      <c r="N1790" s="192">
        <v>0</v>
      </c>
    </row>
    <row r="1791" spans="14:14" ht="14.25" customHeight="1">
      <c r="N1791" s="192">
        <v>0</v>
      </c>
    </row>
    <row r="1792" spans="14:14" ht="14.25" customHeight="1">
      <c r="N1792" s="192">
        <v>0</v>
      </c>
    </row>
    <row r="1793" spans="14:14" ht="14.25" customHeight="1">
      <c r="N1793" s="192">
        <v>0</v>
      </c>
    </row>
    <row r="1794" spans="14:14" ht="14.25" customHeight="1">
      <c r="N1794" s="192">
        <v>0</v>
      </c>
    </row>
    <row r="1795" spans="14:14" ht="14.25" customHeight="1">
      <c r="N1795" s="192">
        <v>0</v>
      </c>
    </row>
    <row r="1796" spans="14:14" ht="14.25" customHeight="1">
      <c r="N1796" s="192">
        <v>0</v>
      </c>
    </row>
    <row r="1797" spans="14:14" ht="14.25" customHeight="1">
      <c r="N1797" s="192">
        <v>0</v>
      </c>
    </row>
    <row r="1798" spans="14:14" ht="14.25" customHeight="1">
      <c r="N1798" s="192">
        <v>0</v>
      </c>
    </row>
    <row r="1799" spans="14:14" ht="14.25" customHeight="1">
      <c r="N1799" s="192">
        <v>0</v>
      </c>
    </row>
    <row r="1800" spans="14:14" ht="14.25" customHeight="1">
      <c r="N1800" s="192">
        <v>0</v>
      </c>
    </row>
    <row r="1801" spans="14:14" ht="14.25" customHeight="1">
      <c r="N1801" s="192">
        <v>0</v>
      </c>
    </row>
    <row r="1802" spans="14:14" ht="14.25" customHeight="1">
      <c r="N1802" s="192">
        <v>0</v>
      </c>
    </row>
    <row r="1803" spans="14:14" ht="14.25" customHeight="1">
      <c r="N1803" s="192">
        <v>0</v>
      </c>
    </row>
    <row r="1804" spans="14:14" ht="14.25" customHeight="1">
      <c r="N1804" s="192">
        <v>0</v>
      </c>
    </row>
    <row r="1805" spans="14:14" ht="14.25" customHeight="1">
      <c r="N1805" s="192">
        <v>0</v>
      </c>
    </row>
    <row r="1806" spans="14:14" ht="14.25" customHeight="1">
      <c r="N1806" s="192">
        <v>0</v>
      </c>
    </row>
    <row r="1807" spans="14:14" ht="14.25" customHeight="1">
      <c r="N1807" s="192">
        <v>0</v>
      </c>
    </row>
    <row r="1808" spans="14:14" ht="14.25" customHeight="1">
      <c r="N1808" s="192">
        <v>0</v>
      </c>
    </row>
    <row r="1809" spans="14:14" ht="14.25" customHeight="1">
      <c r="N1809" s="192">
        <v>0</v>
      </c>
    </row>
    <row r="1810" spans="14:14" ht="14.25" customHeight="1">
      <c r="N1810" s="192">
        <v>0</v>
      </c>
    </row>
    <row r="1811" spans="14:14" ht="14.25" customHeight="1">
      <c r="N1811" s="192">
        <v>0</v>
      </c>
    </row>
    <row r="1812" spans="14:14" ht="14.25" customHeight="1">
      <c r="N1812" s="192">
        <v>0</v>
      </c>
    </row>
    <row r="1813" spans="14:14" ht="14.25" customHeight="1">
      <c r="N1813" s="192">
        <v>0</v>
      </c>
    </row>
    <row r="1814" spans="14:14" ht="14.25" customHeight="1">
      <c r="N1814" s="192">
        <v>0</v>
      </c>
    </row>
    <row r="1815" spans="14:14" ht="14.25" customHeight="1">
      <c r="N1815" s="192">
        <v>0</v>
      </c>
    </row>
    <row r="1816" spans="14:14" ht="14.25" customHeight="1">
      <c r="N1816" s="192">
        <v>0</v>
      </c>
    </row>
    <row r="1817" spans="14:14" ht="14.25" customHeight="1">
      <c r="N1817" s="192">
        <v>0</v>
      </c>
    </row>
    <row r="1818" spans="14:14" ht="14.25" customHeight="1">
      <c r="N1818" s="192">
        <v>0</v>
      </c>
    </row>
    <row r="1819" spans="14:14" ht="14.25" customHeight="1">
      <c r="N1819" s="192">
        <v>0</v>
      </c>
    </row>
    <row r="1820" spans="14:14" ht="14.25" customHeight="1">
      <c r="N1820" s="192">
        <v>0</v>
      </c>
    </row>
    <row r="1821" spans="14:14" ht="14.25" customHeight="1">
      <c r="N1821" s="192">
        <v>0</v>
      </c>
    </row>
    <row r="1822" spans="14:14" ht="14.25" customHeight="1">
      <c r="N1822" s="192">
        <v>0</v>
      </c>
    </row>
    <row r="1823" spans="14:14" ht="14.25" customHeight="1">
      <c r="N1823" s="192">
        <v>0</v>
      </c>
    </row>
    <row r="1824" spans="14:14" ht="14.25" customHeight="1">
      <c r="N1824" s="192">
        <v>0</v>
      </c>
    </row>
    <row r="1825" spans="14:14" ht="14.25" customHeight="1">
      <c r="N1825" s="192">
        <v>0</v>
      </c>
    </row>
    <row r="1826" spans="14:14" ht="14.25" customHeight="1">
      <c r="N1826" s="192">
        <v>0</v>
      </c>
    </row>
    <row r="1827" spans="14:14" ht="14.25" customHeight="1">
      <c r="N1827" s="192">
        <v>0</v>
      </c>
    </row>
    <row r="1828" spans="14:14" ht="14.25" customHeight="1">
      <c r="N1828" s="192">
        <v>0</v>
      </c>
    </row>
    <row r="1829" spans="14:14" ht="14.25" customHeight="1">
      <c r="N1829" s="192">
        <v>0</v>
      </c>
    </row>
    <row r="1830" spans="14:14" ht="14.25" customHeight="1">
      <c r="N1830" s="192">
        <v>0</v>
      </c>
    </row>
    <row r="1831" spans="14:14" ht="14.25" customHeight="1">
      <c r="N1831" s="192">
        <v>0</v>
      </c>
    </row>
    <row r="1832" spans="14:14" ht="14.25" customHeight="1">
      <c r="N1832" s="192">
        <v>0</v>
      </c>
    </row>
    <row r="1833" spans="14:14" ht="14.25" customHeight="1">
      <c r="N1833" s="192">
        <v>0</v>
      </c>
    </row>
    <row r="1834" spans="14:14" ht="14.25" customHeight="1">
      <c r="N1834" s="192">
        <v>0</v>
      </c>
    </row>
    <row r="1835" spans="14:14" ht="14.25" customHeight="1">
      <c r="N1835" s="192">
        <v>0</v>
      </c>
    </row>
    <row r="1836" spans="14:14" ht="14.25" customHeight="1">
      <c r="N1836" s="192">
        <v>0</v>
      </c>
    </row>
    <row r="1837" spans="14:14" ht="14.25" customHeight="1">
      <c r="N1837" s="192">
        <v>0</v>
      </c>
    </row>
    <row r="1838" spans="14:14" ht="14.25" customHeight="1">
      <c r="N1838" s="192">
        <v>0</v>
      </c>
    </row>
    <row r="1839" spans="14:14" ht="14.25" customHeight="1">
      <c r="N1839" s="192">
        <v>0</v>
      </c>
    </row>
    <row r="1840" spans="14:14" ht="14.25" customHeight="1">
      <c r="N1840" s="192">
        <v>0</v>
      </c>
    </row>
    <row r="1841" spans="14:14" ht="14.25" customHeight="1">
      <c r="N1841" s="192">
        <v>0</v>
      </c>
    </row>
    <row r="1842" spans="14:14" ht="14.25" customHeight="1">
      <c r="N1842" s="192">
        <v>0</v>
      </c>
    </row>
    <row r="1843" spans="14:14" ht="14.25" customHeight="1">
      <c r="N1843" s="192">
        <v>0</v>
      </c>
    </row>
    <row r="1844" spans="14:14" ht="14.25" customHeight="1">
      <c r="N1844" s="192">
        <v>0</v>
      </c>
    </row>
    <row r="1845" spans="14:14" ht="14.25" customHeight="1">
      <c r="N1845" s="192">
        <v>0</v>
      </c>
    </row>
    <row r="1846" spans="14:14" ht="14.25" customHeight="1">
      <c r="N1846" s="192">
        <v>0</v>
      </c>
    </row>
    <row r="1847" spans="14:14" ht="14.25" customHeight="1">
      <c r="N1847" s="192">
        <v>0</v>
      </c>
    </row>
    <row r="1848" spans="14:14" ht="14.25" customHeight="1">
      <c r="N1848" s="192">
        <v>0</v>
      </c>
    </row>
    <row r="1849" spans="14:14" ht="14.25" customHeight="1">
      <c r="N1849" s="192">
        <v>0</v>
      </c>
    </row>
    <row r="1850" spans="14:14" ht="14.25" customHeight="1">
      <c r="N1850" s="192">
        <v>0</v>
      </c>
    </row>
    <row r="1851" spans="14:14" ht="14.25" customHeight="1">
      <c r="N1851" s="192">
        <v>0</v>
      </c>
    </row>
    <row r="1852" spans="14:14" ht="14.25" customHeight="1">
      <c r="N1852" s="192">
        <v>0</v>
      </c>
    </row>
    <row r="1853" spans="14:14" ht="14.25" customHeight="1">
      <c r="N1853" s="192">
        <v>0</v>
      </c>
    </row>
    <row r="1854" spans="14:14" ht="14.25" customHeight="1">
      <c r="N1854" s="192">
        <v>0</v>
      </c>
    </row>
    <row r="1855" spans="14:14" ht="14.25" customHeight="1">
      <c r="N1855" s="192">
        <v>0</v>
      </c>
    </row>
    <row r="1856" spans="14:14" ht="14.25" customHeight="1">
      <c r="N1856" s="192">
        <v>0</v>
      </c>
    </row>
    <row r="1857" spans="14:14" ht="14.25" customHeight="1">
      <c r="N1857" s="192">
        <v>0</v>
      </c>
    </row>
    <row r="1858" spans="14:14" ht="14.25" customHeight="1">
      <c r="N1858" s="192">
        <v>0</v>
      </c>
    </row>
    <row r="1859" spans="14:14" ht="14.25" customHeight="1">
      <c r="N1859" s="192">
        <v>0</v>
      </c>
    </row>
    <row r="1860" spans="14:14" ht="14.25" customHeight="1">
      <c r="N1860" s="192">
        <v>0</v>
      </c>
    </row>
    <row r="1861" spans="14:14" ht="14.25" customHeight="1">
      <c r="N1861" s="192">
        <v>0</v>
      </c>
    </row>
    <row r="1862" spans="14:14" ht="14.25" customHeight="1">
      <c r="N1862" s="192">
        <v>0</v>
      </c>
    </row>
    <row r="1863" spans="14:14" ht="14.25" customHeight="1">
      <c r="N1863" s="192">
        <v>0</v>
      </c>
    </row>
    <row r="1864" spans="14:14" ht="14.25" customHeight="1">
      <c r="N1864" s="192">
        <v>0</v>
      </c>
    </row>
    <row r="1865" spans="14:14" ht="14.25" customHeight="1">
      <c r="N1865" s="192">
        <v>0</v>
      </c>
    </row>
    <row r="1866" spans="14:14" ht="14.25" customHeight="1">
      <c r="N1866" s="192">
        <v>0</v>
      </c>
    </row>
    <row r="1867" spans="14:14" ht="14.25" customHeight="1">
      <c r="N1867" s="192">
        <v>0</v>
      </c>
    </row>
    <row r="1868" spans="14:14" ht="14.25" customHeight="1">
      <c r="N1868" s="192">
        <v>0</v>
      </c>
    </row>
    <row r="1869" spans="14:14" ht="14.25" customHeight="1">
      <c r="N1869" s="192">
        <v>0</v>
      </c>
    </row>
    <row r="1870" spans="14:14" ht="14.25" customHeight="1">
      <c r="N1870" s="192">
        <v>0</v>
      </c>
    </row>
    <row r="1871" spans="14:14" ht="14.25" customHeight="1">
      <c r="N1871" s="192">
        <v>0</v>
      </c>
    </row>
    <row r="1872" spans="14:14" ht="14.25" customHeight="1">
      <c r="N1872" s="192">
        <v>0</v>
      </c>
    </row>
    <row r="1873" spans="14:14" ht="14.25" customHeight="1">
      <c r="N1873" s="192">
        <v>0</v>
      </c>
    </row>
    <row r="1874" spans="14:14" ht="14.25" customHeight="1">
      <c r="N1874" s="192">
        <v>0</v>
      </c>
    </row>
    <row r="1875" spans="14:14" ht="14.25" customHeight="1">
      <c r="N1875" s="192">
        <v>0</v>
      </c>
    </row>
    <row r="1876" spans="14:14" ht="14.25" customHeight="1">
      <c r="N1876" s="192">
        <v>0</v>
      </c>
    </row>
    <row r="1877" spans="14:14" ht="14.25" customHeight="1">
      <c r="N1877" s="192">
        <v>0</v>
      </c>
    </row>
    <row r="1878" spans="14:14" ht="14.25" customHeight="1">
      <c r="N1878" s="192">
        <v>0</v>
      </c>
    </row>
    <row r="1879" spans="14:14" ht="14.25" customHeight="1">
      <c r="N1879" s="192">
        <v>0</v>
      </c>
    </row>
    <row r="1880" spans="14:14" ht="14.25" customHeight="1">
      <c r="N1880" s="192">
        <v>0</v>
      </c>
    </row>
    <row r="1881" spans="14:14" ht="14.25" customHeight="1">
      <c r="N1881" s="192">
        <v>0</v>
      </c>
    </row>
    <row r="1882" spans="14:14" ht="14.25" customHeight="1">
      <c r="N1882" s="192">
        <v>0</v>
      </c>
    </row>
    <row r="1883" spans="14:14" ht="14.25" customHeight="1">
      <c r="N1883" s="192">
        <v>0</v>
      </c>
    </row>
    <row r="1884" spans="14:14" ht="14.25" customHeight="1">
      <c r="N1884" s="192">
        <v>0</v>
      </c>
    </row>
    <row r="1885" spans="14:14" ht="14.25" customHeight="1">
      <c r="N1885" s="192">
        <v>0</v>
      </c>
    </row>
    <row r="1886" spans="14:14" ht="14.25" customHeight="1">
      <c r="N1886" s="192">
        <v>0</v>
      </c>
    </row>
    <row r="1887" spans="14:14" ht="14.25" customHeight="1">
      <c r="N1887" s="192">
        <v>0</v>
      </c>
    </row>
    <row r="1888" spans="14:14" ht="14.25" customHeight="1">
      <c r="N1888" s="192">
        <v>0</v>
      </c>
    </row>
    <row r="1889" spans="14:14" ht="14.25" customHeight="1">
      <c r="N1889" s="192">
        <v>0</v>
      </c>
    </row>
    <row r="1890" spans="14:14" ht="14.25" customHeight="1">
      <c r="N1890" s="192">
        <v>0</v>
      </c>
    </row>
    <row r="1891" spans="14:14" ht="14.25" customHeight="1">
      <c r="N1891" s="192">
        <v>0</v>
      </c>
    </row>
    <row r="1892" spans="14:14" ht="14.25" customHeight="1">
      <c r="N1892" s="192">
        <v>0</v>
      </c>
    </row>
    <row r="1893" spans="14:14" ht="14.25" customHeight="1">
      <c r="N1893" s="192">
        <v>0</v>
      </c>
    </row>
    <row r="1894" spans="14:14" ht="14.25" customHeight="1">
      <c r="N1894" s="192">
        <v>0</v>
      </c>
    </row>
    <row r="1895" spans="14:14" ht="14.25" customHeight="1">
      <c r="N1895" s="192">
        <v>0</v>
      </c>
    </row>
    <row r="1896" spans="14:14" ht="14.25" customHeight="1">
      <c r="N1896" s="192">
        <v>0</v>
      </c>
    </row>
    <row r="1897" spans="14:14" ht="14.25" customHeight="1">
      <c r="N1897" s="192">
        <v>0</v>
      </c>
    </row>
    <row r="1898" spans="14:14" ht="14.25" customHeight="1">
      <c r="N1898" s="192">
        <v>0</v>
      </c>
    </row>
    <row r="1899" spans="14:14" ht="14.25" customHeight="1">
      <c r="N1899" s="192">
        <v>0</v>
      </c>
    </row>
    <row r="1900" spans="14:14" ht="14.25" customHeight="1">
      <c r="N1900" s="192">
        <v>0</v>
      </c>
    </row>
    <row r="1901" spans="14:14" ht="14.25" customHeight="1">
      <c r="N1901" s="192">
        <v>0</v>
      </c>
    </row>
    <row r="1902" spans="14:14" ht="14.25" customHeight="1">
      <c r="N1902" s="192">
        <v>0</v>
      </c>
    </row>
    <row r="1903" spans="14:14" ht="14.25" customHeight="1">
      <c r="N1903" s="192">
        <v>0</v>
      </c>
    </row>
    <row r="1904" spans="14:14" ht="14.25" customHeight="1">
      <c r="N1904" s="192">
        <v>0</v>
      </c>
    </row>
    <row r="1905" spans="14:14" ht="14.25" customHeight="1">
      <c r="N1905" s="192">
        <v>0</v>
      </c>
    </row>
    <row r="1906" spans="14:14" ht="14.25" customHeight="1">
      <c r="N1906" s="192">
        <v>0</v>
      </c>
    </row>
    <row r="1907" spans="14:14" ht="14.25" customHeight="1">
      <c r="N1907" s="192">
        <v>0</v>
      </c>
    </row>
    <row r="1908" spans="14:14" ht="14.25" customHeight="1">
      <c r="N1908" s="192">
        <v>0</v>
      </c>
    </row>
    <row r="1909" spans="14:14" ht="14.25" customHeight="1">
      <c r="N1909" s="192">
        <v>0</v>
      </c>
    </row>
    <row r="1910" spans="14:14" ht="14.25" customHeight="1">
      <c r="N1910" s="192">
        <v>0</v>
      </c>
    </row>
    <row r="1911" spans="14:14" ht="14.25" customHeight="1">
      <c r="N1911" s="192">
        <v>0</v>
      </c>
    </row>
    <row r="1912" spans="14:14" ht="14.25" customHeight="1">
      <c r="N1912" s="192">
        <v>0</v>
      </c>
    </row>
    <row r="1913" spans="14:14" ht="14.25" customHeight="1">
      <c r="N1913" s="192">
        <v>0</v>
      </c>
    </row>
    <row r="1914" spans="14:14" ht="14.25" customHeight="1">
      <c r="N1914" s="192">
        <v>0</v>
      </c>
    </row>
    <row r="1915" spans="14:14" ht="14.25" customHeight="1">
      <c r="N1915" s="192">
        <v>0</v>
      </c>
    </row>
    <row r="1916" spans="14:14" ht="14.25" customHeight="1">
      <c r="N1916" s="192">
        <v>0</v>
      </c>
    </row>
    <row r="1917" spans="14:14" ht="14.25" customHeight="1">
      <c r="N1917" s="192">
        <v>0</v>
      </c>
    </row>
    <row r="1918" spans="14:14" ht="14.25" customHeight="1">
      <c r="N1918" s="192">
        <v>0</v>
      </c>
    </row>
    <row r="1919" spans="14:14" ht="14.25" customHeight="1">
      <c r="N1919" s="192">
        <v>0</v>
      </c>
    </row>
    <row r="1920" spans="14:14" ht="14.25" customHeight="1">
      <c r="N1920" s="192">
        <v>0</v>
      </c>
    </row>
    <row r="1921" spans="14:14" ht="14.25" customHeight="1">
      <c r="N1921" s="192">
        <v>0</v>
      </c>
    </row>
    <row r="1922" spans="14:14" ht="14.25" customHeight="1">
      <c r="N1922" s="192">
        <v>0</v>
      </c>
    </row>
    <row r="1923" spans="14:14" ht="14.25" customHeight="1">
      <c r="N1923" s="192">
        <v>0</v>
      </c>
    </row>
    <row r="1924" spans="14:14" ht="14.25" customHeight="1">
      <c r="N1924" s="192">
        <v>0</v>
      </c>
    </row>
    <row r="1925" spans="14:14" ht="14.25" customHeight="1">
      <c r="N1925" s="192">
        <v>0</v>
      </c>
    </row>
    <row r="1926" spans="14:14" ht="14.25" customHeight="1">
      <c r="N1926" s="192">
        <v>0</v>
      </c>
    </row>
    <row r="1927" spans="14:14" ht="14.25" customHeight="1">
      <c r="N1927" s="192">
        <v>0</v>
      </c>
    </row>
    <row r="1928" spans="14:14" ht="14.25" customHeight="1">
      <c r="N1928" s="192">
        <v>0</v>
      </c>
    </row>
    <row r="1929" spans="14:14" ht="14.25" customHeight="1">
      <c r="N1929" s="192">
        <v>0</v>
      </c>
    </row>
    <row r="1930" spans="14:14" ht="14.25" customHeight="1">
      <c r="N1930" s="192">
        <v>0</v>
      </c>
    </row>
    <row r="1931" spans="14:14" ht="14.25" customHeight="1">
      <c r="N1931" s="192">
        <v>0</v>
      </c>
    </row>
    <row r="1932" spans="14:14" ht="14.25" customHeight="1">
      <c r="N1932" s="192">
        <v>0</v>
      </c>
    </row>
    <row r="1933" spans="14:14" ht="14.25" customHeight="1">
      <c r="N1933" s="192">
        <v>0</v>
      </c>
    </row>
    <row r="1934" spans="14:14" ht="14.25" customHeight="1">
      <c r="N1934" s="192">
        <v>0</v>
      </c>
    </row>
    <row r="1935" spans="14:14" ht="14.25" customHeight="1">
      <c r="N1935" s="192">
        <v>0</v>
      </c>
    </row>
    <row r="1936" spans="14:14" ht="14.25" customHeight="1">
      <c r="N1936" s="192">
        <v>0</v>
      </c>
    </row>
    <row r="1937" spans="14:14" ht="14.25" customHeight="1">
      <c r="N1937" s="192">
        <v>0</v>
      </c>
    </row>
    <row r="1938" spans="14:14" ht="14.25" customHeight="1">
      <c r="N1938" s="192">
        <v>0</v>
      </c>
    </row>
    <row r="1939" spans="14:14" ht="14.25" customHeight="1">
      <c r="N1939" s="192">
        <v>0</v>
      </c>
    </row>
    <row r="1940" spans="14:14" ht="14.25" customHeight="1">
      <c r="N1940" s="192">
        <v>0</v>
      </c>
    </row>
    <row r="1941" spans="14:14" ht="14.25" customHeight="1">
      <c r="N1941" s="192">
        <v>0</v>
      </c>
    </row>
    <row r="1942" spans="14:14" ht="14.25" customHeight="1">
      <c r="N1942" s="192">
        <v>0</v>
      </c>
    </row>
    <row r="1943" spans="14:14" ht="14.25" customHeight="1">
      <c r="N1943" s="192">
        <v>0</v>
      </c>
    </row>
    <row r="1944" spans="14:14" ht="14.25" customHeight="1">
      <c r="N1944" s="192">
        <v>0</v>
      </c>
    </row>
    <row r="1945" spans="14:14" ht="14.25" customHeight="1">
      <c r="N1945" s="192">
        <v>0</v>
      </c>
    </row>
    <row r="1946" spans="14:14" ht="14.25" customHeight="1">
      <c r="N1946" s="192">
        <v>0</v>
      </c>
    </row>
    <row r="1947" spans="14:14" ht="14.25" customHeight="1">
      <c r="N1947" s="192">
        <v>0</v>
      </c>
    </row>
    <row r="1948" spans="14:14" ht="14.25" customHeight="1">
      <c r="N1948" s="192">
        <v>0</v>
      </c>
    </row>
    <row r="1949" spans="14:14" ht="14.25" customHeight="1">
      <c r="N1949" s="192">
        <v>0</v>
      </c>
    </row>
    <row r="1950" spans="14:14" ht="14.25" customHeight="1">
      <c r="N1950" s="192">
        <v>0</v>
      </c>
    </row>
    <row r="1951" spans="14:14" ht="14.25" customHeight="1">
      <c r="N1951" s="192">
        <v>0</v>
      </c>
    </row>
    <row r="1952" spans="14:14" ht="14.25" customHeight="1">
      <c r="N1952" s="192">
        <v>0</v>
      </c>
    </row>
    <row r="1953" spans="14:14" ht="14.25" customHeight="1">
      <c r="N1953" s="192">
        <v>0</v>
      </c>
    </row>
    <row r="1954" spans="14:14" ht="14.25" customHeight="1">
      <c r="N1954" s="192">
        <v>0</v>
      </c>
    </row>
    <row r="1955" spans="14:14" ht="14.25" customHeight="1">
      <c r="N1955" s="192">
        <v>0</v>
      </c>
    </row>
    <row r="1956" spans="14:14" ht="14.25" customHeight="1">
      <c r="N1956" s="192">
        <v>0</v>
      </c>
    </row>
    <row r="1957" spans="14:14" ht="14.25" customHeight="1">
      <c r="N1957" s="192">
        <v>0</v>
      </c>
    </row>
    <row r="1958" spans="14:14" ht="14.25" customHeight="1">
      <c r="N1958" s="192">
        <v>0</v>
      </c>
    </row>
    <row r="1959" spans="14:14" ht="14.25" customHeight="1">
      <c r="N1959" s="192">
        <v>0</v>
      </c>
    </row>
    <row r="1960" spans="14:14" ht="14.25" customHeight="1">
      <c r="N1960" s="192">
        <v>0</v>
      </c>
    </row>
    <row r="1961" spans="14:14" ht="14.25" customHeight="1">
      <c r="N1961" s="192">
        <v>0</v>
      </c>
    </row>
    <row r="1962" spans="14:14" ht="14.25" customHeight="1">
      <c r="N1962" s="192">
        <v>0</v>
      </c>
    </row>
    <row r="1963" spans="14:14" ht="14.25" customHeight="1">
      <c r="N1963" s="192">
        <v>0</v>
      </c>
    </row>
    <row r="1964" spans="14:14" ht="14.25" customHeight="1">
      <c r="N1964" s="192">
        <v>0</v>
      </c>
    </row>
    <row r="1965" spans="14:14" ht="14.25" customHeight="1">
      <c r="N1965" s="192">
        <v>0</v>
      </c>
    </row>
    <row r="1966" spans="14:14" ht="14.25" customHeight="1">
      <c r="N1966" s="192">
        <v>0</v>
      </c>
    </row>
    <row r="1967" spans="14:14" ht="14.25" customHeight="1">
      <c r="N1967" s="192">
        <v>0</v>
      </c>
    </row>
    <row r="1968" spans="14:14" ht="14.25" customHeight="1">
      <c r="N1968" s="192">
        <v>0</v>
      </c>
    </row>
    <row r="1969" spans="14:14" ht="14.25" customHeight="1">
      <c r="N1969" s="192">
        <v>0</v>
      </c>
    </row>
    <row r="1970" spans="14:14" ht="14.25" customHeight="1">
      <c r="N1970" s="192">
        <v>0</v>
      </c>
    </row>
    <row r="1971" spans="14:14" ht="14.25" customHeight="1">
      <c r="N1971" s="192">
        <v>0</v>
      </c>
    </row>
    <row r="1972" spans="14:14" ht="14.25" customHeight="1">
      <c r="N1972" s="192">
        <v>0</v>
      </c>
    </row>
    <row r="1973" spans="14:14" ht="14.25" customHeight="1">
      <c r="N1973" s="192">
        <v>0</v>
      </c>
    </row>
    <row r="1974" spans="14:14" ht="14.25" customHeight="1">
      <c r="N1974" s="192">
        <v>0</v>
      </c>
    </row>
    <row r="1975" spans="14:14" ht="14.25" customHeight="1">
      <c r="N1975" s="192">
        <v>0</v>
      </c>
    </row>
    <row r="1976" spans="14:14" ht="14.25" customHeight="1">
      <c r="N1976" s="192">
        <v>0</v>
      </c>
    </row>
    <row r="1977" spans="14:14" ht="14.25" customHeight="1">
      <c r="N1977" s="192">
        <v>0</v>
      </c>
    </row>
    <row r="1978" spans="14:14" ht="14.25" customHeight="1">
      <c r="N1978" s="192">
        <v>0</v>
      </c>
    </row>
    <row r="1979" spans="14:14" ht="14.25" customHeight="1">
      <c r="N1979" s="192">
        <v>0</v>
      </c>
    </row>
    <row r="1980" spans="14:14" ht="14.25" customHeight="1">
      <c r="N1980" s="192">
        <v>0</v>
      </c>
    </row>
    <row r="1981" spans="14:14" ht="14.25" customHeight="1">
      <c r="N1981" s="192">
        <v>0</v>
      </c>
    </row>
    <row r="1982" spans="14:14" ht="14.25" customHeight="1">
      <c r="N1982" s="192">
        <v>0</v>
      </c>
    </row>
    <row r="1983" spans="14:14" ht="14.25" customHeight="1">
      <c r="N1983" s="192">
        <v>0</v>
      </c>
    </row>
    <row r="1984" spans="14:14" ht="14.25" customHeight="1">
      <c r="N1984" s="192">
        <v>0</v>
      </c>
    </row>
    <row r="1985" spans="14:14" ht="14.25" customHeight="1">
      <c r="N1985" s="192">
        <v>0</v>
      </c>
    </row>
    <row r="1986" spans="14:14" ht="14.25" customHeight="1">
      <c r="N1986" s="192">
        <v>0</v>
      </c>
    </row>
    <row r="1987" spans="14:14" ht="14.25" customHeight="1">
      <c r="N1987" s="192">
        <v>0</v>
      </c>
    </row>
    <row r="1988" spans="14:14" ht="14.25" customHeight="1">
      <c r="N1988" s="192">
        <v>0</v>
      </c>
    </row>
    <row r="1989" spans="14:14" ht="14.25" customHeight="1">
      <c r="N1989" s="192">
        <v>0</v>
      </c>
    </row>
    <row r="1990" spans="14:14" ht="14.25" customHeight="1">
      <c r="N1990" s="192">
        <v>0</v>
      </c>
    </row>
    <row r="1991" spans="14:14" ht="14.25" customHeight="1">
      <c r="N1991" s="192">
        <v>0</v>
      </c>
    </row>
    <row r="1992" spans="14:14" ht="14.25" customHeight="1">
      <c r="N1992" s="192">
        <v>0</v>
      </c>
    </row>
    <row r="1993" spans="14:14" ht="14.25" customHeight="1">
      <c r="N1993" s="192">
        <v>0</v>
      </c>
    </row>
    <row r="1994" spans="14:14" ht="14.25" customHeight="1">
      <c r="N1994" s="192">
        <v>0</v>
      </c>
    </row>
    <row r="1995" spans="14:14" ht="14.25" customHeight="1">
      <c r="N1995" s="192">
        <v>0</v>
      </c>
    </row>
    <row r="1996" spans="14:14" ht="14.25" customHeight="1">
      <c r="N1996" s="192">
        <v>0</v>
      </c>
    </row>
    <row r="1997" spans="14:14" ht="14.25" customHeight="1">
      <c r="N1997" s="192">
        <v>0</v>
      </c>
    </row>
    <row r="1998" spans="14:14" ht="14.25" customHeight="1">
      <c r="N1998" s="192">
        <v>0</v>
      </c>
    </row>
    <row r="1999" spans="14:14" ht="14.25" customHeight="1">
      <c r="N1999" s="192">
        <v>0</v>
      </c>
    </row>
    <row r="2000" spans="14:14" ht="14.25" customHeight="1">
      <c r="N2000" s="192">
        <v>0</v>
      </c>
    </row>
    <row r="2001" spans="14:14" ht="14.25" customHeight="1">
      <c r="N2001" s="192">
        <v>0</v>
      </c>
    </row>
    <row r="2002" spans="14:14" ht="14.25" customHeight="1">
      <c r="N2002" s="192">
        <v>0</v>
      </c>
    </row>
    <row r="2003" spans="14:14" ht="14.25" customHeight="1">
      <c r="N2003" s="192">
        <v>0</v>
      </c>
    </row>
    <row r="2004" spans="14:14" ht="14.25" customHeight="1">
      <c r="N2004" s="192">
        <v>0</v>
      </c>
    </row>
    <row r="2005" spans="14:14" ht="14.25" customHeight="1">
      <c r="N2005" s="192">
        <v>0</v>
      </c>
    </row>
    <row r="2006" spans="14:14" ht="14.25" customHeight="1">
      <c r="N2006" s="192">
        <v>0</v>
      </c>
    </row>
    <row r="2007" spans="14:14" ht="14.25" customHeight="1">
      <c r="N2007" s="192">
        <v>0</v>
      </c>
    </row>
    <row r="2008" spans="14:14" ht="14.25" customHeight="1">
      <c r="N2008" s="192">
        <v>0</v>
      </c>
    </row>
    <row r="2009" spans="14:14" ht="14.25" customHeight="1">
      <c r="N2009" s="192">
        <v>0</v>
      </c>
    </row>
    <row r="2010" spans="14:14" ht="14.25" customHeight="1">
      <c r="N2010" s="192">
        <v>0</v>
      </c>
    </row>
    <row r="2011" spans="14:14" ht="14.25" customHeight="1">
      <c r="N2011" s="192">
        <v>0</v>
      </c>
    </row>
    <row r="2012" spans="14:14" ht="14.25" customHeight="1">
      <c r="N2012" s="192">
        <v>0</v>
      </c>
    </row>
    <row r="2013" spans="14:14" ht="14.25" customHeight="1">
      <c r="N2013" s="192">
        <v>0</v>
      </c>
    </row>
    <row r="2014" spans="14:14" ht="14.25" customHeight="1">
      <c r="N2014" s="192">
        <v>0</v>
      </c>
    </row>
    <row r="2015" spans="14:14" ht="14.25" customHeight="1">
      <c r="N2015" s="192">
        <v>0</v>
      </c>
    </row>
    <row r="2016" spans="14:14" ht="14.25" customHeight="1">
      <c r="N2016" s="192">
        <v>0</v>
      </c>
    </row>
    <row r="2017" spans="14:14" ht="14.25" customHeight="1">
      <c r="N2017" s="192">
        <v>0</v>
      </c>
    </row>
    <row r="2018" spans="14:14" ht="14.25" customHeight="1">
      <c r="N2018" s="192">
        <v>0</v>
      </c>
    </row>
    <row r="2019" spans="14:14" ht="14.25" customHeight="1">
      <c r="N2019" s="192">
        <v>0</v>
      </c>
    </row>
    <row r="2020" spans="14:14" ht="14.25" customHeight="1">
      <c r="N2020" s="192">
        <v>0</v>
      </c>
    </row>
    <row r="2021" spans="14:14" ht="14.25" customHeight="1">
      <c r="N2021" s="192">
        <v>0</v>
      </c>
    </row>
    <row r="2022" spans="14:14" ht="14.25" customHeight="1">
      <c r="N2022" s="192">
        <v>0</v>
      </c>
    </row>
    <row r="2023" spans="14:14" ht="14.25" customHeight="1">
      <c r="N2023" s="192">
        <v>0</v>
      </c>
    </row>
    <row r="2024" spans="14:14" ht="14.25" customHeight="1">
      <c r="N2024" s="192">
        <v>0</v>
      </c>
    </row>
    <row r="2025" spans="14:14" ht="14.25" customHeight="1">
      <c r="N2025" s="192">
        <v>0</v>
      </c>
    </row>
    <row r="2026" spans="14:14" ht="14.25" customHeight="1">
      <c r="N2026" s="192">
        <v>0</v>
      </c>
    </row>
    <row r="2027" spans="14:14" ht="14.25" customHeight="1">
      <c r="N2027" s="192">
        <v>0</v>
      </c>
    </row>
    <row r="2028" spans="14:14" ht="14.25" customHeight="1">
      <c r="N2028" s="192">
        <v>0</v>
      </c>
    </row>
    <row r="2029" spans="14:14" ht="14.25" customHeight="1">
      <c r="N2029" s="192">
        <v>0</v>
      </c>
    </row>
    <row r="2030" spans="14:14" ht="14.25" customHeight="1">
      <c r="N2030" s="192">
        <v>0</v>
      </c>
    </row>
    <row r="2031" spans="14:14" ht="14.25" customHeight="1">
      <c r="N2031" s="192">
        <v>0</v>
      </c>
    </row>
    <row r="2032" spans="14:14" ht="14.25" customHeight="1">
      <c r="N2032" s="192">
        <v>0</v>
      </c>
    </row>
    <row r="2033" spans="14:14" ht="14.25" customHeight="1">
      <c r="N2033" s="192">
        <v>0</v>
      </c>
    </row>
    <row r="2034" spans="14:14" ht="14.25" customHeight="1">
      <c r="N2034" s="192">
        <v>0</v>
      </c>
    </row>
    <row r="2035" spans="14:14" ht="14.25" customHeight="1">
      <c r="N2035" s="192">
        <v>0</v>
      </c>
    </row>
    <row r="2036" spans="14:14" ht="14.25" customHeight="1">
      <c r="N2036" s="192">
        <v>0</v>
      </c>
    </row>
    <row r="2037" spans="14:14" ht="14.25" customHeight="1">
      <c r="N2037" s="192">
        <v>0</v>
      </c>
    </row>
    <row r="2038" spans="14:14" ht="14.25" customHeight="1">
      <c r="N2038" s="192">
        <v>0</v>
      </c>
    </row>
    <row r="2039" spans="14:14" ht="14.25" customHeight="1">
      <c r="N2039" s="192">
        <v>0</v>
      </c>
    </row>
    <row r="2040" spans="14:14" ht="14.25" customHeight="1">
      <c r="N2040" s="192">
        <v>0</v>
      </c>
    </row>
    <row r="2041" spans="14:14" ht="14.25" customHeight="1">
      <c r="N2041" s="192">
        <v>0</v>
      </c>
    </row>
    <row r="2042" spans="14:14" ht="14.25" customHeight="1">
      <c r="N2042" s="192">
        <v>0</v>
      </c>
    </row>
    <row r="2043" spans="14:14" ht="14.25" customHeight="1">
      <c r="N2043" s="192">
        <v>0</v>
      </c>
    </row>
    <row r="2044" spans="14:14" ht="14.25" customHeight="1">
      <c r="N2044" s="192">
        <v>0</v>
      </c>
    </row>
    <row r="2045" spans="14:14" ht="14.25" customHeight="1">
      <c r="N2045" s="192">
        <v>0</v>
      </c>
    </row>
    <row r="2046" spans="14:14" ht="14.25" customHeight="1">
      <c r="N2046" s="192">
        <v>0</v>
      </c>
    </row>
    <row r="2047" spans="14:14" ht="14.25" customHeight="1">
      <c r="N2047" s="192">
        <v>0</v>
      </c>
    </row>
    <row r="2048" spans="14:14" ht="14.25" customHeight="1">
      <c r="N2048" s="192">
        <v>0</v>
      </c>
    </row>
    <row r="2049" spans="14:14" ht="14.25" customHeight="1">
      <c r="N2049" s="192">
        <v>0</v>
      </c>
    </row>
    <row r="2050" spans="14:14" ht="14.25" customHeight="1">
      <c r="N2050" s="192">
        <v>0</v>
      </c>
    </row>
    <row r="2051" spans="14:14" ht="14.25" customHeight="1">
      <c r="N2051" s="192">
        <v>0</v>
      </c>
    </row>
    <row r="2052" spans="14:14" ht="14.25" customHeight="1">
      <c r="N2052" s="192">
        <v>0</v>
      </c>
    </row>
    <row r="2053" spans="14:14" ht="14.25" customHeight="1">
      <c r="N2053" s="192">
        <v>0</v>
      </c>
    </row>
    <row r="2054" spans="14:14" ht="14.25" customHeight="1">
      <c r="N2054" s="192">
        <v>0</v>
      </c>
    </row>
    <row r="2055" spans="14:14" ht="14.25" customHeight="1">
      <c r="N2055" s="192">
        <v>0</v>
      </c>
    </row>
    <row r="2056" spans="14:14" ht="14.25" customHeight="1">
      <c r="N2056" s="192">
        <v>0</v>
      </c>
    </row>
    <row r="2057" spans="14:14" ht="14.25" customHeight="1">
      <c r="N2057" s="192">
        <v>0</v>
      </c>
    </row>
    <row r="2058" spans="14:14" ht="14.25" customHeight="1">
      <c r="N2058" s="192">
        <v>0</v>
      </c>
    </row>
    <row r="2059" spans="14:14" ht="14.25" customHeight="1">
      <c r="N2059" s="192">
        <v>0</v>
      </c>
    </row>
    <row r="2060" spans="14:14" ht="14.25" customHeight="1">
      <c r="N2060" s="192">
        <v>0</v>
      </c>
    </row>
    <row r="2061" spans="14:14" ht="14.25" customHeight="1">
      <c r="N2061" s="192">
        <v>0</v>
      </c>
    </row>
    <row r="2062" spans="14:14" ht="14.25" customHeight="1">
      <c r="N2062" s="192">
        <v>0</v>
      </c>
    </row>
    <row r="2063" spans="14:14" ht="14.25" customHeight="1">
      <c r="N2063" s="192">
        <v>0</v>
      </c>
    </row>
    <row r="2064" spans="14:14" ht="14.25" customHeight="1">
      <c r="N2064" s="192">
        <v>0</v>
      </c>
    </row>
    <row r="2065" spans="14:14" ht="14.25" customHeight="1">
      <c r="N2065" s="192">
        <v>0</v>
      </c>
    </row>
    <row r="2066" spans="14:14" ht="14.25" customHeight="1">
      <c r="N2066" s="192">
        <v>0</v>
      </c>
    </row>
    <row r="2067" spans="14:14" ht="14.25" customHeight="1">
      <c r="N2067" s="192">
        <v>0</v>
      </c>
    </row>
    <row r="2068" spans="14:14" ht="14.25" customHeight="1">
      <c r="N2068" s="192">
        <v>0</v>
      </c>
    </row>
    <row r="2069" spans="14:14" ht="14.25" customHeight="1">
      <c r="N2069" s="192">
        <v>0</v>
      </c>
    </row>
    <row r="2070" spans="14:14" ht="14.25" customHeight="1">
      <c r="N2070" s="192">
        <v>0</v>
      </c>
    </row>
    <row r="2071" spans="14:14" ht="14.25" customHeight="1">
      <c r="N2071" s="192">
        <v>0</v>
      </c>
    </row>
    <row r="2072" spans="14:14" ht="14.25" customHeight="1">
      <c r="N2072" s="192">
        <v>0</v>
      </c>
    </row>
    <row r="2073" spans="14:14" ht="14.25" customHeight="1">
      <c r="N2073" s="192">
        <v>0</v>
      </c>
    </row>
    <row r="2074" spans="14:14" ht="14.25" customHeight="1">
      <c r="N2074" s="192">
        <v>0</v>
      </c>
    </row>
    <row r="2075" spans="14:14" ht="14.25" customHeight="1">
      <c r="N2075" s="192">
        <v>0</v>
      </c>
    </row>
    <row r="2076" spans="14:14" ht="14.25" customHeight="1">
      <c r="N2076" s="192">
        <v>0</v>
      </c>
    </row>
    <row r="2077" spans="14:14" ht="14.25" customHeight="1">
      <c r="N2077" s="192">
        <v>0</v>
      </c>
    </row>
    <row r="2078" spans="14:14" ht="14.25" customHeight="1">
      <c r="N2078" s="192">
        <v>0</v>
      </c>
    </row>
    <row r="2079" spans="14:14" ht="14.25" customHeight="1">
      <c r="N2079" s="192">
        <v>0</v>
      </c>
    </row>
    <row r="2080" spans="14:14" ht="14.25" customHeight="1">
      <c r="N2080" s="192">
        <v>0</v>
      </c>
    </row>
    <row r="2081" spans="14:14" ht="14.25" customHeight="1">
      <c r="N2081" s="192">
        <v>0</v>
      </c>
    </row>
    <row r="2082" spans="14:14" ht="14.25" customHeight="1">
      <c r="N2082" s="192">
        <v>0</v>
      </c>
    </row>
    <row r="2083" spans="14:14" ht="14.25" customHeight="1">
      <c r="N2083" s="192">
        <v>0</v>
      </c>
    </row>
    <row r="2084" spans="14:14" ht="14.25" customHeight="1">
      <c r="N2084" s="192">
        <v>0</v>
      </c>
    </row>
    <row r="2085" spans="14:14" ht="14.25" customHeight="1">
      <c r="N2085" s="192">
        <v>0</v>
      </c>
    </row>
    <row r="2086" spans="14:14" ht="14.25" customHeight="1">
      <c r="N2086" s="192">
        <v>0</v>
      </c>
    </row>
    <row r="2087" spans="14:14" ht="14.25" customHeight="1">
      <c r="N2087" s="192">
        <v>0</v>
      </c>
    </row>
    <row r="2088" spans="14:14" ht="14.25" customHeight="1">
      <c r="N2088" s="192">
        <v>0</v>
      </c>
    </row>
    <row r="2089" spans="14:14" ht="14.25" customHeight="1">
      <c r="N2089" s="192">
        <v>0</v>
      </c>
    </row>
    <row r="2090" spans="14:14" ht="14.25" customHeight="1">
      <c r="N2090" s="192">
        <v>0</v>
      </c>
    </row>
    <row r="2091" spans="14:14" ht="14.25" customHeight="1">
      <c r="N2091" s="192">
        <v>0</v>
      </c>
    </row>
    <row r="2092" spans="14:14" ht="14.25" customHeight="1">
      <c r="N2092" s="192">
        <v>0</v>
      </c>
    </row>
    <row r="2093" spans="14:14" ht="14.25" customHeight="1">
      <c r="N2093" s="192">
        <v>0</v>
      </c>
    </row>
    <row r="2094" spans="14:14" ht="14.25" customHeight="1">
      <c r="N2094" s="192">
        <v>0</v>
      </c>
    </row>
    <row r="2095" spans="14:14" ht="14.25" customHeight="1">
      <c r="N2095" s="192">
        <v>0</v>
      </c>
    </row>
    <row r="2096" spans="14:14" ht="14.25" customHeight="1">
      <c r="N2096" s="192">
        <v>0</v>
      </c>
    </row>
    <row r="2097" spans="14:14" ht="14.25" customHeight="1">
      <c r="N2097" s="192">
        <v>0</v>
      </c>
    </row>
    <row r="2098" spans="14:14" ht="14.25" customHeight="1">
      <c r="N2098" s="192">
        <v>0</v>
      </c>
    </row>
    <row r="2099" spans="14:14" ht="14.25" customHeight="1">
      <c r="N2099" s="192">
        <v>0</v>
      </c>
    </row>
    <row r="2100" spans="14:14" ht="14.25" customHeight="1">
      <c r="N2100" s="192">
        <v>0</v>
      </c>
    </row>
    <row r="2101" spans="14:14" ht="14.25" customHeight="1">
      <c r="N2101" s="192">
        <v>0</v>
      </c>
    </row>
    <row r="2102" spans="14:14" ht="14.25" customHeight="1">
      <c r="N2102" s="192">
        <v>0</v>
      </c>
    </row>
    <row r="2103" spans="14:14" ht="14.25" customHeight="1">
      <c r="N2103" s="192">
        <v>0</v>
      </c>
    </row>
    <row r="2104" spans="14:14" ht="14.25" customHeight="1">
      <c r="N2104" s="192">
        <v>0</v>
      </c>
    </row>
    <row r="2105" spans="14:14" ht="14.25" customHeight="1">
      <c r="N2105" s="192">
        <v>0</v>
      </c>
    </row>
    <row r="2106" spans="14:14" ht="14.25" customHeight="1">
      <c r="N2106" s="192">
        <v>0</v>
      </c>
    </row>
    <row r="2107" spans="14:14" ht="14.25" customHeight="1">
      <c r="N2107" s="192">
        <v>0</v>
      </c>
    </row>
    <row r="2108" spans="14:14" ht="14.25" customHeight="1">
      <c r="N2108" s="192">
        <v>0</v>
      </c>
    </row>
    <row r="2109" spans="14:14" ht="14.25" customHeight="1">
      <c r="N2109" s="192">
        <v>0</v>
      </c>
    </row>
    <row r="2110" spans="14:14" ht="14.25" customHeight="1">
      <c r="N2110" s="192">
        <v>0</v>
      </c>
    </row>
    <row r="2111" spans="14:14" ht="14.25" customHeight="1">
      <c r="N2111" s="192">
        <v>0</v>
      </c>
    </row>
    <row r="2112" spans="14:14" ht="14.25" customHeight="1">
      <c r="N2112" s="192">
        <v>0</v>
      </c>
    </row>
    <row r="2113" spans="14:14" ht="14.25" customHeight="1">
      <c r="N2113" s="192">
        <v>0</v>
      </c>
    </row>
    <row r="2114" spans="14:14" ht="14.25" customHeight="1">
      <c r="N2114" s="192">
        <v>0</v>
      </c>
    </row>
    <row r="2115" spans="14:14" ht="14.25" customHeight="1">
      <c r="N2115" s="192">
        <v>0</v>
      </c>
    </row>
    <row r="2116" spans="14:14" ht="14.25" customHeight="1">
      <c r="N2116" s="192">
        <v>0</v>
      </c>
    </row>
    <row r="2117" spans="14:14" ht="14.25" customHeight="1">
      <c r="N2117" s="192">
        <v>0</v>
      </c>
    </row>
    <row r="2118" spans="14:14" ht="14.25" customHeight="1">
      <c r="N2118" s="192">
        <v>0</v>
      </c>
    </row>
    <row r="2119" spans="14:14" ht="14.25" customHeight="1">
      <c r="N2119" s="192">
        <v>0</v>
      </c>
    </row>
    <row r="2120" spans="14:14" ht="14.25" customHeight="1">
      <c r="N2120" s="192">
        <v>0</v>
      </c>
    </row>
    <row r="2121" spans="14:14" ht="14.25" customHeight="1">
      <c r="N2121" s="192">
        <v>0</v>
      </c>
    </row>
    <row r="2122" spans="14:14" ht="14.25" customHeight="1">
      <c r="N2122" s="192">
        <v>0</v>
      </c>
    </row>
    <row r="2123" spans="14:14" ht="14.25" customHeight="1">
      <c r="N2123" s="192">
        <v>0</v>
      </c>
    </row>
    <row r="2124" spans="14:14" ht="14.25" customHeight="1">
      <c r="N2124" s="192">
        <v>0</v>
      </c>
    </row>
    <row r="2125" spans="14:14" ht="14.25" customHeight="1">
      <c r="N2125" s="192">
        <v>0</v>
      </c>
    </row>
    <row r="2126" spans="14:14" ht="14.25" customHeight="1">
      <c r="N2126" s="192">
        <v>0</v>
      </c>
    </row>
    <row r="2127" spans="14:14" ht="14.25" customHeight="1">
      <c r="N2127" s="192">
        <v>0</v>
      </c>
    </row>
    <row r="2128" spans="14:14" ht="14.25" customHeight="1">
      <c r="N2128" s="192">
        <v>0</v>
      </c>
    </row>
    <row r="2129" spans="14:14" ht="14.25" customHeight="1">
      <c r="N2129" s="192">
        <v>0</v>
      </c>
    </row>
    <row r="2130" spans="14:14" ht="14.25" customHeight="1">
      <c r="N2130" s="192">
        <v>0</v>
      </c>
    </row>
    <row r="2131" spans="14:14" ht="14.25" customHeight="1">
      <c r="N2131" s="192">
        <v>0</v>
      </c>
    </row>
    <row r="2132" spans="14:14" ht="14.25" customHeight="1">
      <c r="N2132" s="192">
        <v>0</v>
      </c>
    </row>
    <row r="2133" spans="14:14" ht="14.25" customHeight="1">
      <c r="N2133" s="192">
        <v>0</v>
      </c>
    </row>
    <row r="2134" spans="14:14" ht="14.25" customHeight="1">
      <c r="N2134" s="192">
        <v>0</v>
      </c>
    </row>
    <row r="2135" spans="14:14" ht="14.25" customHeight="1">
      <c r="N2135" s="192">
        <v>0</v>
      </c>
    </row>
    <row r="2136" spans="14:14" ht="14.25" customHeight="1">
      <c r="N2136" s="192">
        <v>0</v>
      </c>
    </row>
    <row r="2137" spans="14:14" ht="14.25" customHeight="1">
      <c r="N2137" s="192">
        <v>0</v>
      </c>
    </row>
    <row r="2138" spans="14:14" ht="14.25" customHeight="1">
      <c r="N2138" s="192">
        <v>0</v>
      </c>
    </row>
    <row r="2139" spans="14:14" ht="14.25" customHeight="1">
      <c r="N2139" s="192">
        <v>0</v>
      </c>
    </row>
    <row r="2140" spans="14:14" ht="14.25" customHeight="1">
      <c r="N2140" s="192">
        <v>0</v>
      </c>
    </row>
    <row r="2141" spans="14:14" ht="14.25" customHeight="1">
      <c r="N2141" s="192">
        <v>0</v>
      </c>
    </row>
    <row r="2142" spans="14:14" ht="14.25" customHeight="1">
      <c r="N2142" s="192">
        <v>0</v>
      </c>
    </row>
    <row r="2143" spans="14:14" ht="14.25" customHeight="1">
      <c r="N2143" s="192">
        <v>0</v>
      </c>
    </row>
    <row r="2144" spans="14:14" ht="14.25" customHeight="1">
      <c r="N2144" s="192">
        <v>0</v>
      </c>
    </row>
    <row r="2145" spans="14:14" ht="14.25" customHeight="1">
      <c r="N2145" s="192">
        <v>0</v>
      </c>
    </row>
    <row r="2146" spans="14:14" ht="14.25" customHeight="1">
      <c r="N2146" s="192">
        <v>0</v>
      </c>
    </row>
    <row r="2147" spans="14:14" ht="14.25" customHeight="1">
      <c r="N2147" s="192">
        <v>0</v>
      </c>
    </row>
    <row r="2148" spans="14:14" ht="14.25" customHeight="1">
      <c r="N2148" s="192">
        <v>0</v>
      </c>
    </row>
    <row r="2149" spans="14:14" ht="14.25" customHeight="1">
      <c r="N2149" s="192">
        <v>0</v>
      </c>
    </row>
    <row r="2150" spans="14:14" ht="14.25" customHeight="1">
      <c r="N2150" s="192">
        <v>0</v>
      </c>
    </row>
    <row r="2151" spans="14:14" ht="14.25" customHeight="1">
      <c r="N2151" s="192">
        <v>0</v>
      </c>
    </row>
    <row r="2152" spans="14:14" ht="14.25" customHeight="1">
      <c r="N2152" s="192">
        <v>0</v>
      </c>
    </row>
    <row r="2153" spans="14:14" ht="14.25" customHeight="1">
      <c r="N2153" s="192">
        <v>0</v>
      </c>
    </row>
    <row r="2154" spans="14:14" ht="14.25" customHeight="1">
      <c r="N2154" s="192">
        <v>0</v>
      </c>
    </row>
    <row r="2155" spans="14:14" ht="14.25" customHeight="1">
      <c r="N2155" s="192">
        <v>0</v>
      </c>
    </row>
    <row r="2156" spans="14:14" ht="14.25" customHeight="1">
      <c r="N2156" s="192">
        <v>0</v>
      </c>
    </row>
    <row r="2157" spans="14:14" ht="14.25" customHeight="1">
      <c r="N2157" s="192">
        <v>0</v>
      </c>
    </row>
    <row r="2158" spans="14:14" ht="14.25" customHeight="1">
      <c r="N2158" s="192">
        <v>0</v>
      </c>
    </row>
    <row r="2159" spans="14:14" ht="14.25" customHeight="1">
      <c r="N2159" s="192">
        <v>0</v>
      </c>
    </row>
    <row r="2160" spans="14:14" ht="14.25" customHeight="1">
      <c r="N2160" s="192">
        <v>0</v>
      </c>
    </row>
    <row r="2161" spans="14:14" ht="14.25" customHeight="1">
      <c r="N2161" s="192">
        <v>0</v>
      </c>
    </row>
    <row r="2162" spans="14:14" ht="14.25" customHeight="1">
      <c r="N2162" s="192">
        <v>0</v>
      </c>
    </row>
    <row r="2163" spans="14:14" ht="14.25" customHeight="1">
      <c r="N2163" s="192">
        <v>0</v>
      </c>
    </row>
    <row r="2164" spans="14:14" ht="14.25" customHeight="1">
      <c r="N2164" s="192">
        <v>0</v>
      </c>
    </row>
    <row r="2165" spans="14:14" ht="14.25" customHeight="1">
      <c r="N2165" s="192">
        <v>0</v>
      </c>
    </row>
    <row r="2166" spans="14:14" ht="14.25" customHeight="1">
      <c r="N2166" s="192">
        <v>0</v>
      </c>
    </row>
    <row r="2167" spans="14:14" ht="14.25" customHeight="1">
      <c r="N2167" s="192">
        <v>0</v>
      </c>
    </row>
    <row r="2168" spans="14:14" ht="14.25" customHeight="1">
      <c r="N2168" s="192">
        <v>0</v>
      </c>
    </row>
    <row r="2169" spans="14:14" ht="14.25" customHeight="1">
      <c r="N2169" s="192">
        <v>0</v>
      </c>
    </row>
    <row r="2170" spans="14:14" ht="14.25" customHeight="1">
      <c r="N2170" s="192">
        <v>0</v>
      </c>
    </row>
    <row r="2171" spans="14:14" ht="14.25" customHeight="1">
      <c r="N2171" s="192">
        <v>0</v>
      </c>
    </row>
    <row r="2172" spans="14:14" ht="14.25" customHeight="1">
      <c r="N2172" s="192">
        <v>0</v>
      </c>
    </row>
    <row r="2173" spans="14:14" ht="14.25" customHeight="1">
      <c r="N2173" s="192">
        <v>0</v>
      </c>
    </row>
    <row r="2174" spans="14:14" ht="14.25" customHeight="1">
      <c r="N2174" s="192">
        <v>0</v>
      </c>
    </row>
    <row r="2175" spans="14:14" ht="14.25" customHeight="1">
      <c r="N2175" s="192">
        <v>0</v>
      </c>
    </row>
    <row r="2176" spans="14:14" ht="14.25" customHeight="1">
      <c r="N2176" s="192">
        <v>0</v>
      </c>
    </row>
    <row r="2177" spans="14:14" ht="14.25" customHeight="1">
      <c r="N2177" s="192">
        <v>0</v>
      </c>
    </row>
    <row r="2178" spans="14:14" ht="14.25" customHeight="1">
      <c r="N2178" s="192">
        <v>0</v>
      </c>
    </row>
    <row r="2179" spans="14:14" ht="14.25" customHeight="1">
      <c r="N2179" s="192">
        <v>0</v>
      </c>
    </row>
    <row r="2180" spans="14:14" ht="14.25" customHeight="1">
      <c r="N2180" s="192">
        <v>0</v>
      </c>
    </row>
    <row r="2181" spans="14:14" ht="14.25" customHeight="1">
      <c r="N2181" s="192">
        <v>0</v>
      </c>
    </row>
    <row r="2182" spans="14:14" ht="14.25" customHeight="1">
      <c r="N2182" s="192">
        <v>0</v>
      </c>
    </row>
    <row r="2183" spans="14:14" ht="14.25" customHeight="1">
      <c r="N2183" s="192">
        <v>0</v>
      </c>
    </row>
    <row r="2184" spans="14:14" ht="14.25" customHeight="1">
      <c r="N2184" s="192">
        <v>0</v>
      </c>
    </row>
    <row r="2185" spans="14:14" ht="14.25" customHeight="1">
      <c r="N2185" s="192">
        <v>0</v>
      </c>
    </row>
    <row r="2186" spans="14:14" ht="14.25" customHeight="1">
      <c r="N2186" s="192">
        <v>0</v>
      </c>
    </row>
    <row r="2187" spans="14:14" ht="14.25" customHeight="1">
      <c r="N2187" s="192">
        <v>0</v>
      </c>
    </row>
    <row r="2188" spans="14:14" ht="14.25" customHeight="1">
      <c r="N2188" s="192">
        <v>0</v>
      </c>
    </row>
    <row r="2189" spans="14:14" ht="14.25" customHeight="1">
      <c r="N2189" s="192">
        <v>0</v>
      </c>
    </row>
    <row r="2190" spans="14:14" ht="14.25" customHeight="1">
      <c r="N2190" s="192">
        <v>0</v>
      </c>
    </row>
    <row r="2191" spans="14:14" ht="14.25" customHeight="1">
      <c r="N2191" s="192">
        <v>0</v>
      </c>
    </row>
    <row r="2192" spans="14:14" ht="14.25" customHeight="1">
      <c r="N2192" s="192">
        <v>0</v>
      </c>
    </row>
    <row r="2193" spans="14:14" ht="14.25" customHeight="1">
      <c r="N2193" s="192">
        <v>0</v>
      </c>
    </row>
    <row r="2194" spans="14:14" ht="14.25" customHeight="1">
      <c r="N2194" s="192">
        <v>0</v>
      </c>
    </row>
    <row r="2195" spans="14:14" ht="14.25" customHeight="1">
      <c r="N2195" s="192">
        <v>0</v>
      </c>
    </row>
    <row r="2196" spans="14:14" ht="14.25" customHeight="1">
      <c r="N2196" s="192">
        <v>0</v>
      </c>
    </row>
    <row r="2197" spans="14:14" ht="14.25" customHeight="1">
      <c r="N2197" s="192">
        <v>0</v>
      </c>
    </row>
    <row r="2198" spans="14:14" ht="14.25" customHeight="1">
      <c r="N2198" s="192">
        <v>0</v>
      </c>
    </row>
    <row r="2199" spans="14:14" ht="14.25" customHeight="1">
      <c r="N2199" s="192">
        <v>0</v>
      </c>
    </row>
    <row r="2200" spans="14:14" ht="14.25" customHeight="1">
      <c r="N2200" s="192">
        <v>0</v>
      </c>
    </row>
    <row r="2201" spans="14:14" ht="14.25" customHeight="1">
      <c r="N2201" s="192">
        <v>0</v>
      </c>
    </row>
    <row r="2202" spans="14:14" ht="14.25" customHeight="1">
      <c r="N2202" s="192">
        <v>0</v>
      </c>
    </row>
    <row r="2203" spans="14:14" ht="14.25" customHeight="1">
      <c r="N2203" s="192">
        <v>0</v>
      </c>
    </row>
    <row r="2204" spans="14:14" ht="14.25" customHeight="1">
      <c r="N2204" s="192">
        <v>0</v>
      </c>
    </row>
    <row r="2205" spans="14:14" ht="14.25" customHeight="1">
      <c r="N2205" s="192">
        <v>0</v>
      </c>
    </row>
    <row r="2206" spans="14:14" ht="14.25" customHeight="1">
      <c r="N2206" s="192">
        <v>0</v>
      </c>
    </row>
    <row r="2207" spans="14:14" ht="14.25" customHeight="1">
      <c r="N2207" s="192">
        <v>0</v>
      </c>
    </row>
    <row r="2208" spans="14:14" ht="14.25" customHeight="1">
      <c r="N2208" s="192">
        <v>0</v>
      </c>
    </row>
    <row r="2209" spans="14:14" ht="14.25" customHeight="1">
      <c r="N2209" s="192">
        <v>0</v>
      </c>
    </row>
    <row r="2210" spans="14:14" ht="14.25" customHeight="1">
      <c r="N2210" s="192">
        <v>0</v>
      </c>
    </row>
    <row r="2211" spans="14:14" ht="14.25" customHeight="1">
      <c r="N2211" s="192">
        <v>0</v>
      </c>
    </row>
    <row r="2212" spans="14:14" ht="14.25" customHeight="1">
      <c r="N2212" s="192">
        <v>0</v>
      </c>
    </row>
    <row r="2213" spans="14:14" ht="14.25" customHeight="1">
      <c r="N2213" s="192">
        <v>0</v>
      </c>
    </row>
    <row r="2214" spans="14:14" ht="14.25" customHeight="1">
      <c r="N2214" s="192">
        <v>0</v>
      </c>
    </row>
    <row r="2215" spans="14:14" ht="14.25" customHeight="1">
      <c r="N2215" s="192">
        <v>0</v>
      </c>
    </row>
    <row r="2216" spans="14:14" ht="14.25" customHeight="1">
      <c r="N2216" s="192">
        <v>0</v>
      </c>
    </row>
    <row r="2217" spans="14:14" ht="14.25" customHeight="1">
      <c r="N2217" s="192">
        <v>0</v>
      </c>
    </row>
    <row r="2218" spans="14:14" ht="14.25" customHeight="1">
      <c r="N2218" s="192">
        <v>0</v>
      </c>
    </row>
    <row r="2219" spans="14:14" ht="14.25" customHeight="1">
      <c r="N2219" s="192">
        <v>0</v>
      </c>
    </row>
    <row r="2220" spans="14:14" ht="14.25" customHeight="1">
      <c r="N2220" s="192">
        <v>0</v>
      </c>
    </row>
    <row r="2221" spans="14:14" ht="14.25" customHeight="1">
      <c r="N2221" s="192">
        <v>0</v>
      </c>
    </row>
    <row r="2222" spans="14:14" ht="14.25" customHeight="1">
      <c r="N2222" s="192">
        <v>0</v>
      </c>
    </row>
    <row r="2223" spans="14:14" ht="14.25" customHeight="1">
      <c r="N2223" s="192">
        <v>0</v>
      </c>
    </row>
    <row r="2224" spans="14:14" ht="14.25" customHeight="1">
      <c r="N2224" s="192">
        <v>0</v>
      </c>
    </row>
    <row r="2225" spans="14:14" ht="14.25" customHeight="1">
      <c r="N2225" s="192">
        <v>0</v>
      </c>
    </row>
    <row r="2226" spans="14:14" ht="14.25" customHeight="1">
      <c r="N2226" s="192">
        <v>0</v>
      </c>
    </row>
    <row r="2227" spans="14:14" ht="14.25" customHeight="1">
      <c r="N2227" s="192">
        <v>0</v>
      </c>
    </row>
    <row r="2228" spans="14:14" ht="14.25" customHeight="1">
      <c r="N2228" s="192">
        <v>0</v>
      </c>
    </row>
    <row r="2229" spans="14:14" ht="14.25" customHeight="1">
      <c r="N2229" s="192">
        <v>0</v>
      </c>
    </row>
    <row r="2230" spans="14:14" ht="14.25" customHeight="1">
      <c r="N2230" s="192">
        <v>0</v>
      </c>
    </row>
    <row r="2231" spans="14:14" ht="14.25" customHeight="1">
      <c r="N2231" s="192">
        <v>0</v>
      </c>
    </row>
    <row r="2232" spans="14:14" ht="14.25" customHeight="1">
      <c r="N2232" s="192">
        <v>0</v>
      </c>
    </row>
    <row r="2233" spans="14:14" ht="14.25" customHeight="1">
      <c r="N2233" s="192">
        <v>0</v>
      </c>
    </row>
    <row r="2234" spans="14:14" ht="14.25" customHeight="1">
      <c r="N2234" s="192">
        <v>0</v>
      </c>
    </row>
    <row r="2235" spans="14:14" ht="14.25" customHeight="1">
      <c r="N2235" s="192">
        <v>0</v>
      </c>
    </row>
    <row r="2236" spans="14:14" ht="14.25" customHeight="1">
      <c r="N2236" s="192">
        <v>0</v>
      </c>
    </row>
    <row r="2237" spans="14:14" ht="14.25" customHeight="1">
      <c r="N2237" s="192">
        <v>0</v>
      </c>
    </row>
    <row r="2238" spans="14:14" ht="14.25" customHeight="1">
      <c r="N2238" s="192">
        <v>0</v>
      </c>
    </row>
    <row r="2239" spans="14:14" ht="14.25" customHeight="1">
      <c r="N2239" s="192">
        <v>0</v>
      </c>
    </row>
    <row r="2240" spans="14:14" ht="14.25" customHeight="1">
      <c r="N2240" s="192">
        <v>0</v>
      </c>
    </row>
    <row r="2241" spans="14:14" ht="14.25" customHeight="1">
      <c r="N2241" s="192">
        <v>0</v>
      </c>
    </row>
    <row r="2242" spans="14:14" ht="14.25" customHeight="1">
      <c r="N2242" s="192">
        <v>0</v>
      </c>
    </row>
    <row r="2243" spans="14:14" ht="14.25" customHeight="1">
      <c r="N2243" s="192">
        <v>0</v>
      </c>
    </row>
    <row r="2244" spans="14:14" ht="14.25" customHeight="1">
      <c r="N2244" s="192">
        <v>0</v>
      </c>
    </row>
    <row r="2245" spans="14:14" ht="14.25" customHeight="1">
      <c r="N2245" s="192">
        <v>0</v>
      </c>
    </row>
    <row r="2246" spans="14:14" ht="14.25" customHeight="1">
      <c r="N2246" s="192">
        <v>0</v>
      </c>
    </row>
    <row r="2247" spans="14:14" ht="14.25" customHeight="1">
      <c r="N2247" s="192">
        <v>0</v>
      </c>
    </row>
    <row r="2248" spans="14:14" ht="14.25" customHeight="1">
      <c r="N2248" s="192">
        <v>0</v>
      </c>
    </row>
    <row r="2249" spans="14:14" ht="14.25" customHeight="1">
      <c r="N2249" s="192">
        <v>0</v>
      </c>
    </row>
    <row r="2250" spans="14:14" ht="14.25" customHeight="1">
      <c r="N2250" s="192">
        <v>0</v>
      </c>
    </row>
    <row r="2251" spans="14:14" ht="14.25" customHeight="1">
      <c r="N2251" s="192">
        <v>0</v>
      </c>
    </row>
    <row r="2252" spans="14:14" ht="14.25" customHeight="1">
      <c r="N2252" s="192">
        <v>0</v>
      </c>
    </row>
    <row r="2253" spans="14:14" ht="14.25" customHeight="1">
      <c r="N2253" s="192">
        <v>0</v>
      </c>
    </row>
    <row r="2254" spans="14:14" ht="14.25" customHeight="1">
      <c r="N2254" s="192">
        <v>0</v>
      </c>
    </row>
    <row r="2255" spans="14:14" ht="14.25" customHeight="1">
      <c r="N2255" s="192">
        <v>0</v>
      </c>
    </row>
    <row r="2256" spans="14:14" ht="14.25" customHeight="1">
      <c r="N2256" s="192">
        <v>0</v>
      </c>
    </row>
    <row r="2257" spans="14:14" ht="14.25" customHeight="1">
      <c r="N2257" s="192">
        <v>0</v>
      </c>
    </row>
    <row r="2258" spans="14:14" ht="14.25" customHeight="1">
      <c r="N2258" s="192">
        <v>0</v>
      </c>
    </row>
    <row r="2259" spans="14:14" ht="14.25" customHeight="1">
      <c r="N2259" s="192">
        <v>0</v>
      </c>
    </row>
    <row r="2260" spans="14:14" ht="14.25" customHeight="1">
      <c r="N2260" s="192">
        <v>0</v>
      </c>
    </row>
    <row r="2261" spans="14:14" ht="14.25" customHeight="1">
      <c r="N2261" s="192">
        <v>0</v>
      </c>
    </row>
    <row r="2262" spans="14:14" ht="14.25" customHeight="1">
      <c r="N2262" s="192">
        <v>0</v>
      </c>
    </row>
    <row r="2263" spans="14:14" ht="14.25" customHeight="1">
      <c r="N2263" s="192">
        <v>0</v>
      </c>
    </row>
    <row r="2264" spans="14:14" ht="14.25" customHeight="1">
      <c r="N2264" s="192">
        <v>0</v>
      </c>
    </row>
    <row r="2265" spans="14:14" ht="14.25" customHeight="1">
      <c r="N2265" s="192">
        <v>0</v>
      </c>
    </row>
    <row r="2266" spans="14:14" ht="14.25" customHeight="1">
      <c r="N2266" s="192">
        <v>0</v>
      </c>
    </row>
    <row r="2267" spans="14:14" ht="14.25" customHeight="1">
      <c r="N2267" s="192">
        <v>0</v>
      </c>
    </row>
    <row r="2268" spans="14:14" ht="14.25" customHeight="1">
      <c r="N2268" s="192">
        <v>0</v>
      </c>
    </row>
    <row r="2269" spans="14:14" ht="14.25" customHeight="1">
      <c r="N2269" s="192">
        <v>0</v>
      </c>
    </row>
    <row r="2270" spans="14:14" ht="14.25" customHeight="1">
      <c r="N2270" s="192">
        <v>0</v>
      </c>
    </row>
    <row r="2271" spans="14:14" ht="14.25" customHeight="1">
      <c r="N2271" s="192">
        <v>0</v>
      </c>
    </row>
    <row r="2272" spans="14:14" ht="14.25" customHeight="1">
      <c r="N2272" s="192">
        <v>0</v>
      </c>
    </row>
    <row r="2273" spans="14:14" ht="14.25" customHeight="1">
      <c r="N2273" s="192">
        <v>0</v>
      </c>
    </row>
    <row r="2274" spans="14:14" ht="14.25" customHeight="1">
      <c r="N2274" s="192">
        <v>0</v>
      </c>
    </row>
    <row r="2275" spans="14:14" ht="14.25" customHeight="1">
      <c r="N2275" s="192">
        <v>0</v>
      </c>
    </row>
    <row r="2276" spans="14:14" ht="14.25" customHeight="1">
      <c r="N2276" s="192">
        <v>0</v>
      </c>
    </row>
    <row r="2277" spans="14:14" ht="14.25" customHeight="1">
      <c r="N2277" s="192">
        <v>0</v>
      </c>
    </row>
    <row r="2278" spans="14:14" ht="14.25" customHeight="1">
      <c r="N2278" s="192">
        <v>0</v>
      </c>
    </row>
    <row r="2279" spans="14:14" ht="14.25" customHeight="1">
      <c r="N2279" s="192">
        <v>0</v>
      </c>
    </row>
    <row r="2280" spans="14:14" ht="14.25" customHeight="1">
      <c r="N2280" s="192">
        <v>0</v>
      </c>
    </row>
    <row r="2281" spans="14:14" ht="14.25" customHeight="1">
      <c r="N2281" s="192">
        <v>0</v>
      </c>
    </row>
    <row r="2282" spans="14:14" ht="14.25" customHeight="1">
      <c r="N2282" s="192">
        <v>0</v>
      </c>
    </row>
    <row r="2283" spans="14:14" ht="14.25" customHeight="1">
      <c r="N2283" s="192">
        <v>0</v>
      </c>
    </row>
    <row r="2284" spans="14:14" ht="14.25" customHeight="1">
      <c r="N2284" s="192">
        <v>0</v>
      </c>
    </row>
    <row r="2285" spans="14:14" ht="14.25" customHeight="1">
      <c r="N2285" s="192">
        <v>0</v>
      </c>
    </row>
    <row r="2286" spans="14:14" ht="14.25" customHeight="1">
      <c r="N2286" s="192">
        <v>0</v>
      </c>
    </row>
    <row r="2287" spans="14:14" ht="14.25" customHeight="1">
      <c r="N2287" s="192">
        <v>0</v>
      </c>
    </row>
    <row r="2288" spans="14:14" ht="14.25" customHeight="1">
      <c r="N2288" s="192">
        <v>0</v>
      </c>
    </row>
    <row r="2289" spans="14:14" ht="14.25" customHeight="1">
      <c r="N2289" s="192">
        <v>0</v>
      </c>
    </row>
    <row r="2290" spans="14:14" ht="14.25" customHeight="1">
      <c r="N2290" s="192">
        <v>0</v>
      </c>
    </row>
    <row r="2291" spans="14:14" ht="14.25" customHeight="1">
      <c r="N2291" s="192">
        <v>0</v>
      </c>
    </row>
    <row r="2292" spans="14:14" ht="14.25" customHeight="1">
      <c r="N2292" s="192">
        <v>0</v>
      </c>
    </row>
    <row r="2293" spans="14:14" ht="14.25" customHeight="1">
      <c r="N2293" s="192">
        <v>0</v>
      </c>
    </row>
    <row r="2294" spans="14:14" ht="14.25" customHeight="1">
      <c r="N2294" s="192">
        <v>0</v>
      </c>
    </row>
    <row r="2295" spans="14:14" ht="14.25" customHeight="1">
      <c r="N2295" s="192">
        <v>0</v>
      </c>
    </row>
    <row r="2296" spans="14:14" ht="14.25" customHeight="1">
      <c r="N2296" s="192">
        <v>0</v>
      </c>
    </row>
    <row r="2297" spans="14:14" ht="14.25" customHeight="1">
      <c r="N2297" s="192">
        <v>0</v>
      </c>
    </row>
    <row r="2298" spans="14:14" ht="14.25" customHeight="1">
      <c r="N2298" s="192">
        <v>0</v>
      </c>
    </row>
    <row r="2299" spans="14:14" ht="14.25" customHeight="1">
      <c r="N2299" s="192">
        <v>0</v>
      </c>
    </row>
    <row r="2300" spans="14:14" ht="14.25" customHeight="1">
      <c r="N2300" s="192">
        <v>0</v>
      </c>
    </row>
    <row r="2301" spans="14:14" ht="14.25" customHeight="1">
      <c r="N2301" s="192">
        <v>0</v>
      </c>
    </row>
    <row r="2302" spans="14:14" ht="14.25" customHeight="1">
      <c r="N2302" s="192">
        <v>0</v>
      </c>
    </row>
    <row r="2303" spans="14:14" ht="14.25" customHeight="1">
      <c r="N2303" s="192">
        <v>0</v>
      </c>
    </row>
    <row r="2304" spans="14:14" ht="14.25" customHeight="1">
      <c r="N2304" s="192">
        <v>0</v>
      </c>
    </row>
    <row r="2305" spans="14:14" ht="14.25" customHeight="1">
      <c r="N2305" s="192">
        <v>0</v>
      </c>
    </row>
    <row r="2306" spans="14:14" ht="14.25" customHeight="1">
      <c r="N2306" s="192">
        <v>0</v>
      </c>
    </row>
    <row r="2307" spans="14:14" ht="14.25" customHeight="1">
      <c r="N2307" s="192">
        <v>0</v>
      </c>
    </row>
    <row r="2308" spans="14:14" ht="14.25" customHeight="1">
      <c r="N2308" s="192">
        <v>0</v>
      </c>
    </row>
    <row r="2309" spans="14:14" ht="14.25" customHeight="1">
      <c r="N2309" s="192">
        <v>0</v>
      </c>
    </row>
    <row r="2310" spans="14:14" ht="14.25" customHeight="1">
      <c r="N2310" s="192">
        <v>0</v>
      </c>
    </row>
    <row r="2311" spans="14:14" ht="14.25" customHeight="1">
      <c r="N2311" s="192">
        <v>0</v>
      </c>
    </row>
    <row r="2312" spans="14:14" ht="14.25" customHeight="1">
      <c r="N2312" s="192">
        <v>0</v>
      </c>
    </row>
    <row r="2313" spans="14:14" ht="14.25" customHeight="1">
      <c r="N2313" s="192">
        <v>0</v>
      </c>
    </row>
    <row r="2314" spans="14:14" ht="14.25" customHeight="1">
      <c r="N2314" s="192">
        <v>0</v>
      </c>
    </row>
    <row r="2315" spans="14:14" ht="14.25" customHeight="1">
      <c r="N2315" s="192">
        <v>0</v>
      </c>
    </row>
    <row r="2316" spans="14:14" ht="14.25" customHeight="1">
      <c r="N2316" s="192">
        <v>0</v>
      </c>
    </row>
    <row r="2317" spans="14:14" ht="14.25" customHeight="1">
      <c r="N2317" s="192">
        <v>0</v>
      </c>
    </row>
    <row r="2318" spans="14:14" ht="14.25" customHeight="1">
      <c r="N2318" s="192">
        <v>0</v>
      </c>
    </row>
    <row r="2319" spans="14:14" ht="14.25" customHeight="1">
      <c r="N2319" s="192">
        <v>0</v>
      </c>
    </row>
    <row r="2320" spans="14:14" ht="14.25" customHeight="1">
      <c r="N2320" s="192">
        <v>0</v>
      </c>
    </row>
    <row r="2321" spans="14:14" ht="14.25" customHeight="1">
      <c r="N2321" s="192">
        <v>0</v>
      </c>
    </row>
    <row r="2322" spans="14:14" ht="14.25" customHeight="1">
      <c r="N2322" s="192">
        <v>0</v>
      </c>
    </row>
    <row r="2323" spans="14:14" ht="14.25" customHeight="1">
      <c r="N2323" s="192">
        <v>0</v>
      </c>
    </row>
    <row r="2324" spans="14:14" ht="14.25" customHeight="1">
      <c r="N2324" s="192">
        <v>0</v>
      </c>
    </row>
    <row r="2325" spans="14:14" ht="14.25" customHeight="1">
      <c r="N2325" s="192">
        <v>0</v>
      </c>
    </row>
    <row r="2326" spans="14:14" ht="14.25" customHeight="1">
      <c r="N2326" s="192">
        <v>0</v>
      </c>
    </row>
    <row r="2327" spans="14:14" ht="14.25" customHeight="1">
      <c r="N2327" s="192">
        <v>0</v>
      </c>
    </row>
    <row r="2328" spans="14:14" ht="14.25" customHeight="1">
      <c r="N2328" s="192">
        <v>0</v>
      </c>
    </row>
    <row r="2329" spans="14:14" ht="14.25" customHeight="1">
      <c r="N2329" s="192">
        <v>0</v>
      </c>
    </row>
    <row r="2330" spans="14:14" ht="14.25" customHeight="1">
      <c r="N2330" s="192">
        <v>0</v>
      </c>
    </row>
    <row r="2331" spans="14:14" ht="14.25" customHeight="1">
      <c r="N2331" s="192">
        <v>0</v>
      </c>
    </row>
    <row r="2332" spans="14:14" ht="14.25" customHeight="1">
      <c r="N2332" s="192">
        <v>0</v>
      </c>
    </row>
    <row r="2333" spans="14:14" ht="14.25" customHeight="1">
      <c r="N2333" s="192">
        <v>0</v>
      </c>
    </row>
    <row r="2334" spans="14:14" ht="14.25" customHeight="1">
      <c r="N2334" s="192">
        <v>0</v>
      </c>
    </row>
    <row r="2335" spans="14:14" ht="14.25" customHeight="1">
      <c r="N2335" s="192">
        <v>0</v>
      </c>
    </row>
    <row r="2336" spans="14:14" ht="14.25" customHeight="1">
      <c r="N2336" s="192">
        <v>0</v>
      </c>
    </row>
    <row r="2337" spans="14:14" ht="14.25" customHeight="1">
      <c r="N2337" s="192">
        <v>0</v>
      </c>
    </row>
    <row r="2338" spans="14:14" ht="14.25" customHeight="1">
      <c r="N2338" s="192">
        <v>0</v>
      </c>
    </row>
    <row r="2339" spans="14:14" ht="14.25" customHeight="1">
      <c r="N2339" s="192">
        <v>0</v>
      </c>
    </row>
    <row r="2340" spans="14:14" ht="14.25" customHeight="1">
      <c r="N2340" s="192">
        <v>0</v>
      </c>
    </row>
    <row r="2341" spans="14:14" ht="14.25" customHeight="1">
      <c r="N2341" s="192">
        <v>0</v>
      </c>
    </row>
    <row r="2342" spans="14:14" ht="14.25" customHeight="1">
      <c r="N2342" s="192">
        <v>0</v>
      </c>
    </row>
    <row r="2343" spans="14:14" ht="14.25" customHeight="1">
      <c r="N2343" s="192">
        <v>0</v>
      </c>
    </row>
    <row r="2344" spans="14:14" ht="14.25" customHeight="1">
      <c r="N2344" s="192">
        <v>0</v>
      </c>
    </row>
    <row r="2345" spans="14:14" ht="14.25" customHeight="1">
      <c r="N2345" s="192">
        <v>0</v>
      </c>
    </row>
    <row r="2346" spans="14:14" ht="14.25" customHeight="1">
      <c r="N2346" s="192">
        <v>0</v>
      </c>
    </row>
    <row r="2347" spans="14:14" ht="14.25" customHeight="1">
      <c r="N2347" s="192">
        <v>0</v>
      </c>
    </row>
    <row r="2348" spans="14:14" ht="14.25" customHeight="1">
      <c r="N2348" s="192">
        <v>0</v>
      </c>
    </row>
    <row r="2349" spans="14:14" ht="14.25" customHeight="1">
      <c r="N2349" s="192">
        <v>0</v>
      </c>
    </row>
    <row r="2350" spans="14:14" ht="14.25" customHeight="1">
      <c r="N2350" s="192">
        <v>0</v>
      </c>
    </row>
    <row r="2351" spans="14:14" ht="14.25" customHeight="1">
      <c r="N2351" s="192">
        <v>0</v>
      </c>
    </row>
    <row r="2352" spans="14:14" ht="14.25" customHeight="1">
      <c r="N2352" s="192">
        <v>0</v>
      </c>
    </row>
    <row r="2353" spans="14:14" ht="14.25" customHeight="1">
      <c r="N2353" s="192">
        <v>0</v>
      </c>
    </row>
    <row r="2354" spans="14:14" ht="14.25" customHeight="1">
      <c r="N2354" s="192">
        <v>0</v>
      </c>
    </row>
    <row r="2355" spans="14:14" ht="14.25" customHeight="1">
      <c r="N2355" s="192">
        <v>0</v>
      </c>
    </row>
    <row r="2356" spans="14:14" ht="14.25" customHeight="1">
      <c r="N2356" s="192">
        <v>0</v>
      </c>
    </row>
    <row r="2357" spans="14:14" ht="14.25" customHeight="1">
      <c r="N2357" s="192">
        <v>0</v>
      </c>
    </row>
    <row r="2358" spans="14:14" ht="14.25" customHeight="1">
      <c r="N2358" s="192">
        <v>0</v>
      </c>
    </row>
    <row r="2359" spans="14:14" ht="14.25" customHeight="1">
      <c r="N2359" s="192">
        <v>0</v>
      </c>
    </row>
    <row r="2360" spans="14:14" ht="14.25" customHeight="1">
      <c r="N2360" s="192">
        <v>0</v>
      </c>
    </row>
    <row r="2361" spans="14:14" ht="14.25" customHeight="1">
      <c r="N2361" s="192">
        <v>0</v>
      </c>
    </row>
    <row r="2362" spans="14:14" ht="14.25" customHeight="1">
      <c r="N2362" s="192">
        <v>0</v>
      </c>
    </row>
    <row r="2363" spans="14:14" ht="14.25" customHeight="1">
      <c r="N2363" s="192">
        <v>0</v>
      </c>
    </row>
    <row r="2364" spans="14:14" ht="14.25" customHeight="1">
      <c r="N2364" s="192">
        <v>0</v>
      </c>
    </row>
    <row r="2365" spans="14:14" ht="14.25" customHeight="1">
      <c r="N2365" s="192">
        <v>0</v>
      </c>
    </row>
    <row r="2366" spans="14:14" ht="14.25" customHeight="1">
      <c r="N2366" s="192">
        <v>0</v>
      </c>
    </row>
    <row r="2367" spans="14:14" ht="14.25" customHeight="1">
      <c r="N2367" s="192">
        <v>0</v>
      </c>
    </row>
    <row r="2368" spans="14:14" ht="14.25" customHeight="1">
      <c r="N2368" s="192">
        <v>0</v>
      </c>
    </row>
    <row r="2369" spans="14:14" ht="14.25" customHeight="1">
      <c r="N2369" s="192">
        <v>0</v>
      </c>
    </row>
    <row r="2370" spans="14:14" ht="14.25" customHeight="1">
      <c r="N2370" s="192">
        <v>0</v>
      </c>
    </row>
    <row r="2371" spans="14:14" ht="14.25" customHeight="1">
      <c r="N2371" s="192">
        <v>0</v>
      </c>
    </row>
    <row r="2372" spans="14:14" ht="14.25" customHeight="1">
      <c r="N2372" s="192">
        <v>0</v>
      </c>
    </row>
    <row r="2373" spans="14:14" ht="14.25" customHeight="1">
      <c r="N2373" s="192">
        <v>0</v>
      </c>
    </row>
    <row r="2374" spans="14:14" ht="14.25" customHeight="1">
      <c r="N2374" s="192">
        <v>0</v>
      </c>
    </row>
    <row r="2375" spans="14:14" ht="14.25" customHeight="1">
      <c r="N2375" s="192">
        <v>0</v>
      </c>
    </row>
    <row r="2376" spans="14:14" ht="14.25" customHeight="1">
      <c r="N2376" s="192">
        <v>0</v>
      </c>
    </row>
    <row r="2377" spans="14:14" ht="14.25" customHeight="1">
      <c r="N2377" s="192">
        <v>0</v>
      </c>
    </row>
    <row r="2378" spans="14:14" ht="14.25" customHeight="1">
      <c r="N2378" s="192">
        <v>0</v>
      </c>
    </row>
    <row r="2379" spans="14:14" ht="14.25" customHeight="1">
      <c r="N2379" s="192">
        <v>0</v>
      </c>
    </row>
    <row r="2380" spans="14:14" ht="14.25" customHeight="1">
      <c r="N2380" s="192">
        <v>0</v>
      </c>
    </row>
    <row r="2381" spans="14:14" ht="14.25" customHeight="1">
      <c r="N2381" s="192">
        <v>0</v>
      </c>
    </row>
    <row r="2382" spans="14:14" ht="14.25" customHeight="1">
      <c r="N2382" s="192">
        <v>0</v>
      </c>
    </row>
    <row r="2383" spans="14:14" ht="14.25" customHeight="1">
      <c r="N2383" s="192">
        <v>0</v>
      </c>
    </row>
    <row r="2384" spans="14:14" ht="14.25" customHeight="1">
      <c r="N2384" s="192">
        <v>0</v>
      </c>
    </row>
    <row r="2385" spans="14:14" ht="14.25" customHeight="1">
      <c r="N2385" s="192">
        <v>0</v>
      </c>
    </row>
    <row r="2386" spans="14:14" ht="14.25" customHeight="1">
      <c r="N2386" s="192">
        <v>0</v>
      </c>
    </row>
    <row r="2387" spans="14:14" ht="14.25" customHeight="1">
      <c r="N2387" s="192">
        <v>0</v>
      </c>
    </row>
    <row r="2388" spans="14:14" ht="14.25" customHeight="1">
      <c r="N2388" s="192">
        <v>0</v>
      </c>
    </row>
    <row r="2389" spans="14:14" ht="14.25" customHeight="1">
      <c r="N2389" s="192">
        <v>0</v>
      </c>
    </row>
    <row r="2390" spans="14:14" ht="14.25" customHeight="1">
      <c r="N2390" s="192">
        <v>0</v>
      </c>
    </row>
    <row r="2391" spans="14:14" ht="14.25" customHeight="1">
      <c r="N2391" s="192">
        <v>0</v>
      </c>
    </row>
    <row r="2392" spans="14:14" ht="14.25" customHeight="1">
      <c r="N2392" s="192">
        <v>0</v>
      </c>
    </row>
    <row r="2393" spans="14:14" ht="14.25" customHeight="1">
      <c r="N2393" s="192">
        <v>0</v>
      </c>
    </row>
    <row r="2394" spans="14:14" ht="14.25" customHeight="1">
      <c r="N2394" s="192">
        <v>0</v>
      </c>
    </row>
    <row r="2395" spans="14:14" ht="14.25" customHeight="1">
      <c r="N2395" s="192">
        <v>0</v>
      </c>
    </row>
    <row r="2396" spans="14:14" ht="14.25" customHeight="1">
      <c r="N2396" s="192">
        <v>0</v>
      </c>
    </row>
    <row r="2397" spans="14:14" ht="14.25" customHeight="1">
      <c r="N2397" s="192">
        <v>0</v>
      </c>
    </row>
    <row r="2398" spans="14:14" ht="14.25" customHeight="1">
      <c r="N2398" s="192">
        <v>0</v>
      </c>
    </row>
    <row r="2399" spans="14:14" ht="14.25" customHeight="1">
      <c r="N2399" s="192">
        <v>0</v>
      </c>
    </row>
    <row r="2400" spans="14:14" ht="14.25" customHeight="1">
      <c r="N2400" s="192">
        <v>0</v>
      </c>
    </row>
    <row r="2401" spans="14:14" ht="14.25" customHeight="1">
      <c r="N2401" s="192">
        <v>0</v>
      </c>
    </row>
    <row r="2402" spans="14:14" ht="14.25" customHeight="1">
      <c r="N2402" s="192">
        <v>0</v>
      </c>
    </row>
    <row r="2403" spans="14:14" ht="14.25" customHeight="1">
      <c r="N2403" s="192">
        <v>0</v>
      </c>
    </row>
    <row r="2404" spans="14:14" ht="14.25" customHeight="1">
      <c r="N2404" s="192">
        <v>0</v>
      </c>
    </row>
    <row r="2405" spans="14:14" ht="14.25" customHeight="1">
      <c r="N2405" s="192">
        <v>0</v>
      </c>
    </row>
    <row r="2406" spans="14:14" ht="14.25" customHeight="1">
      <c r="N2406" s="192">
        <v>0</v>
      </c>
    </row>
    <row r="2407" spans="14:14" ht="14.25" customHeight="1">
      <c r="N2407" s="192">
        <v>0</v>
      </c>
    </row>
    <row r="2408" spans="14:14" ht="14.25" customHeight="1">
      <c r="N2408" s="192">
        <v>0</v>
      </c>
    </row>
    <row r="2409" spans="14:14" ht="14.25" customHeight="1">
      <c r="N2409" s="192">
        <v>0</v>
      </c>
    </row>
    <row r="2410" spans="14:14" ht="14.25" customHeight="1">
      <c r="N2410" s="192">
        <v>0</v>
      </c>
    </row>
    <row r="2411" spans="14:14" ht="14.25" customHeight="1">
      <c r="N2411" s="192">
        <v>0</v>
      </c>
    </row>
    <row r="2412" spans="14:14" ht="14.25" customHeight="1">
      <c r="N2412" s="192">
        <v>0</v>
      </c>
    </row>
    <row r="2413" spans="14:14" ht="14.25" customHeight="1">
      <c r="N2413" s="192">
        <v>0</v>
      </c>
    </row>
    <row r="2414" spans="14:14" ht="14.25" customHeight="1">
      <c r="N2414" s="192">
        <v>0</v>
      </c>
    </row>
    <row r="2415" spans="14:14" ht="14.25" customHeight="1">
      <c r="N2415" s="192">
        <v>0</v>
      </c>
    </row>
    <row r="2416" spans="14:14" ht="14.25" customHeight="1">
      <c r="N2416" s="192">
        <v>0</v>
      </c>
    </row>
    <row r="2417" spans="14:14" ht="14.25" customHeight="1">
      <c r="N2417" s="192">
        <v>0</v>
      </c>
    </row>
    <row r="2418" spans="14:14" ht="14.25" customHeight="1">
      <c r="N2418" s="192">
        <v>0</v>
      </c>
    </row>
    <row r="2419" spans="14:14" ht="14.25" customHeight="1">
      <c r="N2419" s="192">
        <v>0</v>
      </c>
    </row>
    <row r="2420" spans="14:14" ht="14.25" customHeight="1">
      <c r="N2420" s="192">
        <v>0</v>
      </c>
    </row>
    <row r="2421" spans="14:14" ht="14.25" customHeight="1">
      <c r="N2421" s="192">
        <v>0</v>
      </c>
    </row>
    <row r="2422" spans="14:14" ht="14.25" customHeight="1">
      <c r="N2422" s="192">
        <v>0</v>
      </c>
    </row>
    <row r="2423" spans="14:14" ht="14.25" customHeight="1">
      <c r="N2423" s="192">
        <v>0</v>
      </c>
    </row>
    <row r="2424" spans="14:14" ht="14.25" customHeight="1">
      <c r="N2424" s="192">
        <v>0</v>
      </c>
    </row>
    <row r="2425" spans="14:14" ht="14.25" customHeight="1">
      <c r="N2425" s="192">
        <v>0</v>
      </c>
    </row>
    <row r="2426" spans="14:14" ht="14.25" customHeight="1">
      <c r="N2426" s="192">
        <v>0</v>
      </c>
    </row>
    <row r="2427" spans="14:14" ht="14.25" customHeight="1">
      <c r="N2427" s="192">
        <v>0</v>
      </c>
    </row>
    <row r="2428" spans="14:14" ht="14.25" customHeight="1">
      <c r="N2428" s="192">
        <v>0</v>
      </c>
    </row>
    <row r="2429" spans="14:14" ht="14.25" customHeight="1">
      <c r="N2429" s="192">
        <v>0</v>
      </c>
    </row>
    <row r="2430" spans="14:14" ht="14.25" customHeight="1">
      <c r="N2430" s="192">
        <v>0</v>
      </c>
    </row>
    <row r="2431" spans="14:14" ht="14.25" customHeight="1">
      <c r="N2431" s="192">
        <v>0</v>
      </c>
    </row>
    <row r="2432" spans="14:14" ht="14.25" customHeight="1">
      <c r="N2432" s="192">
        <v>0</v>
      </c>
    </row>
    <row r="2433" spans="14:14" ht="14.25" customHeight="1">
      <c r="N2433" s="192">
        <v>0</v>
      </c>
    </row>
    <row r="2434" spans="14:14" ht="14.25" customHeight="1">
      <c r="N2434" s="192">
        <v>0</v>
      </c>
    </row>
    <row r="2435" spans="14:14" ht="14.25" customHeight="1">
      <c r="N2435" s="192">
        <v>0</v>
      </c>
    </row>
    <row r="2436" spans="14:14" ht="14.25" customHeight="1">
      <c r="N2436" s="192">
        <v>0</v>
      </c>
    </row>
    <row r="2437" spans="14:14" ht="14.25" customHeight="1">
      <c r="N2437" s="192">
        <v>0</v>
      </c>
    </row>
    <row r="2438" spans="14:14" ht="14.25" customHeight="1">
      <c r="N2438" s="192">
        <v>0</v>
      </c>
    </row>
    <row r="2439" spans="14:14" ht="14.25" customHeight="1">
      <c r="N2439" s="192">
        <v>0</v>
      </c>
    </row>
    <row r="2440" spans="14:14" ht="14.25" customHeight="1">
      <c r="N2440" s="192">
        <v>0</v>
      </c>
    </row>
    <row r="2441" spans="14:14" ht="14.25" customHeight="1">
      <c r="N2441" s="192">
        <v>0</v>
      </c>
    </row>
    <row r="2442" spans="14:14" ht="14.25" customHeight="1">
      <c r="N2442" s="192">
        <v>0</v>
      </c>
    </row>
    <row r="2443" spans="14:14" ht="14.25" customHeight="1">
      <c r="N2443" s="192">
        <v>0</v>
      </c>
    </row>
    <row r="2444" spans="14:14" ht="14.25" customHeight="1">
      <c r="N2444" s="192">
        <v>0</v>
      </c>
    </row>
    <row r="2445" spans="14:14" ht="14.25" customHeight="1">
      <c r="N2445" s="192">
        <v>0</v>
      </c>
    </row>
    <row r="2446" spans="14:14" ht="14.25" customHeight="1">
      <c r="N2446" s="192">
        <v>0</v>
      </c>
    </row>
    <row r="2447" spans="14:14" ht="14.25" customHeight="1">
      <c r="N2447" s="192">
        <v>0</v>
      </c>
    </row>
    <row r="2448" spans="14:14" ht="14.25" customHeight="1">
      <c r="N2448" s="192">
        <v>0</v>
      </c>
    </row>
    <row r="2449" spans="14:14" ht="14.25" customHeight="1">
      <c r="N2449" s="192">
        <v>0</v>
      </c>
    </row>
    <row r="2450" spans="14:14" ht="14.25" customHeight="1">
      <c r="N2450" s="192">
        <v>0</v>
      </c>
    </row>
    <row r="2451" spans="14:14" ht="14.25" customHeight="1">
      <c r="N2451" s="192">
        <v>0</v>
      </c>
    </row>
    <row r="2452" spans="14:14" ht="14.25" customHeight="1">
      <c r="N2452" s="192">
        <v>0</v>
      </c>
    </row>
    <row r="2453" spans="14:14" ht="14.25" customHeight="1">
      <c r="N2453" s="192">
        <v>0</v>
      </c>
    </row>
    <row r="2454" spans="14:14" ht="14.25" customHeight="1">
      <c r="N2454" s="192">
        <v>0</v>
      </c>
    </row>
    <row r="2455" spans="14:14" ht="14.25" customHeight="1">
      <c r="N2455" s="192">
        <v>0</v>
      </c>
    </row>
    <row r="2456" spans="14:14" ht="14.25" customHeight="1">
      <c r="N2456" s="192">
        <v>0</v>
      </c>
    </row>
    <row r="2457" spans="14:14" ht="14.25" customHeight="1">
      <c r="N2457" s="192">
        <v>0</v>
      </c>
    </row>
    <row r="2458" spans="14:14" ht="14.25" customHeight="1">
      <c r="N2458" s="192">
        <v>0</v>
      </c>
    </row>
    <row r="2459" spans="14:14" ht="14.25" customHeight="1">
      <c r="N2459" s="192">
        <v>0</v>
      </c>
    </row>
    <row r="2460" spans="14:14" ht="14.25" customHeight="1">
      <c r="N2460" s="192">
        <v>0</v>
      </c>
    </row>
    <row r="2461" spans="14:14" ht="14.25" customHeight="1">
      <c r="N2461" s="192">
        <v>0</v>
      </c>
    </row>
    <row r="2462" spans="14:14" ht="14.25" customHeight="1">
      <c r="N2462" s="192">
        <v>0</v>
      </c>
    </row>
    <row r="2463" spans="14:14" ht="14.25" customHeight="1">
      <c r="N2463" s="192">
        <v>0</v>
      </c>
    </row>
    <row r="2464" spans="14:14" ht="14.25" customHeight="1">
      <c r="N2464" s="192">
        <v>0</v>
      </c>
    </row>
    <row r="2465" spans="14:14" ht="14.25" customHeight="1">
      <c r="N2465" s="192">
        <v>0</v>
      </c>
    </row>
    <row r="2466" spans="14:14" ht="14.25" customHeight="1">
      <c r="N2466" s="192">
        <v>0</v>
      </c>
    </row>
    <row r="2467" spans="14:14" ht="14.25" customHeight="1">
      <c r="N2467" s="192">
        <v>0</v>
      </c>
    </row>
    <row r="2468" spans="14:14" ht="14.25" customHeight="1">
      <c r="N2468" s="192">
        <v>0</v>
      </c>
    </row>
    <row r="2469" spans="14:14" ht="14.25" customHeight="1">
      <c r="N2469" s="192">
        <v>0</v>
      </c>
    </row>
    <row r="2470" spans="14:14" ht="14.25" customHeight="1">
      <c r="N2470" s="192">
        <v>0</v>
      </c>
    </row>
    <row r="2471" spans="14:14" ht="14.25" customHeight="1">
      <c r="N2471" s="192">
        <v>0</v>
      </c>
    </row>
    <row r="2472" spans="14:14" ht="14.25" customHeight="1">
      <c r="N2472" s="192">
        <v>0</v>
      </c>
    </row>
    <row r="2473" spans="14:14" ht="14.25" customHeight="1">
      <c r="N2473" s="192">
        <v>0</v>
      </c>
    </row>
    <row r="2474" spans="14:14" ht="14.25" customHeight="1">
      <c r="N2474" s="192">
        <v>0</v>
      </c>
    </row>
    <row r="2475" spans="14:14" ht="14.25" customHeight="1">
      <c r="N2475" s="192">
        <v>0</v>
      </c>
    </row>
    <row r="2476" spans="14:14" ht="14.25" customHeight="1">
      <c r="N2476" s="192">
        <v>0</v>
      </c>
    </row>
    <row r="2477" spans="14:14" ht="14.25" customHeight="1">
      <c r="N2477" s="192">
        <v>0</v>
      </c>
    </row>
    <row r="2478" spans="14:14" ht="14.25" customHeight="1">
      <c r="N2478" s="192">
        <v>0</v>
      </c>
    </row>
    <row r="2479" spans="14:14" ht="14.25" customHeight="1">
      <c r="N2479" s="192">
        <v>0</v>
      </c>
    </row>
    <row r="2480" spans="14:14" ht="14.25" customHeight="1">
      <c r="N2480" s="192">
        <v>0</v>
      </c>
    </row>
    <row r="2481" spans="14:14" ht="14.25" customHeight="1">
      <c r="N2481" s="192">
        <v>0</v>
      </c>
    </row>
    <row r="2482" spans="14:14" ht="14.25" customHeight="1">
      <c r="N2482" s="192">
        <v>0</v>
      </c>
    </row>
    <row r="2483" spans="14:14" ht="14.25" customHeight="1">
      <c r="N2483" s="192">
        <v>0</v>
      </c>
    </row>
    <row r="2484" spans="14:14" ht="14.25" customHeight="1">
      <c r="N2484" s="192">
        <v>0</v>
      </c>
    </row>
    <row r="2485" spans="14:14" ht="14.25" customHeight="1">
      <c r="N2485" s="192">
        <v>0</v>
      </c>
    </row>
    <row r="2486" spans="14:14" ht="14.25" customHeight="1">
      <c r="N2486" s="192">
        <v>0</v>
      </c>
    </row>
    <row r="2487" spans="14:14" ht="14.25" customHeight="1">
      <c r="N2487" s="192">
        <v>0</v>
      </c>
    </row>
    <row r="2488" spans="14:14" ht="14.25" customHeight="1">
      <c r="N2488" s="192">
        <v>0</v>
      </c>
    </row>
    <row r="2489" spans="14:14" ht="14.25" customHeight="1">
      <c r="N2489" s="192">
        <v>0</v>
      </c>
    </row>
    <row r="2490" spans="14:14" ht="14.25" customHeight="1">
      <c r="N2490" s="192">
        <v>0</v>
      </c>
    </row>
    <row r="2491" spans="14:14" ht="14.25" customHeight="1">
      <c r="N2491" s="192">
        <v>0</v>
      </c>
    </row>
    <row r="2492" spans="14:14" ht="14.25" customHeight="1">
      <c r="N2492" s="192">
        <v>0</v>
      </c>
    </row>
    <row r="2493" spans="14:14" ht="14.25" customHeight="1">
      <c r="N2493" s="192">
        <v>0</v>
      </c>
    </row>
    <row r="2494" spans="14:14" ht="14.25" customHeight="1">
      <c r="N2494" s="192">
        <v>0</v>
      </c>
    </row>
    <row r="2495" spans="14:14" ht="14.25" customHeight="1">
      <c r="N2495" s="192">
        <v>0</v>
      </c>
    </row>
    <row r="2496" spans="14:14" ht="14.25" customHeight="1">
      <c r="N2496" s="192">
        <v>0</v>
      </c>
    </row>
    <row r="2497" spans="14:14" ht="14.25" customHeight="1">
      <c r="N2497" s="192">
        <v>0</v>
      </c>
    </row>
    <row r="2498" spans="14:14" ht="14.25" customHeight="1">
      <c r="N2498" s="192">
        <v>0</v>
      </c>
    </row>
    <row r="2499" spans="14:14" ht="14.25" customHeight="1">
      <c r="N2499" s="192">
        <v>0</v>
      </c>
    </row>
    <row r="2500" spans="14:14" ht="14.25" customHeight="1">
      <c r="N2500" s="192">
        <v>0</v>
      </c>
    </row>
    <row r="2501" spans="14:14" ht="14.25" customHeight="1">
      <c r="N2501" s="192">
        <v>0</v>
      </c>
    </row>
    <row r="2502" spans="14:14" ht="14.25" customHeight="1">
      <c r="N2502" s="192">
        <v>0</v>
      </c>
    </row>
    <row r="2503" spans="14:14" ht="14.25" customHeight="1">
      <c r="N2503" s="192">
        <v>0</v>
      </c>
    </row>
    <row r="2504" spans="14:14" ht="14.25" customHeight="1">
      <c r="N2504" s="192">
        <v>0</v>
      </c>
    </row>
    <row r="2505" spans="14:14" ht="14.25" customHeight="1">
      <c r="N2505" s="192">
        <v>0</v>
      </c>
    </row>
    <row r="2506" spans="14:14" ht="14.25" customHeight="1">
      <c r="N2506" s="192">
        <v>0</v>
      </c>
    </row>
    <row r="2507" spans="14:14" ht="14.25" customHeight="1">
      <c r="N2507" s="192">
        <v>0</v>
      </c>
    </row>
    <row r="2508" spans="14:14" ht="14.25" customHeight="1">
      <c r="N2508" s="192">
        <v>0</v>
      </c>
    </row>
    <row r="2509" spans="14:14" ht="14.25" customHeight="1">
      <c r="N2509" s="192">
        <v>0</v>
      </c>
    </row>
    <row r="2510" spans="14:14" ht="14.25" customHeight="1">
      <c r="N2510" s="192">
        <v>0</v>
      </c>
    </row>
    <row r="2511" spans="14:14" ht="14.25" customHeight="1">
      <c r="N2511" s="192">
        <v>0</v>
      </c>
    </row>
    <row r="2512" spans="14:14" ht="14.25" customHeight="1">
      <c r="N2512" s="192">
        <v>0</v>
      </c>
    </row>
    <row r="2513" spans="14:14" ht="14.25" customHeight="1">
      <c r="N2513" s="192">
        <v>0</v>
      </c>
    </row>
    <row r="2514" spans="14:14" ht="14.25" customHeight="1">
      <c r="N2514" s="192">
        <v>0</v>
      </c>
    </row>
    <row r="2515" spans="14:14" ht="14.25" customHeight="1">
      <c r="N2515" s="192">
        <v>0</v>
      </c>
    </row>
    <row r="2516" spans="14:14" ht="14.25" customHeight="1">
      <c r="N2516" s="192">
        <v>0</v>
      </c>
    </row>
    <row r="2517" spans="14:14" ht="14.25" customHeight="1">
      <c r="N2517" s="192">
        <v>0</v>
      </c>
    </row>
    <row r="2518" spans="14:14" ht="14.25" customHeight="1">
      <c r="N2518" s="192">
        <v>0</v>
      </c>
    </row>
    <row r="2519" spans="14:14" ht="14.25" customHeight="1">
      <c r="N2519" s="192">
        <v>0</v>
      </c>
    </row>
    <row r="2520" spans="14:14" ht="14.25" customHeight="1">
      <c r="N2520" s="192">
        <v>0</v>
      </c>
    </row>
    <row r="2521" spans="14:14" ht="14.25" customHeight="1">
      <c r="N2521" s="192">
        <v>0</v>
      </c>
    </row>
    <row r="2522" spans="14:14" ht="14.25" customHeight="1">
      <c r="N2522" s="192">
        <v>0</v>
      </c>
    </row>
    <row r="2523" spans="14:14" ht="14.25" customHeight="1">
      <c r="N2523" s="192">
        <v>0</v>
      </c>
    </row>
    <row r="2524" spans="14:14" ht="14.25" customHeight="1">
      <c r="N2524" s="192">
        <v>0</v>
      </c>
    </row>
    <row r="2525" spans="14:14" ht="14.25" customHeight="1">
      <c r="N2525" s="192">
        <v>0</v>
      </c>
    </row>
    <row r="2526" spans="14:14" ht="14.25" customHeight="1">
      <c r="N2526" s="192">
        <v>0</v>
      </c>
    </row>
    <row r="2527" spans="14:14" ht="14.25" customHeight="1">
      <c r="N2527" s="192">
        <v>0</v>
      </c>
    </row>
    <row r="2528" spans="14:14" ht="14.25" customHeight="1">
      <c r="N2528" s="192">
        <v>0</v>
      </c>
    </row>
    <row r="2529" spans="14:14" ht="14.25" customHeight="1">
      <c r="N2529" s="192">
        <v>0</v>
      </c>
    </row>
    <row r="2530" spans="14:14" ht="14.25" customHeight="1">
      <c r="N2530" s="192">
        <v>0</v>
      </c>
    </row>
    <row r="2531" spans="14:14" ht="14.25" customHeight="1">
      <c r="N2531" s="192">
        <v>0</v>
      </c>
    </row>
    <row r="2532" spans="14:14" ht="14.25" customHeight="1">
      <c r="N2532" s="192">
        <v>0</v>
      </c>
    </row>
    <row r="2533" spans="14:14" ht="14.25" customHeight="1">
      <c r="N2533" s="192">
        <v>0</v>
      </c>
    </row>
    <row r="2534" spans="14:14" ht="14.25" customHeight="1">
      <c r="N2534" s="192">
        <v>0</v>
      </c>
    </row>
    <row r="2535" spans="14:14" ht="14.25" customHeight="1">
      <c r="N2535" s="192">
        <v>0</v>
      </c>
    </row>
    <row r="2536" spans="14:14" ht="14.25" customHeight="1">
      <c r="N2536" s="192">
        <v>0</v>
      </c>
    </row>
    <row r="2537" spans="14:14" ht="14.25" customHeight="1">
      <c r="N2537" s="192">
        <v>0</v>
      </c>
    </row>
    <row r="2538" spans="14:14" ht="14.25" customHeight="1">
      <c r="N2538" s="192">
        <v>0</v>
      </c>
    </row>
    <row r="2539" spans="14:14" ht="14.25" customHeight="1">
      <c r="N2539" s="192">
        <v>0</v>
      </c>
    </row>
    <row r="2540" spans="14:14" ht="14.25" customHeight="1">
      <c r="N2540" s="192">
        <v>0</v>
      </c>
    </row>
    <row r="2541" spans="14:14" ht="14.25" customHeight="1">
      <c r="N2541" s="192">
        <v>0</v>
      </c>
    </row>
    <row r="2542" spans="14:14" ht="14.25" customHeight="1">
      <c r="N2542" s="192">
        <v>0</v>
      </c>
    </row>
    <row r="2543" spans="14:14" ht="14.25" customHeight="1">
      <c r="N2543" s="192">
        <v>0</v>
      </c>
    </row>
    <row r="2544" spans="14:14" ht="14.25" customHeight="1">
      <c r="N2544" s="192">
        <v>0</v>
      </c>
    </row>
    <row r="2545" spans="14:14" ht="14.25" customHeight="1">
      <c r="N2545" s="192">
        <v>0</v>
      </c>
    </row>
    <row r="2546" spans="14:14" ht="14.25" customHeight="1">
      <c r="N2546" s="192">
        <v>0</v>
      </c>
    </row>
    <row r="2547" spans="14:14" ht="14.25" customHeight="1">
      <c r="N2547" s="192">
        <v>0</v>
      </c>
    </row>
    <row r="2548" spans="14:14" ht="14.25" customHeight="1">
      <c r="N2548" s="192">
        <v>0</v>
      </c>
    </row>
    <row r="2549" spans="14:14" ht="14.25" customHeight="1">
      <c r="N2549" s="192">
        <v>0</v>
      </c>
    </row>
    <row r="2550" spans="14:14" ht="14.25" customHeight="1">
      <c r="N2550" s="192">
        <v>0</v>
      </c>
    </row>
    <row r="2551" spans="14:14" ht="14.25" customHeight="1">
      <c r="N2551" s="192">
        <v>0</v>
      </c>
    </row>
    <row r="2552" spans="14:14" ht="14.25" customHeight="1">
      <c r="N2552" s="192">
        <v>0</v>
      </c>
    </row>
    <row r="2553" spans="14:14" ht="14.25" customHeight="1">
      <c r="N2553" s="192">
        <v>0</v>
      </c>
    </row>
    <row r="2554" spans="14:14" ht="14.25" customHeight="1">
      <c r="N2554" s="192">
        <v>0</v>
      </c>
    </row>
    <row r="2555" spans="14:14" ht="14.25" customHeight="1">
      <c r="N2555" s="192">
        <v>0</v>
      </c>
    </row>
    <row r="2556" spans="14:14" ht="14.25" customHeight="1">
      <c r="N2556" s="192">
        <v>0</v>
      </c>
    </row>
    <row r="2557" spans="14:14" ht="14.25" customHeight="1">
      <c r="N2557" s="192">
        <v>0</v>
      </c>
    </row>
    <row r="2558" spans="14:14" ht="14.25" customHeight="1">
      <c r="N2558" s="192">
        <v>0</v>
      </c>
    </row>
    <row r="2559" spans="14:14" ht="14.25" customHeight="1">
      <c r="N2559" s="192">
        <v>0</v>
      </c>
    </row>
    <row r="2560" spans="14:14" ht="14.25" customHeight="1">
      <c r="N2560" s="192">
        <v>0</v>
      </c>
    </row>
    <row r="2561" spans="14:14" ht="14.25" customHeight="1">
      <c r="N2561" s="192">
        <v>0</v>
      </c>
    </row>
    <row r="2562" spans="14:14" ht="14.25" customHeight="1">
      <c r="N2562" s="192">
        <v>0</v>
      </c>
    </row>
    <row r="2563" spans="14:14" ht="14.25" customHeight="1">
      <c r="N2563" s="192">
        <v>0</v>
      </c>
    </row>
    <row r="2564" spans="14:14" ht="14.25" customHeight="1">
      <c r="N2564" s="192">
        <v>0</v>
      </c>
    </row>
    <row r="2565" spans="14:14" ht="14.25" customHeight="1">
      <c r="N2565" s="192">
        <v>0</v>
      </c>
    </row>
    <row r="2566" spans="14:14" ht="14.25" customHeight="1">
      <c r="N2566" s="192">
        <v>0</v>
      </c>
    </row>
    <row r="2567" spans="14:14" ht="14.25" customHeight="1">
      <c r="N2567" s="192">
        <v>0</v>
      </c>
    </row>
    <row r="2568" spans="14:14" ht="14.25" customHeight="1">
      <c r="N2568" s="192">
        <v>0</v>
      </c>
    </row>
    <row r="2569" spans="14:14" ht="14.25" customHeight="1">
      <c r="N2569" s="192">
        <v>0</v>
      </c>
    </row>
    <row r="2570" spans="14:14" ht="14.25" customHeight="1">
      <c r="N2570" s="192">
        <v>0</v>
      </c>
    </row>
    <row r="2571" spans="14:14" ht="14.25" customHeight="1">
      <c r="N2571" s="192">
        <v>0</v>
      </c>
    </row>
    <row r="2572" spans="14:14" ht="14.25" customHeight="1">
      <c r="N2572" s="192">
        <v>0</v>
      </c>
    </row>
    <row r="2573" spans="14:14" ht="14.25" customHeight="1">
      <c r="N2573" s="192">
        <v>0</v>
      </c>
    </row>
    <row r="2574" spans="14:14" ht="14.25" customHeight="1">
      <c r="N2574" s="192">
        <v>0</v>
      </c>
    </row>
    <row r="2575" spans="14:14" ht="14.25" customHeight="1">
      <c r="N2575" s="192">
        <v>0</v>
      </c>
    </row>
    <row r="2576" spans="14:14" ht="14.25" customHeight="1">
      <c r="N2576" s="192">
        <v>0</v>
      </c>
    </row>
    <row r="2577" spans="14:14" ht="14.25" customHeight="1">
      <c r="N2577" s="192">
        <v>0</v>
      </c>
    </row>
    <row r="2578" spans="14:14" ht="14.25" customHeight="1">
      <c r="N2578" s="192">
        <v>0</v>
      </c>
    </row>
    <row r="2579" spans="14:14" ht="14.25" customHeight="1">
      <c r="N2579" s="192">
        <v>0</v>
      </c>
    </row>
    <row r="2580" spans="14:14" ht="14.25" customHeight="1">
      <c r="N2580" s="192">
        <v>0</v>
      </c>
    </row>
    <row r="2581" spans="14:14" ht="14.25" customHeight="1">
      <c r="N2581" s="192">
        <v>0</v>
      </c>
    </row>
    <row r="2582" spans="14:14" ht="14.25" customHeight="1">
      <c r="N2582" s="192">
        <v>0</v>
      </c>
    </row>
    <row r="2583" spans="14:14" ht="14.25" customHeight="1">
      <c r="N2583" s="192">
        <v>0</v>
      </c>
    </row>
    <row r="2584" spans="14:14" ht="14.25" customHeight="1">
      <c r="N2584" s="192">
        <v>0</v>
      </c>
    </row>
    <row r="2585" spans="14:14" ht="14.25" customHeight="1">
      <c r="N2585" s="192">
        <v>0</v>
      </c>
    </row>
    <row r="2586" spans="14:14" ht="14.25" customHeight="1">
      <c r="N2586" s="192">
        <v>0</v>
      </c>
    </row>
    <row r="2587" spans="14:14" ht="14.25" customHeight="1">
      <c r="N2587" s="192">
        <v>0</v>
      </c>
    </row>
    <row r="2588" spans="14:14" ht="14.25" customHeight="1">
      <c r="N2588" s="192">
        <v>0</v>
      </c>
    </row>
    <row r="2589" spans="14:14" ht="14.25" customHeight="1">
      <c r="N2589" s="192">
        <v>0</v>
      </c>
    </row>
    <row r="2590" spans="14:14" ht="14.25" customHeight="1">
      <c r="N2590" s="192">
        <v>0</v>
      </c>
    </row>
    <row r="2591" spans="14:14" ht="14.25" customHeight="1">
      <c r="N2591" s="192">
        <v>0</v>
      </c>
    </row>
    <row r="2592" spans="14:14" ht="14.25" customHeight="1">
      <c r="N2592" s="192">
        <v>0</v>
      </c>
    </row>
    <row r="2593" spans="14:14" ht="14.25" customHeight="1">
      <c r="N2593" s="192">
        <v>0</v>
      </c>
    </row>
    <row r="2594" spans="14:14" ht="14.25" customHeight="1">
      <c r="N2594" s="192">
        <v>0</v>
      </c>
    </row>
    <row r="2595" spans="14:14" ht="14.25" customHeight="1">
      <c r="N2595" s="192">
        <v>0</v>
      </c>
    </row>
    <row r="2596" spans="14:14" ht="14.25" customHeight="1">
      <c r="N2596" s="192">
        <v>0</v>
      </c>
    </row>
    <row r="2597" spans="14:14" ht="14.25" customHeight="1">
      <c r="N2597" s="192">
        <v>0</v>
      </c>
    </row>
    <row r="2598" spans="14:14" ht="14.25" customHeight="1">
      <c r="N2598" s="192">
        <v>0</v>
      </c>
    </row>
    <row r="2599" spans="14:14" ht="14.25" customHeight="1">
      <c r="N2599" s="192">
        <v>0</v>
      </c>
    </row>
    <row r="2600" spans="14:14" ht="14.25" customHeight="1">
      <c r="N2600" s="192">
        <v>0</v>
      </c>
    </row>
    <row r="2601" spans="14:14" ht="14.25" customHeight="1">
      <c r="N2601" s="192">
        <v>0</v>
      </c>
    </row>
    <row r="2602" spans="14:14" ht="14.25" customHeight="1">
      <c r="N2602" s="192">
        <v>0</v>
      </c>
    </row>
    <row r="2603" spans="14:14" ht="14.25" customHeight="1">
      <c r="N2603" s="192">
        <v>0</v>
      </c>
    </row>
    <row r="2604" spans="14:14" ht="14.25" customHeight="1">
      <c r="N2604" s="192">
        <v>0</v>
      </c>
    </row>
    <row r="2605" spans="14:14" ht="14.25" customHeight="1">
      <c r="N2605" s="192">
        <v>0</v>
      </c>
    </row>
    <row r="2606" spans="14:14" ht="14.25" customHeight="1">
      <c r="N2606" s="192">
        <v>0</v>
      </c>
    </row>
    <row r="2607" spans="14:14" ht="14.25" customHeight="1">
      <c r="N2607" s="192">
        <v>0</v>
      </c>
    </row>
    <row r="2608" spans="14:14" ht="14.25" customHeight="1">
      <c r="N2608" s="192">
        <v>0</v>
      </c>
    </row>
    <row r="2609" spans="14:14" ht="14.25" customHeight="1">
      <c r="N2609" s="192">
        <v>0</v>
      </c>
    </row>
    <row r="2610" spans="14:14" ht="14.25" customHeight="1">
      <c r="N2610" s="192">
        <v>0</v>
      </c>
    </row>
    <row r="2611" spans="14:14" ht="14.25" customHeight="1">
      <c r="N2611" s="192">
        <v>0</v>
      </c>
    </row>
    <row r="2612" spans="14:14" ht="14.25" customHeight="1">
      <c r="N2612" s="192">
        <v>0</v>
      </c>
    </row>
    <row r="2613" spans="14:14" ht="14.25" customHeight="1">
      <c r="N2613" s="192">
        <v>0</v>
      </c>
    </row>
    <row r="2614" spans="14:14" ht="14.25" customHeight="1">
      <c r="N2614" s="192">
        <v>0</v>
      </c>
    </row>
    <row r="2615" spans="14:14" ht="14.25" customHeight="1">
      <c r="N2615" s="192">
        <v>0</v>
      </c>
    </row>
    <row r="2616" spans="14:14" ht="14.25" customHeight="1">
      <c r="N2616" s="192">
        <v>0</v>
      </c>
    </row>
    <row r="2617" spans="14:14" ht="14.25" customHeight="1">
      <c r="N2617" s="192">
        <v>0</v>
      </c>
    </row>
    <row r="2618" spans="14:14" ht="14.25" customHeight="1">
      <c r="N2618" s="192">
        <v>0</v>
      </c>
    </row>
    <row r="2619" spans="14:14" ht="14.25" customHeight="1">
      <c r="N2619" s="192">
        <v>0</v>
      </c>
    </row>
    <row r="2620" spans="14:14" ht="14.25" customHeight="1">
      <c r="N2620" s="192">
        <v>0</v>
      </c>
    </row>
    <row r="2621" spans="14:14" ht="14.25" customHeight="1">
      <c r="N2621" s="192">
        <v>0</v>
      </c>
    </row>
    <row r="2622" spans="14:14" ht="14.25" customHeight="1">
      <c r="N2622" s="192">
        <v>0</v>
      </c>
    </row>
    <row r="2623" spans="14:14" ht="14.25" customHeight="1">
      <c r="N2623" s="192">
        <v>0</v>
      </c>
    </row>
    <row r="2624" spans="14:14" ht="14.25" customHeight="1">
      <c r="N2624" s="192">
        <v>0</v>
      </c>
    </row>
    <row r="2625" spans="14:14" ht="14.25" customHeight="1">
      <c r="N2625" s="192">
        <v>0</v>
      </c>
    </row>
    <row r="2626" spans="14:14" ht="14.25" customHeight="1">
      <c r="N2626" s="192">
        <v>0</v>
      </c>
    </row>
    <row r="2627" spans="14:14" ht="14.25" customHeight="1">
      <c r="N2627" s="192">
        <v>0</v>
      </c>
    </row>
    <row r="2628" spans="14:14" ht="14.25" customHeight="1">
      <c r="N2628" s="192">
        <v>0</v>
      </c>
    </row>
    <row r="2629" spans="14:14" ht="14.25" customHeight="1">
      <c r="N2629" s="192">
        <v>0</v>
      </c>
    </row>
    <row r="2630" spans="14:14" ht="14.25" customHeight="1">
      <c r="N2630" s="192">
        <v>0</v>
      </c>
    </row>
    <row r="2631" spans="14:14" ht="14.25" customHeight="1">
      <c r="N2631" s="192">
        <v>0</v>
      </c>
    </row>
    <row r="2632" spans="14:14" ht="14.25" customHeight="1">
      <c r="N2632" s="192">
        <v>0</v>
      </c>
    </row>
    <row r="2633" spans="14:14" ht="14.25" customHeight="1">
      <c r="N2633" s="192">
        <v>0</v>
      </c>
    </row>
    <row r="2634" spans="14:14" ht="14.25" customHeight="1">
      <c r="N2634" s="192">
        <v>0</v>
      </c>
    </row>
    <row r="2635" spans="14:14" ht="14.25" customHeight="1">
      <c r="N2635" s="192">
        <v>0</v>
      </c>
    </row>
    <row r="2636" spans="14:14" ht="14.25" customHeight="1">
      <c r="N2636" s="192">
        <v>0</v>
      </c>
    </row>
    <row r="2637" spans="14:14" ht="14.25" customHeight="1">
      <c r="N2637" s="192">
        <v>0</v>
      </c>
    </row>
    <row r="2638" spans="14:14" ht="14.25" customHeight="1">
      <c r="N2638" s="192">
        <v>0</v>
      </c>
    </row>
    <row r="2639" spans="14:14" ht="14.25" customHeight="1">
      <c r="N2639" s="192">
        <v>0</v>
      </c>
    </row>
    <row r="2640" spans="14:14" ht="14.25" customHeight="1">
      <c r="N2640" s="192">
        <v>0</v>
      </c>
    </row>
    <row r="2641" spans="14:14" ht="14.25" customHeight="1">
      <c r="N2641" s="192">
        <v>0</v>
      </c>
    </row>
    <row r="2642" spans="14:14" ht="14.25" customHeight="1">
      <c r="N2642" s="192">
        <v>0</v>
      </c>
    </row>
    <row r="2643" spans="14:14" ht="14.25" customHeight="1">
      <c r="N2643" s="192">
        <v>0</v>
      </c>
    </row>
    <row r="2644" spans="14:14" ht="14.25" customHeight="1">
      <c r="N2644" s="192">
        <v>0</v>
      </c>
    </row>
    <row r="2645" spans="14:14" ht="14.25" customHeight="1">
      <c r="N2645" s="192">
        <v>0</v>
      </c>
    </row>
    <row r="2646" spans="14:14" ht="14.25" customHeight="1">
      <c r="N2646" s="192">
        <v>0</v>
      </c>
    </row>
    <row r="2647" spans="14:14" ht="14.25" customHeight="1">
      <c r="N2647" s="192">
        <v>0</v>
      </c>
    </row>
    <row r="2648" spans="14:14" ht="14.25" customHeight="1">
      <c r="N2648" s="192">
        <v>0</v>
      </c>
    </row>
    <row r="2649" spans="14:14" ht="14.25" customHeight="1">
      <c r="N2649" s="192">
        <v>0</v>
      </c>
    </row>
    <row r="2650" spans="14:14" ht="14.25" customHeight="1">
      <c r="N2650" s="192">
        <v>0</v>
      </c>
    </row>
    <row r="2651" spans="14:14" ht="14.25" customHeight="1">
      <c r="N2651" s="192">
        <v>0</v>
      </c>
    </row>
    <row r="2652" spans="14:14" ht="14.25" customHeight="1">
      <c r="N2652" s="192">
        <v>0</v>
      </c>
    </row>
    <row r="2653" spans="14:14" ht="14.25" customHeight="1">
      <c r="N2653" s="192">
        <v>0</v>
      </c>
    </row>
    <row r="2654" spans="14:14" ht="14.25" customHeight="1">
      <c r="N2654" s="192">
        <v>0</v>
      </c>
    </row>
    <row r="2655" spans="14:14" ht="14.25" customHeight="1">
      <c r="N2655" s="192">
        <v>0</v>
      </c>
    </row>
    <row r="2656" spans="14:14" ht="14.25" customHeight="1">
      <c r="N2656" s="192">
        <v>0</v>
      </c>
    </row>
    <row r="2657" spans="14:14" ht="14.25" customHeight="1">
      <c r="N2657" s="192">
        <v>0</v>
      </c>
    </row>
    <row r="2658" spans="14:14" ht="14.25" customHeight="1">
      <c r="N2658" s="192">
        <v>0</v>
      </c>
    </row>
    <row r="2659" spans="14:14" ht="14.25" customHeight="1">
      <c r="N2659" s="192">
        <v>0</v>
      </c>
    </row>
    <row r="2660" spans="14:14" ht="14.25" customHeight="1">
      <c r="N2660" s="192">
        <v>0</v>
      </c>
    </row>
    <row r="2661" spans="14:14" ht="14.25" customHeight="1">
      <c r="N2661" s="192">
        <v>0</v>
      </c>
    </row>
    <row r="2662" spans="14:14" ht="14.25" customHeight="1">
      <c r="N2662" s="192">
        <v>0</v>
      </c>
    </row>
    <row r="2663" spans="14:14" ht="14.25" customHeight="1">
      <c r="N2663" s="192">
        <v>0</v>
      </c>
    </row>
    <row r="2664" spans="14:14" ht="14.25" customHeight="1">
      <c r="N2664" s="192">
        <v>0</v>
      </c>
    </row>
    <row r="2665" spans="14:14" ht="14.25" customHeight="1">
      <c r="N2665" s="192">
        <v>0</v>
      </c>
    </row>
    <row r="2666" spans="14:14" ht="14.25" customHeight="1">
      <c r="N2666" s="192">
        <v>0</v>
      </c>
    </row>
    <row r="2667" spans="14:14" ht="14.25" customHeight="1">
      <c r="N2667" s="192">
        <v>0</v>
      </c>
    </row>
    <row r="2668" spans="14:14" ht="14.25" customHeight="1">
      <c r="N2668" s="192">
        <v>0</v>
      </c>
    </row>
    <row r="2669" spans="14:14" ht="14.25" customHeight="1">
      <c r="N2669" s="192">
        <v>0</v>
      </c>
    </row>
    <row r="2670" spans="14:14" ht="14.25" customHeight="1">
      <c r="N2670" s="192">
        <v>0</v>
      </c>
    </row>
    <row r="2671" spans="14:14" ht="14.25" customHeight="1">
      <c r="N2671" s="192">
        <v>0</v>
      </c>
    </row>
    <row r="2672" spans="14:14" ht="14.25" customHeight="1">
      <c r="N2672" s="192">
        <v>0</v>
      </c>
    </row>
    <row r="2673" spans="14:14" ht="14.25" customHeight="1">
      <c r="N2673" s="192">
        <v>0</v>
      </c>
    </row>
    <row r="2674" spans="14:14" ht="14.25" customHeight="1">
      <c r="N2674" s="192">
        <v>0</v>
      </c>
    </row>
    <row r="2675" spans="14:14" ht="14.25" customHeight="1">
      <c r="N2675" s="192">
        <v>0</v>
      </c>
    </row>
    <row r="2676" spans="14:14" ht="14.25" customHeight="1">
      <c r="N2676" s="192">
        <v>0</v>
      </c>
    </row>
    <row r="2677" spans="14:14" ht="14.25" customHeight="1">
      <c r="N2677" s="192">
        <v>0</v>
      </c>
    </row>
    <row r="2678" spans="14:14" ht="14.25" customHeight="1">
      <c r="N2678" s="192">
        <v>0</v>
      </c>
    </row>
    <row r="2679" spans="14:14" ht="14.25" customHeight="1">
      <c r="N2679" s="192">
        <v>0</v>
      </c>
    </row>
    <row r="2680" spans="14:14" ht="14.25" customHeight="1">
      <c r="N2680" s="192">
        <v>0</v>
      </c>
    </row>
    <row r="2681" spans="14:14" ht="14.25" customHeight="1">
      <c r="N2681" s="192">
        <v>0</v>
      </c>
    </row>
    <row r="2682" spans="14:14" ht="14.25" customHeight="1">
      <c r="N2682" s="192">
        <v>0</v>
      </c>
    </row>
    <row r="2683" spans="14:14" ht="14.25" customHeight="1">
      <c r="N2683" s="192">
        <v>0</v>
      </c>
    </row>
    <row r="2684" spans="14:14" ht="14.25" customHeight="1">
      <c r="N2684" s="192">
        <v>0</v>
      </c>
    </row>
    <row r="2685" spans="14:14" ht="14.25" customHeight="1">
      <c r="N2685" s="192">
        <v>0</v>
      </c>
    </row>
    <row r="2686" spans="14:14" ht="14.25" customHeight="1">
      <c r="N2686" s="192">
        <v>0</v>
      </c>
    </row>
    <row r="2687" spans="14:14" ht="14.25" customHeight="1">
      <c r="N2687" s="192">
        <v>0</v>
      </c>
    </row>
    <row r="2688" spans="14:14" ht="14.25" customHeight="1">
      <c r="N2688" s="192">
        <v>0</v>
      </c>
    </row>
    <row r="2689" spans="14:14" ht="14.25" customHeight="1">
      <c r="N2689" s="192">
        <v>0</v>
      </c>
    </row>
    <row r="2690" spans="14:14" ht="14.25" customHeight="1">
      <c r="N2690" s="192">
        <v>0</v>
      </c>
    </row>
    <row r="2691" spans="14:14" ht="14.25" customHeight="1">
      <c r="N2691" s="192">
        <v>0</v>
      </c>
    </row>
    <row r="2692" spans="14:14" ht="14.25" customHeight="1">
      <c r="N2692" s="192">
        <v>0</v>
      </c>
    </row>
    <row r="2693" spans="14:14" ht="14.25" customHeight="1">
      <c r="N2693" s="192">
        <v>0</v>
      </c>
    </row>
    <row r="2694" spans="14:14" ht="14.25" customHeight="1">
      <c r="N2694" s="192">
        <v>0</v>
      </c>
    </row>
    <row r="2695" spans="14:14" ht="14.25" customHeight="1">
      <c r="N2695" s="192">
        <v>0</v>
      </c>
    </row>
    <row r="2696" spans="14:14" ht="14.25" customHeight="1">
      <c r="N2696" s="192">
        <v>0</v>
      </c>
    </row>
    <row r="2697" spans="14:14" ht="14.25" customHeight="1">
      <c r="N2697" s="192">
        <v>0</v>
      </c>
    </row>
    <row r="2698" spans="14:14" ht="14.25" customHeight="1">
      <c r="N2698" s="192">
        <v>0</v>
      </c>
    </row>
    <row r="2699" spans="14:14" ht="14.25" customHeight="1">
      <c r="N2699" s="192">
        <v>0</v>
      </c>
    </row>
    <row r="2700" spans="14:14" ht="14.25" customHeight="1">
      <c r="N2700" s="192">
        <v>0</v>
      </c>
    </row>
    <row r="2701" spans="14:14" ht="14.25" customHeight="1">
      <c r="N2701" s="192">
        <v>0</v>
      </c>
    </row>
    <row r="2702" spans="14:14" ht="14.25" customHeight="1">
      <c r="N2702" s="192">
        <v>0</v>
      </c>
    </row>
    <row r="2703" spans="14:14" ht="14.25" customHeight="1">
      <c r="N2703" s="192">
        <v>0</v>
      </c>
    </row>
    <row r="2704" spans="14:14" ht="14.25" customHeight="1">
      <c r="N2704" s="192">
        <v>0</v>
      </c>
    </row>
    <row r="2705" spans="14:14" ht="14.25" customHeight="1">
      <c r="N2705" s="192">
        <v>0</v>
      </c>
    </row>
    <row r="2706" spans="14:14" ht="14.25" customHeight="1">
      <c r="N2706" s="192">
        <v>0</v>
      </c>
    </row>
    <row r="2707" spans="14:14" ht="14.25" customHeight="1">
      <c r="N2707" s="192">
        <v>0</v>
      </c>
    </row>
    <row r="2708" spans="14:14" ht="14.25" customHeight="1">
      <c r="N2708" s="192">
        <v>0</v>
      </c>
    </row>
    <row r="2709" spans="14:14" ht="14.25" customHeight="1">
      <c r="N2709" s="192">
        <v>0</v>
      </c>
    </row>
    <row r="2710" spans="14:14" ht="14.25" customHeight="1">
      <c r="N2710" s="192">
        <v>0</v>
      </c>
    </row>
    <row r="2711" spans="14:14" ht="14.25" customHeight="1">
      <c r="N2711" s="192">
        <v>0</v>
      </c>
    </row>
    <row r="2712" spans="14:14" ht="14.25" customHeight="1">
      <c r="N2712" s="192">
        <v>0</v>
      </c>
    </row>
    <row r="2713" spans="14:14" ht="14.25" customHeight="1">
      <c r="N2713" s="192">
        <v>0</v>
      </c>
    </row>
    <row r="2714" spans="14:14" ht="14.25" customHeight="1">
      <c r="N2714" s="192">
        <v>0</v>
      </c>
    </row>
    <row r="2715" spans="14:14" ht="14.25" customHeight="1">
      <c r="N2715" s="192">
        <v>0</v>
      </c>
    </row>
    <row r="2716" spans="14:14" ht="14.25" customHeight="1">
      <c r="N2716" s="192">
        <v>0</v>
      </c>
    </row>
    <row r="2717" spans="14:14" ht="14.25" customHeight="1">
      <c r="N2717" s="192">
        <v>0</v>
      </c>
    </row>
    <row r="2718" spans="14:14" ht="14.25" customHeight="1">
      <c r="N2718" s="192">
        <v>0</v>
      </c>
    </row>
    <row r="2719" spans="14:14" ht="14.25" customHeight="1">
      <c r="N2719" s="192">
        <v>0</v>
      </c>
    </row>
    <row r="2720" spans="14:14" ht="14.25" customHeight="1">
      <c r="N2720" s="192">
        <v>0</v>
      </c>
    </row>
    <row r="2721" spans="14:14" ht="14.25" customHeight="1">
      <c r="N2721" s="192">
        <v>0</v>
      </c>
    </row>
    <row r="2722" spans="14:14" ht="14.25" customHeight="1">
      <c r="N2722" s="192">
        <v>0</v>
      </c>
    </row>
    <row r="2723" spans="14:14" ht="14.25" customHeight="1">
      <c r="N2723" s="192">
        <v>0</v>
      </c>
    </row>
    <row r="2724" spans="14:14" ht="14.25" customHeight="1">
      <c r="N2724" s="192">
        <v>0</v>
      </c>
    </row>
    <row r="2725" spans="14:14" ht="14.25" customHeight="1">
      <c r="N2725" s="192">
        <v>0</v>
      </c>
    </row>
    <row r="2726" spans="14:14" ht="14.25" customHeight="1">
      <c r="N2726" s="192">
        <v>0</v>
      </c>
    </row>
    <row r="2727" spans="14:14" ht="14.25" customHeight="1">
      <c r="N2727" s="192">
        <v>0</v>
      </c>
    </row>
    <row r="2728" spans="14:14" ht="14.25" customHeight="1">
      <c r="N2728" s="192">
        <v>0</v>
      </c>
    </row>
    <row r="2729" spans="14:14" ht="14.25" customHeight="1">
      <c r="N2729" s="192">
        <v>0</v>
      </c>
    </row>
    <row r="2730" spans="14:14" ht="14.25" customHeight="1">
      <c r="N2730" s="192">
        <v>0</v>
      </c>
    </row>
    <row r="2731" spans="14:14" ht="14.25" customHeight="1">
      <c r="N2731" s="192">
        <v>0</v>
      </c>
    </row>
    <row r="2732" spans="14:14" ht="14.25" customHeight="1">
      <c r="N2732" s="192">
        <v>0</v>
      </c>
    </row>
    <row r="2733" spans="14:14" ht="14.25" customHeight="1">
      <c r="N2733" s="192">
        <v>0</v>
      </c>
    </row>
    <row r="2734" spans="14:14" ht="14.25" customHeight="1">
      <c r="N2734" s="192">
        <v>0</v>
      </c>
    </row>
    <row r="2735" spans="14:14" ht="14.25" customHeight="1">
      <c r="N2735" s="192">
        <v>0</v>
      </c>
    </row>
    <row r="2736" spans="14:14" ht="14.25" customHeight="1">
      <c r="N2736" s="192">
        <v>0</v>
      </c>
    </row>
    <row r="2737" spans="14:14" ht="14.25" customHeight="1">
      <c r="N2737" s="192">
        <v>0</v>
      </c>
    </row>
    <row r="2738" spans="14:14" ht="14.25" customHeight="1">
      <c r="N2738" s="192">
        <v>0</v>
      </c>
    </row>
    <row r="2739" spans="14:14" ht="14.25" customHeight="1">
      <c r="N2739" s="192">
        <v>0</v>
      </c>
    </row>
    <row r="2740" spans="14:14" ht="14.25" customHeight="1">
      <c r="N2740" s="192">
        <v>0</v>
      </c>
    </row>
    <row r="2741" spans="14:14" ht="14.25" customHeight="1">
      <c r="N2741" s="192">
        <v>0</v>
      </c>
    </row>
    <row r="2742" spans="14:14" ht="14.25" customHeight="1">
      <c r="N2742" s="192">
        <v>0</v>
      </c>
    </row>
    <row r="2743" spans="14:14" ht="14.25" customHeight="1">
      <c r="N2743" s="192">
        <v>0</v>
      </c>
    </row>
    <row r="2744" spans="14:14" ht="14.25" customHeight="1">
      <c r="N2744" s="192">
        <v>0</v>
      </c>
    </row>
    <row r="2745" spans="14:14" ht="14.25" customHeight="1">
      <c r="N2745" s="192">
        <v>0</v>
      </c>
    </row>
    <row r="2746" spans="14:14" ht="14.25" customHeight="1">
      <c r="N2746" s="192">
        <v>0</v>
      </c>
    </row>
    <row r="2747" spans="14:14" ht="14.25" customHeight="1">
      <c r="N2747" s="192">
        <v>0</v>
      </c>
    </row>
    <row r="2748" spans="14:14" ht="14.25" customHeight="1">
      <c r="N2748" s="192">
        <v>0</v>
      </c>
    </row>
    <row r="2749" spans="14:14" ht="14.25" customHeight="1">
      <c r="N2749" s="192">
        <v>0</v>
      </c>
    </row>
    <row r="2750" spans="14:14" ht="14.25" customHeight="1">
      <c r="N2750" s="192">
        <v>0</v>
      </c>
    </row>
    <row r="2751" spans="14:14" ht="14.25" customHeight="1">
      <c r="N2751" s="192">
        <v>0</v>
      </c>
    </row>
    <row r="2752" spans="14:14" ht="14.25" customHeight="1">
      <c r="N2752" s="192">
        <v>0</v>
      </c>
    </row>
    <row r="2753" spans="14:14" ht="14.25" customHeight="1">
      <c r="N2753" s="192">
        <v>0</v>
      </c>
    </row>
    <row r="2754" spans="14:14" ht="14.25" customHeight="1">
      <c r="N2754" s="192">
        <v>0</v>
      </c>
    </row>
    <row r="2755" spans="14:14" ht="14.25" customHeight="1">
      <c r="N2755" s="192">
        <v>0</v>
      </c>
    </row>
    <row r="2756" spans="14:14" ht="14.25" customHeight="1">
      <c r="N2756" s="192">
        <v>0</v>
      </c>
    </row>
    <row r="2757" spans="14:14" ht="14.25" customHeight="1">
      <c r="N2757" s="192">
        <v>0</v>
      </c>
    </row>
    <row r="2758" spans="14:14" ht="14.25" customHeight="1">
      <c r="N2758" s="192">
        <v>0</v>
      </c>
    </row>
    <row r="2759" spans="14:14" ht="14.25" customHeight="1">
      <c r="N2759" s="192">
        <v>0</v>
      </c>
    </row>
    <row r="2760" spans="14:14" ht="14.25" customHeight="1">
      <c r="N2760" s="192">
        <v>0</v>
      </c>
    </row>
    <row r="2761" spans="14:14" ht="14.25" customHeight="1">
      <c r="N2761" s="192">
        <v>0</v>
      </c>
    </row>
    <row r="2762" spans="14:14" ht="14.25" customHeight="1">
      <c r="N2762" s="192">
        <v>0</v>
      </c>
    </row>
    <row r="2763" spans="14:14" ht="14.25" customHeight="1">
      <c r="N2763" s="192">
        <v>0</v>
      </c>
    </row>
    <row r="2764" spans="14:14" ht="14.25" customHeight="1">
      <c r="N2764" s="192">
        <v>0</v>
      </c>
    </row>
    <row r="2765" spans="14:14" ht="14.25" customHeight="1">
      <c r="N2765" s="192">
        <v>0</v>
      </c>
    </row>
    <row r="2766" spans="14:14" ht="14.25" customHeight="1">
      <c r="N2766" s="192">
        <v>0</v>
      </c>
    </row>
    <row r="2767" spans="14:14" ht="14.25" customHeight="1">
      <c r="N2767" s="192">
        <v>0</v>
      </c>
    </row>
    <row r="2768" spans="14:14" ht="14.25" customHeight="1">
      <c r="N2768" s="192">
        <v>0</v>
      </c>
    </row>
    <row r="2769" spans="14:14" ht="14.25" customHeight="1">
      <c r="N2769" s="192">
        <v>0</v>
      </c>
    </row>
    <row r="2770" spans="14:14" ht="14.25" customHeight="1">
      <c r="N2770" s="192">
        <v>0</v>
      </c>
    </row>
    <row r="2771" spans="14:14" ht="14.25" customHeight="1">
      <c r="N2771" s="192">
        <v>0</v>
      </c>
    </row>
    <row r="2772" spans="14:14" ht="14.25" customHeight="1">
      <c r="N2772" s="192">
        <v>0</v>
      </c>
    </row>
    <row r="2773" spans="14:14" ht="14.25" customHeight="1">
      <c r="N2773" s="192">
        <v>0</v>
      </c>
    </row>
    <row r="2774" spans="14:14" ht="14.25" customHeight="1">
      <c r="N2774" s="192">
        <v>0</v>
      </c>
    </row>
    <row r="2775" spans="14:14" ht="14.25" customHeight="1">
      <c r="N2775" s="192">
        <v>0</v>
      </c>
    </row>
    <row r="2776" spans="14:14" ht="14.25" customHeight="1">
      <c r="N2776" s="192">
        <v>0</v>
      </c>
    </row>
    <row r="2777" spans="14:14" ht="14.25" customHeight="1">
      <c r="N2777" s="192">
        <v>0</v>
      </c>
    </row>
    <row r="2778" spans="14:14" ht="14.25" customHeight="1">
      <c r="N2778" s="192">
        <v>0</v>
      </c>
    </row>
    <row r="2779" spans="14:14" ht="14.25" customHeight="1">
      <c r="N2779" s="192">
        <v>0</v>
      </c>
    </row>
    <row r="2780" spans="14:14" ht="14.25" customHeight="1">
      <c r="N2780" s="192">
        <v>0</v>
      </c>
    </row>
    <row r="2781" spans="14:14" ht="14.25" customHeight="1">
      <c r="N2781" s="192">
        <v>0</v>
      </c>
    </row>
    <row r="2782" spans="14:14" ht="14.25" customHeight="1">
      <c r="N2782" s="192">
        <v>0</v>
      </c>
    </row>
    <row r="2783" spans="14:14" ht="14.25" customHeight="1">
      <c r="N2783" s="192">
        <v>0</v>
      </c>
    </row>
    <row r="2784" spans="14:14" ht="14.25" customHeight="1">
      <c r="N2784" s="192">
        <v>0</v>
      </c>
    </row>
    <row r="2785" spans="14:14" ht="14.25" customHeight="1">
      <c r="N2785" s="192">
        <v>0</v>
      </c>
    </row>
    <row r="2786" spans="14:14" ht="14.25" customHeight="1">
      <c r="N2786" s="192">
        <v>0</v>
      </c>
    </row>
    <row r="2787" spans="14:14" ht="14.25" customHeight="1">
      <c r="N2787" s="192">
        <v>0</v>
      </c>
    </row>
    <row r="2788" spans="14:14" ht="14.25" customHeight="1">
      <c r="N2788" s="192">
        <v>0</v>
      </c>
    </row>
    <row r="2789" spans="14:14" ht="14.25" customHeight="1">
      <c r="N2789" s="192">
        <v>0</v>
      </c>
    </row>
    <row r="2790" spans="14:14" ht="14.25" customHeight="1">
      <c r="N2790" s="192">
        <v>0</v>
      </c>
    </row>
    <row r="2791" spans="14:14" ht="14.25" customHeight="1">
      <c r="N2791" s="192">
        <v>0</v>
      </c>
    </row>
    <row r="2792" spans="14:14" ht="14.25" customHeight="1">
      <c r="N2792" s="192">
        <v>0</v>
      </c>
    </row>
    <row r="2793" spans="14:14" ht="14.25" customHeight="1">
      <c r="N2793" s="192">
        <v>0</v>
      </c>
    </row>
    <row r="2794" spans="14:14" ht="14.25" customHeight="1">
      <c r="N2794" s="192">
        <v>0</v>
      </c>
    </row>
    <row r="2795" spans="14:14" ht="14.25" customHeight="1">
      <c r="N2795" s="192">
        <v>0</v>
      </c>
    </row>
    <row r="2796" spans="14:14" ht="14.25" customHeight="1">
      <c r="N2796" s="192">
        <v>0</v>
      </c>
    </row>
    <row r="2797" spans="14:14" ht="14.25" customHeight="1">
      <c r="N2797" s="192">
        <v>0</v>
      </c>
    </row>
    <row r="2798" spans="14:14" ht="14.25" customHeight="1">
      <c r="N2798" s="192">
        <v>0</v>
      </c>
    </row>
    <row r="2799" spans="14:14" ht="14.25" customHeight="1">
      <c r="N2799" s="192">
        <v>0</v>
      </c>
    </row>
    <row r="2800" spans="14:14" ht="14.25" customHeight="1">
      <c r="N2800" s="192">
        <v>0</v>
      </c>
    </row>
    <row r="2801" spans="14:14" ht="14.25" customHeight="1">
      <c r="N2801" s="192">
        <v>0</v>
      </c>
    </row>
    <row r="2802" spans="14:14" ht="14.25" customHeight="1">
      <c r="N2802" s="192">
        <v>0</v>
      </c>
    </row>
    <row r="2803" spans="14:14" ht="14.25" customHeight="1">
      <c r="N2803" s="192">
        <v>0</v>
      </c>
    </row>
    <row r="2804" spans="14:14" ht="14.25" customHeight="1">
      <c r="N2804" s="192">
        <v>0</v>
      </c>
    </row>
    <row r="2805" spans="14:14" ht="14.25" customHeight="1">
      <c r="N2805" s="192">
        <v>0</v>
      </c>
    </row>
    <row r="2806" spans="14:14" ht="14.25" customHeight="1">
      <c r="N2806" s="192">
        <v>0</v>
      </c>
    </row>
    <row r="2807" spans="14:14" ht="14.25" customHeight="1">
      <c r="N2807" s="192">
        <v>0</v>
      </c>
    </row>
    <row r="2808" spans="14:14" ht="14.25" customHeight="1">
      <c r="N2808" s="192">
        <v>0</v>
      </c>
    </row>
    <row r="2809" spans="14:14" ht="14.25" customHeight="1">
      <c r="N2809" s="192">
        <v>0</v>
      </c>
    </row>
    <row r="2810" spans="14:14" ht="14.25" customHeight="1">
      <c r="N2810" s="192">
        <v>0</v>
      </c>
    </row>
    <row r="2811" spans="14:14" ht="14.25" customHeight="1">
      <c r="N2811" s="192">
        <v>0</v>
      </c>
    </row>
    <row r="2812" spans="14:14" ht="14.25" customHeight="1">
      <c r="N2812" s="192">
        <v>0</v>
      </c>
    </row>
    <row r="2813" spans="14:14" ht="14.25" customHeight="1">
      <c r="N2813" s="192">
        <v>0</v>
      </c>
    </row>
    <row r="2814" spans="14:14" ht="14.25" customHeight="1">
      <c r="N2814" s="192">
        <v>0</v>
      </c>
    </row>
    <row r="2815" spans="14:14" ht="14.25" customHeight="1">
      <c r="N2815" s="192">
        <v>0</v>
      </c>
    </row>
    <row r="2816" spans="14:14" ht="14.25" customHeight="1">
      <c r="N2816" s="192">
        <v>0</v>
      </c>
    </row>
    <row r="2817" spans="14:14" ht="14.25" customHeight="1">
      <c r="N2817" s="192">
        <v>0</v>
      </c>
    </row>
    <row r="2818" spans="14:14" ht="14.25" customHeight="1">
      <c r="N2818" s="192">
        <v>0</v>
      </c>
    </row>
    <row r="2819" spans="14:14" ht="14.25" customHeight="1">
      <c r="N2819" s="192">
        <v>0</v>
      </c>
    </row>
    <row r="2820" spans="14:14" ht="14.25" customHeight="1">
      <c r="N2820" s="192">
        <v>0</v>
      </c>
    </row>
    <row r="2821" spans="14:14" ht="14.25" customHeight="1">
      <c r="N2821" s="192">
        <v>0</v>
      </c>
    </row>
    <row r="2822" spans="14:14" ht="14.25" customHeight="1">
      <c r="N2822" s="192">
        <v>0</v>
      </c>
    </row>
    <row r="2823" spans="14:14" ht="14.25" customHeight="1">
      <c r="N2823" s="192">
        <v>0</v>
      </c>
    </row>
    <row r="2824" spans="14:14" ht="14.25" customHeight="1">
      <c r="N2824" s="192">
        <v>0</v>
      </c>
    </row>
    <row r="2825" spans="14:14" ht="14.25" customHeight="1">
      <c r="N2825" s="192">
        <v>0</v>
      </c>
    </row>
    <row r="2826" spans="14:14" ht="14.25" customHeight="1">
      <c r="N2826" s="192">
        <v>0</v>
      </c>
    </row>
    <row r="2827" spans="14:14" ht="14.25" customHeight="1">
      <c r="N2827" s="192">
        <v>0</v>
      </c>
    </row>
    <row r="2828" spans="14:14" ht="14.25" customHeight="1">
      <c r="N2828" s="192">
        <v>0</v>
      </c>
    </row>
    <row r="2829" spans="14:14" ht="14.25" customHeight="1">
      <c r="N2829" s="192">
        <v>0</v>
      </c>
    </row>
    <row r="2830" spans="14:14" ht="14.25" customHeight="1">
      <c r="N2830" s="192">
        <v>0</v>
      </c>
    </row>
    <row r="2831" spans="14:14" ht="14.25" customHeight="1">
      <c r="N2831" s="192">
        <v>0</v>
      </c>
    </row>
    <row r="2832" spans="14:14" ht="14.25" customHeight="1">
      <c r="N2832" s="192">
        <v>0</v>
      </c>
    </row>
    <row r="2833" spans="14:14" ht="14.25" customHeight="1">
      <c r="N2833" s="192">
        <v>0</v>
      </c>
    </row>
    <row r="2834" spans="14:14" ht="14.25" customHeight="1">
      <c r="N2834" s="192">
        <v>0</v>
      </c>
    </row>
    <row r="2835" spans="14:14" ht="14.25" customHeight="1">
      <c r="N2835" s="192">
        <v>0</v>
      </c>
    </row>
    <row r="2836" spans="14:14" ht="14.25" customHeight="1">
      <c r="N2836" s="192">
        <v>0</v>
      </c>
    </row>
    <row r="2837" spans="14:14" ht="14.25" customHeight="1">
      <c r="N2837" s="192">
        <v>0</v>
      </c>
    </row>
    <row r="2838" spans="14:14" ht="14.25" customHeight="1">
      <c r="N2838" s="192">
        <v>0</v>
      </c>
    </row>
    <row r="2839" spans="14:14" ht="14.25" customHeight="1">
      <c r="N2839" s="192">
        <v>0</v>
      </c>
    </row>
    <row r="2840" spans="14:14" ht="14.25" customHeight="1">
      <c r="N2840" s="192">
        <v>0</v>
      </c>
    </row>
    <row r="2841" spans="14:14" ht="14.25" customHeight="1">
      <c r="N2841" s="192">
        <v>0</v>
      </c>
    </row>
    <row r="2842" spans="14:14" ht="14.25" customHeight="1">
      <c r="N2842" s="192">
        <v>0</v>
      </c>
    </row>
    <row r="2843" spans="14:14" ht="14.25" customHeight="1">
      <c r="N2843" s="192">
        <v>0</v>
      </c>
    </row>
    <row r="2844" spans="14:14" ht="14.25" customHeight="1">
      <c r="N2844" s="192">
        <v>0</v>
      </c>
    </row>
    <row r="2845" spans="14:14" ht="14.25" customHeight="1">
      <c r="N2845" s="192">
        <v>0</v>
      </c>
    </row>
    <row r="2846" spans="14:14" ht="14.25" customHeight="1">
      <c r="N2846" s="192">
        <v>0</v>
      </c>
    </row>
    <row r="2847" spans="14:14" ht="14.25" customHeight="1">
      <c r="N2847" s="192">
        <v>0</v>
      </c>
    </row>
    <row r="2848" spans="14:14" ht="14.25" customHeight="1">
      <c r="N2848" s="192">
        <v>0</v>
      </c>
    </row>
    <row r="2849" spans="14:14" ht="14.25" customHeight="1">
      <c r="N2849" s="192">
        <v>0</v>
      </c>
    </row>
    <row r="2850" spans="14:14" ht="14.25" customHeight="1">
      <c r="N2850" s="192">
        <v>0</v>
      </c>
    </row>
    <row r="2851" spans="14:14" ht="14.25" customHeight="1">
      <c r="N2851" s="192">
        <v>0</v>
      </c>
    </row>
    <row r="2852" spans="14:14" ht="14.25" customHeight="1">
      <c r="N2852" s="192">
        <v>0</v>
      </c>
    </row>
    <row r="2853" spans="14:14" ht="14.25" customHeight="1">
      <c r="N2853" s="192">
        <v>0</v>
      </c>
    </row>
    <row r="2854" spans="14:14" ht="14.25" customHeight="1">
      <c r="N2854" s="192">
        <v>0</v>
      </c>
    </row>
    <row r="2855" spans="14:14" ht="14.25" customHeight="1">
      <c r="N2855" s="192">
        <v>0</v>
      </c>
    </row>
    <row r="2856" spans="14:14" ht="14.25" customHeight="1">
      <c r="N2856" s="192">
        <v>0</v>
      </c>
    </row>
    <row r="2857" spans="14:14" ht="14.25" customHeight="1">
      <c r="N2857" s="192">
        <v>0</v>
      </c>
    </row>
    <row r="2858" spans="14:14" ht="14.25" customHeight="1">
      <c r="N2858" s="192">
        <v>0</v>
      </c>
    </row>
    <row r="2859" spans="14:14" ht="14.25" customHeight="1">
      <c r="N2859" s="192">
        <v>0</v>
      </c>
    </row>
    <row r="2860" spans="14:14" ht="14.25" customHeight="1">
      <c r="N2860" s="192">
        <v>0</v>
      </c>
    </row>
    <row r="2861" spans="14:14" ht="14.25" customHeight="1">
      <c r="N2861" s="192">
        <v>0</v>
      </c>
    </row>
    <row r="2862" spans="14:14" ht="14.25" customHeight="1">
      <c r="N2862" s="192">
        <v>0</v>
      </c>
    </row>
    <row r="2863" spans="14:14" ht="14.25" customHeight="1">
      <c r="N2863" s="192">
        <v>0</v>
      </c>
    </row>
    <row r="2864" spans="14:14" ht="14.25" customHeight="1">
      <c r="N2864" s="192">
        <v>0</v>
      </c>
    </row>
    <row r="2865" spans="14:14" ht="14.25" customHeight="1">
      <c r="N2865" s="192">
        <v>0</v>
      </c>
    </row>
    <row r="2866" spans="14:14" ht="14.25" customHeight="1">
      <c r="N2866" s="192">
        <v>0</v>
      </c>
    </row>
    <row r="2867" spans="14:14" ht="14.25" customHeight="1">
      <c r="N2867" s="192">
        <v>0</v>
      </c>
    </row>
    <row r="2868" spans="14:14" ht="14.25" customHeight="1">
      <c r="N2868" s="192">
        <v>0</v>
      </c>
    </row>
    <row r="2869" spans="14:14" ht="14.25" customHeight="1">
      <c r="N2869" s="192">
        <v>0</v>
      </c>
    </row>
    <row r="2870" spans="14:14" ht="14.25" customHeight="1">
      <c r="N2870" s="192">
        <v>0</v>
      </c>
    </row>
    <row r="2871" spans="14:14" ht="14.25" customHeight="1">
      <c r="N2871" s="192">
        <v>0</v>
      </c>
    </row>
    <row r="2872" spans="14:14" ht="14.25" customHeight="1">
      <c r="N2872" s="192">
        <v>0</v>
      </c>
    </row>
    <row r="2873" spans="14:14" ht="14.25" customHeight="1">
      <c r="N2873" s="192">
        <v>0</v>
      </c>
    </row>
    <row r="2874" spans="14:14" ht="14.25" customHeight="1">
      <c r="N2874" s="192">
        <v>0</v>
      </c>
    </row>
    <row r="2875" spans="14:14" ht="14.25" customHeight="1">
      <c r="N2875" s="192">
        <v>0</v>
      </c>
    </row>
    <row r="2876" spans="14:14" ht="14.25" customHeight="1">
      <c r="N2876" s="192">
        <v>0</v>
      </c>
    </row>
    <row r="2877" spans="14:14" ht="14.25" customHeight="1">
      <c r="N2877" s="192">
        <v>0</v>
      </c>
    </row>
    <row r="2878" spans="14:14" ht="14.25" customHeight="1">
      <c r="N2878" s="192">
        <v>0</v>
      </c>
    </row>
    <row r="2879" spans="14:14" ht="14.25" customHeight="1">
      <c r="N2879" s="192">
        <v>0</v>
      </c>
    </row>
    <row r="2880" spans="14:14" ht="14.25" customHeight="1">
      <c r="N2880" s="192">
        <v>0</v>
      </c>
    </row>
    <row r="2881" spans="14:14" ht="14.25" customHeight="1">
      <c r="N2881" s="192">
        <v>0</v>
      </c>
    </row>
    <row r="2882" spans="14:14" ht="14.25" customHeight="1">
      <c r="N2882" s="192">
        <v>0</v>
      </c>
    </row>
    <row r="2883" spans="14:14" ht="14.25" customHeight="1">
      <c r="N2883" s="192">
        <v>0</v>
      </c>
    </row>
    <row r="2884" spans="14:14" ht="14.25" customHeight="1">
      <c r="N2884" s="192">
        <v>0</v>
      </c>
    </row>
    <row r="2885" spans="14:14" ht="14.25" customHeight="1">
      <c r="N2885" s="192">
        <v>0</v>
      </c>
    </row>
    <row r="2886" spans="14:14" ht="14.25" customHeight="1">
      <c r="N2886" s="192">
        <v>0</v>
      </c>
    </row>
    <row r="2887" spans="14:14" ht="14.25" customHeight="1">
      <c r="N2887" s="192">
        <v>0</v>
      </c>
    </row>
    <row r="2888" spans="14:14" ht="14.25" customHeight="1">
      <c r="N2888" s="192">
        <v>0</v>
      </c>
    </row>
    <row r="2889" spans="14:14" ht="14.25" customHeight="1">
      <c r="N2889" s="192">
        <v>0</v>
      </c>
    </row>
    <row r="2890" spans="14:14" ht="14.25" customHeight="1">
      <c r="N2890" s="192">
        <v>0</v>
      </c>
    </row>
    <row r="2891" spans="14:14" ht="14.25" customHeight="1">
      <c r="N2891" s="192">
        <v>0</v>
      </c>
    </row>
    <row r="2892" spans="14:14" ht="14.25" customHeight="1">
      <c r="N2892" s="192">
        <v>0</v>
      </c>
    </row>
    <row r="2893" spans="14:14" ht="14.25" customHeight="1">
      <c r="N2893" s="192">
        <v>0</v>
      </c>
    </row>
    <row r="2894" spans="14:14" ht="14.25" customHeight="1">
      <c r="N2894" s="192">
        <v>0</v>
      </c>
    </row>
    <row r="2895" spans="14:14" ht="14.25" customHeight="1">
      <c r="N2895" s="192">
        <v>0</v>
      </c>
    </row>
    <row r="2896" spans="14:14" ht="14.25" customHeight="1">
      <c r="N2896" s="192">
        <v>0</v>
      </c>
    </row>
    <row r="2897" spans="14:14" ht="14.25" customHeight="1">
      <c r="N2897" s="192">
        <v>0</v>
      </c>
    </row>
    <row r="2898" spans="14:14" ht="14.25" customHeight="1">
      <c r="N2898" s="192">
        <v>0</v>
      </c>
    </row>
    <row r="2899" spans="14:14" ht="14.25" customHeight="1">
      <c r="N2899" s="192">
        <v>0</v>
      </c>
    </row>
    <row r="2900" spans="14:14" ht="14.25" customHeight="1">
      <c r="N2900" s="192">
        <v>0</v>
      </c>
    </row>
    <row r="2901" spans="14:14" ht="14.25" customHeight="1">
      <c r="N2901" s="192">
        <v>0</v>
      </c>
    </row>
    <row r="2902" spans="14:14" ht="14.25" customHeight="1">
      <c r="N2902" s="192">
        <v>0</v>
      </c>
    </row>
    <row r="2903" spans="14:14" ht="14.25" customHeight="1">
      <c r="N2903" s="192">
        <v>0</v>
      </c>
    </row>
    <row r="2904" spans="14:14" ht="14.25" customHeight="1">
      <c r="N2904" s="192">
        <v>0</v>
      </c>
    </row>
    <row r="2905" spans="14:14" ht="14.25" customHeight="1">
      <c r="N2905" s="192">
        <v>0</v>
      </c>
    </row>
    <row r="2906" spans="14:14" ht="14.25" customHeight="1">
      <c r="N2906" s="192">
        <v>0</v>
      </c>
    </row>
    <row r="2907" spans="14:14" ht="14.25" customHeight="1">
      <c r="N2907" s="192">
        <v>0</v>
      </c>
    </row>
    <row r="2908" spans="14:14" ht="14.25" customHeight="1">
      <c r="N2908" s="192">
        <v>0</v>
      </c>
    </row>
    <row r="2909" spans="14:14" ht="14.25" customHeight="1">
      <c r="N2909" s="192">
        <v>0</v>
      </c>
    </row>
    <row r="2910" spans="14:14" ht="14.25" customHeight="1">
      <c r="N2910" s="192">
        <v>0</v>
      </c>
    </row>
    <row r="2911" spans="14:14" ht="14.25" customHeight="1">
      <c r="N2911" s="192">
        <v>0</v>
      </c>
    </row>
    <row r="2912" spans="14:14" ht="14.25" customHeight="1">
      <c r="N2912" s="192">
        <v>0</v>
      </c>
    </row>
    <row r="2913" spans="14:14" ht="14.25" customHeight="1">
      <c r="N2913" s="192">
        <v>0</v>
      </c>
    </row>
    <row r="2914" spans="14:14" ht="14.25" customHeight="1">
      <c r="N2914" s="192">
        <v>0</v>
      </c>
    </row>
    <row r="2915" spans="14:14" ht="14.25" customHeight="1">
      <c r="N2915" s="192">
        <v>0</v>
      </c>
    </row>
    <row r="2916" spans="14:14" ht="14.25" customHeight="1">
      <c r="N2916" s="192">
        <v>0</v>
      </c>
    </row>
    <row r="2917" spans="14:14" ht="14.25" customHeight="1">
      <c r="N2917" s="192">
        <v>0</v>
      </c>
    </row>
    <row r="2918" spans="14:14" ht="14.25" customHeight="1">
      <c r="N2918" s="192">
        <v>0</v>
      </c>
    </row>
    <row r="2919" spans="14:14" ht="14.25" customHeight="1">
      <c r="N2919" s="192">
        <v>0</v>
      </c>
    </row>
    <row r="2920" spans="14:14" ht="14.25" customHeight="1">
      <c r="N2920" s="192">
        <v>0</v>
      </c>
    </row>
    <row r="2921" spans="14:14" ht="14.25" customHeight="1">
      <c r="N2921" s="192">
        <v>0</v>
      </c>
    </row>
    <row r="2922" spans="14:14" ht="14.25" customHeight="1">
      <c r="N2922" s="192">
        <v>0</v>
      </c>
    </row>
    <row r="2923" spans="14:14" ht="14.25" customHeight="1">
      <c r="N2923" s="192">
        <v>0</v>
      </c>
    </row>
    <row r="2924" spans="14:14" ht="14.25" customHeight="1">
      <c r="N2924" s="192">
        <v>0</v>
      </c>
    </row>
    <row r="2925" spans="14:14" ht="14.25" customHeight="1">
      <c r="N2925" s="192">
        <v>0</v>
      </c>
    </row>
    <row r="2926" spans="14:14" ht="14.25" customHeight="1">
      <c r="N2926" s="192">
        <v>0</v>
      </c>
    </row>
    <row r="2927" spans="14:14" ht="14.25" customHeight="1">
      <c r="N2927" s="192">
        <v>0</v>
      </c>
    </row>
    <row r="2928" spans="14:14" ht="14.25" customHeight="1">
      <c r="N2928" s="192">
        <v>0</v>
      </c>
    </row>
    <row r="2929" spans="14:14" ht="14.25" customHeight="1">
      <c r="N2929" s="192">
        <v>0</v>
      </c>
    </row>
    <row r="2930" spans="14:14" ht="14.25" customHeight="1">
      <c r="N2930" s="192">
        <v>0</v>
      </c>
    </row>
    <row r="2931" spans="14:14" ht="14.25" customHeight="1">
      <c r="N2931" s="192">
        <v>0</v>
      </c>
    </row>
    <row r="2932" spans="14:14" ht="14.25" customHeight="1">
      <c r="N2932" s="192">
        <v>0</v>
      </c>
    </row>
    <row r="2933" spans="14:14" ht="14.25" customHeight="1">
      <c r="N2933" s="192">
        <v>0</v>
      </c>
    </row>
    <row r="2934" spans="14:14" ht="14.25" customHeight="1">
      <c r="N2934" s="192">
        <v>0</v>
      </c>
    </row>
    <row r="2935" spans="14:14" ht="14.25" customHeight="1">
      <c r="N2935" s="192">
        <v>0</v>
      </c>
    </row>
    <row r="2936" spans="14:14" ht="14.25" customHeight="1">
      <c r="N2936" s="192">
        <v>0</v>
      </c>
    </row>
    <row r="2937" spans="14:14" ht="14.25" customHeight="1">
      <c r="N2937" s="192">
        <v>0</v>
      </c>
    </row>
    <row r="2938" spans="14:14" ht="14.25" customHeight="1">
      <c r="N2938" s="192">
        <v>0</v>
      </c>
    </row>
    <row r="2939" spans="14:14" ht="14.25" customHeight="1">
      <c r="N2939" s="192">
        <v>0</v>
      </c>
    </row>
    <row r="2940" spans="14:14" ht="14.25" customHeight="1">
      <c r="N2940" s="192">
        <v>0</v>
      </c>
    </row>
    <row r="2941" spans="14:14" ht="14.25" customHeight="1">
      <c r="N2941" s="192">
        <v>0</v>
      </c>
    </row>
    <row r="2942" spans="14:14" ht="14.25" customHeight="1">
      <c r="N2942" s="192">
        <v>0</v>
      </c>
    </row>
    <row r="2943" spans="14:14" ht="14.25" customHeight="1">
      <c r="N2943" s="192">
        <v>0</v>
      </c>
    </row>
    <row r="2944" spans="14:14" ht="14.25" customHeight="1">
      <c r="N2944" s="192">
        <v>0</v>
      </c>
    </row>
    <row r="2945" spans="14:14" ht="14.25" customHeight="1">
      <c r="N2945" s="192">
        <v>0</v>
      </c>
    </row>
    <row r="2946" spans="14:14" ht="14.25" customHeight="1">
      <c r="N2946" s="192">
        <v>0</v>
      </c>
    </row>
    <row r="2947" spans="14:14" ht="14.25" customHeight="1">
      <c r="N2947" s="192">
        <v>0</v>
      </c>
    </row>
    <row r="2948" spans="14:14" ht="14.25" customHeight="1">
      <c r="N2948" s="192">
        <v>0</v>
      </c>
    </row>
    <row r="2949" spans="14:14" ht="14.25" customHeight="1">
      <c r="N2949" s="192">
        <v>0</v>
      </c>
    </row>
    <row r="2950" spans="14:14" ht="14.25" customHeight="1">
      <c r="N2950" s="192">
        <v>0</v>
      </c>
    </row>
    <row r="2951" spans="14:14" ht="14.25" customHeight="1">
      <c r="N2951" s="192">
        <v>0</v>
      </c>
    </row>
    <row r="2952" spans="14:14" ht="14.25" customHeight="1">
      <c r="N2952" s="192">
        <v>0</v>
      </c>
    </row>
    <row r="2953" spans="14:14" ht="14.25" customHeight="1">
      <c r="N2953" s="192">
        <v>0</v>
      </c>
    </row>
    <row r="2954" spans="14:14" ht="14.25" customHeight="1">
      <c r="N2954" s="192">
        <v>0</v>
      </c>
    </row>
    <row r="2955" spans="14:14" ht="14.25" customHeight="1">
      <c r="N2955" s="192">
        <v>0</v>
      </c>
    </row>
    <row r="2956" spans="14:14" ht="14.25" customHeight="1">
      <c r="N2956" s="192">
        <v>0</v>
      </c>
    </row>
    <row r="2957" spans="14:14" ht="14.25" customHeight="1">
      <c r="N2957" s="192">
        <v>0</v>
      </c>
    </row>
    <row r="2958" spans="14:14" ht="14.25" customHeight="1">
      <c r="N2958" s="192">
        <v>0</v>
      </c>
    </row>
    <row r="2959" spans="14:14" ht="14.25" customHeight="1">
      <c r="N2959" s="192">
        <v>0</v>
      </c>
    </row>
    <row r="2960" spans="14:14" ht="14.25" customHeight="1">
      <c r="N2960" s="192">
        <v>0</v>
      </c>
    </row>
    <row r="2961" spans="14:14" ht="14.25" customHeight="1">
      <c r="N2961" s="192">
        <v>0</v>
      </c>
    </row>
    <row r="2962" spans="14:14" ht="14.25" customHeight="1">
      <c r="N2962" s="192">
        <v>0</v>
      </c>
    </row>
    <row r="2963" spans="14:14" ht="14.25" customHeight="1">
      <c r="N2963" s="192">
        <v>0</v>
      </c>
    </row>
    <row r="2964" spans="14:14" ht="14.25" customHeight="1">
      <c r="N2964" s="192">
        <v>0</v>
      </c>
    </row>
    <row r="2965" spans="14:14" ht="14.25" customHeight="1">
      <c r="N2965" s="192">
        <v>0</v>
      </c>
    </row>
    <row r="2966" spans="14:14" ht="14.25" customHeight="1">
      <c r="N2966" s="192">
        <v>0</v>
      </c>
    </row>
    <row r="2967" spans="14:14" ht="14.25" customHeight="1">
      <c r="N2967" s="192">
        <v>0</v>
      </c>
    </row>
    <row r="2968" spans="14:14" ht="14.25" customHeight="1">
      <c r="N2968" s="192">
        <v>0</v>
      </c>
    </row>
    <row r="2969" spans="14:14" ht="14.25" customHeight="1">
      <c r="N2969" s="192">
        <v>0</v>
      </c>
    </row>
    <row r="2970" spans="14:14" ht="14.25" customHeight="1">
      <c r="N2970" s="192">
        <v>0</v>
      </c>
    </row>
    <row r="2971" spans="14:14" ht="14.25" customHeight="1">
      <c r="N2971" s="192">
        <v>0</v>
      </c>
    </row>
    <row r="2972" spans="14:14" ht="14.25" customHeight="1">
      <c r="N2972" s="192">
        <v>0</v>
      </c>
    </row>
    <row r="2973" spans="14:14" ht="14.25" customHeight="1">
      <c r="N2973" s="192">
        <v>0</v>
      </c>
    </row>
    <row r="2974" spans="14:14" ht="14.25" customHeight="1">
      <c r="N2974" s="192">
        <v>0</v>
      </c>
    </row>
    <row r="2975" spans="14:14" ht="14.25" customHeight="1">
      <c r="N2975" s="192">
        <v>0</v>
      </c>
    </row>
    <row r="2976" spans="14:14" ht="14.25" customHeight="1">
      <c r="N2976" s="192">
        <v>0</v>
      </c>
    </row>
    <row r="2977" spans="14:14" ht="14.25" customHeight="1">
      <c r="N2977" s="192">
        <v>0</v>
      </c>
    </row>
    <row r="2978" spans="14:14" ht="14.25" customHeight="1">
      <c r="N2978" s="192">
        <v>0</v>
      </c>
    </row>
    <row r="2979" spans="14:14" ht="14.25" customHeight="1">
      <c r="N2979" s="192">
        <v>0</v>
      </c>
    </row>
    <row r="2980" spans="14:14" ht="14.25" customHeight="1">
      <c r="N2980" s="192">
        <v>0</v>
      </c>
    </row>
    <row r="2981" spans="14:14" ht="14.25" customHeight="1">
      <c r="N2981" s="192">
        <v>0</v>
      </c>
    </row>
    <row r="2982" spans="14:14" ht="14.25" customHeight="1">
      <c r="N2982" s="192">
        <v>0</v>
      </c>
    </row>
    <row r="2983" spans="14:14" ht="14.25" customHeight="1">
      <c r="N2983" s="192">
        <v>0</v>
      </c>
    </row>
    <row r="2984" spans="14:14" ht="14.25" customHeight="1">
      <c r="N2984" s="192">
        <v>0</v>
      </c>
    </row>
    <row r="2985" spans="14:14" ht="14.25" customHeight="1">
      <c r="N2985" s="192">
        <v>0</v>
      </c>
    </row>
    <row r="2986" spans="14:14" ht="14.25" customHeight="1">
      <c r="N2986" s="192">
        <v>0</v>
      </c>
    </row>
    <row r="2987" spans="14:14" ht="14.25" customHeight="1">
      <c r="N2987" s="192">
        <v>0</v>
      </c>
    </row>
    <row r="2988" spans="14:14" ht="14.25" customHeight="1">
      <c r="N2988" s="192">
        <v>0</v>
      </c>
    </row>
    <row r="2989" spans="14:14" ht="14.25" customHeight="1">
      <c r="N2989" s="192">
        <v>0</v>
      </c>
    </row>
    <row r="2990" spans="14:14" ht="14.25" customHeight="1">
      <c r="N2990" s="192">
        <v>0</v>
      </c>
    </row>
    <row r="2991" spans="14:14" ht="14.25" customHeight="1">
      <c r="N2991" s="192">
        <v>0</v>
      </c>
    </row>
    <row r="2992" spans="14:14" ht="14.25" customHeight="1">
      <c r="N2992" s="192">
        <v>0</v>
      </c>
    </row>
    <row r="2993" spans="14:14" ht="14.25" customHeight="1">
      <c r="N2993" s="192">
        <v>0</v>
      </c>
    </row>
    <row r="2994" spans="14:14" ht="14.25" customHeight="1">
      <c r="N2994" s="192">
        <v>0</v>
      </c>
    </row>
    <row r="2995" spans="14:14" ht="14.25" customHeight="1">
      <c r="N2995" s="192">
        <v>0</v>
      </c>
    </row>
    <row r="2996" spans="14:14" ht="14.25" customHeight="1">
      <c r="N2996" s="192">
        <v>0</v>
      </c>
    </row>
    <row r="2997" spans="14:14" ht="14.25" customHeight="1">
      <c r="N2997" s="192">
        <v>0</v>
      </c>
    </row>
    <row r="2998" spans="14:14" ht="14.25" customHeight="1">
      <c r="N2998" s="192">
        <v>0</v>
      </c>
    </row>
    <row r="2999" spans="14:14" ht="14.25" customHeight="1">
      <c r="N2999" s="192">
        <v>0</v>
      </c>
    </row>
    <row r="3000" spans="14:14" ht="14.25" customHeight="1">
      <c r="N3000" s="192">
        <v>0</v>
      </c>
    </row>
    <row r="3001" spans="14:14" ht="14.25" customHeight="1">
      <c r="N3001" s="192">
        <v>0</v>
      </c>
    </row>
    <row r="3002" spans="14:14" ht="14.25" customHeight="1">
      <c r="N3002" s="192">
        <v>0</v>
      </c>
    </row>
  </sheetData>
  <mergeCells count="33">
    <mergeCell ref="B20:E20"/>
    <mergeCell ref="A6:A7"/>
    <mergeCell ref="F23:G23"/>
    <mergeCell ref="G7:J7"/>
    <mergeCell ref="A16:J16"/>
    <mergeCell ref="A10:A11"/>
    <mergeCell ref="B7:D7"/>
    <mergeCell ref="G10:J10"/>
    <mergeCell ref="B23:E23"/>
    <mergeCell ref="B10:D11"/>
    <mergeCell ref="E8:F8"/>
    <mergeCell ref="A13:J13"/>
    <mergeCell ref="F21:G21"/>
    <mergeCell ref="G9:J9"/>
    <mergeCell ref="F20:G20"/>
    <mergeCell ref="B9:D9"/>
    <mergeCell ref="A15:J15"/>
    <mergeCell ref="G11:J11"/>
    <mergeCell ref="B3:J3"/>
    <mergeCell ref="A18:J18"/>
    <mergeCell ref="E10:F11"/>
    <mergeCell ref="A12:J12"/>
    <mergeCell ref="A2:J2"/>
    <mergeCell ref="B4:J5"/>
    <mergeCell ref="E9:F9"/>
    <mergeCell ref="B6:D6"/>
    <mergeCell ref="G8:J8"/>
    <mergeCell ref="A4:A5"/>
    <mergeCell ref="G6:J6"/>
    <mergeCell ref="A14:J14"/>
    <mergeCell ref="E6:F7"/>
    <mergeCell ref="A17:J17"/>
    <mergeCell ref="B8:D8"/>
  </mergeCells>
  <phoneticPr fontId="3" type="noConversion"/>
  <dataValidations disablePrompts="1" count="1">
    <dataValidation type="list" allowBlank="1" showInputMessage="1" showErrorMessage="1" sqref="K2" xr:uid="{00000000-0002-0000-0800-000000000000}">
      <formula1>$N$2:$N$3002</formula1>
    </dataValidation>
  </dataValidations>
  <printOptions horizontalCentered="1"/>
  <pageMargins left="0.78740157480314965" right="0.78740157480314965" top="1.417322834645669" bottom="0.23622047244094491" header="0.31496062992125978" footer="0.31496062992125978"/>
  <pageSetup paperSize="9"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4" r:id="rId4" name="Button 4">
              <controlPr defaultSize="0" print="0" autoFill="0" autoPict="0" macro="[0]!돌아가기">
                <anchor moveWithCells="1" sizeWithCells="1">
                  <from>
                    <xdr:col>6</xdr:col>
                    <xdr:colOff>85725</xdr:colOff>
                    <xdr:row>0</xdr:row>
                    <xdr:rowOff>19050</xdr:rowOff>
                  </from>
                  <to>
                    <xdr:col>10</xdr:col>
                    <xdr:colOff>19050</xdr:colOff>
                    <xdr:row>0</xdr:row>
                    <xdr:rowOff>457200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W22"/>
  <sheetViews>
    <sheetView view="pageBreakPreview" zoomScale="85" zoomScaleNormal="100" zoomScaleSheetLayoutView="85" workbookViewId="0">
      <selection activeCell="A17" sqref="A17:J17"/>
    </sheetView>
  </sheetViews>
  <sheetFormatPr defaultColWidth="9" defaultRowHeight="35.25" customHeight="1"/>
  <cols>
    <col min="1" max="1" width="7" style="253" customWidth="1"/>
    <col min="2" max="2" width="7.5" style="253" customWidth="1"/>
    <col min="3" max="3" width="6.375" style="253" customWidth="1"/>
    <col min="4" max="7" width="7" style="253" customWidth="1"/>
    <col min="8" max="8" width="7.5" style="253" customWidth="1"/>
    <col min="9" max="9" width="6.375" style="253" customWidth="1"/>
    <col min="10" max="12" width="7" style="253" customWidth="1"/>
    <col min="13" max="13" width="10.375" style="253" bestFit="1" customWidth="1"/>
    <col min="14" max="14" width="62.5" style="253" customWidth="1"/>
    <col min="15" max="15" width="47.25" style="253" customWidth="1"/>
    <col min="16" max="45" width="9" style="253" customWidth="1"/>
    <col min="46" max="16384" width="9" style="253"/>
  </cols>
  <sheetData>
    <row r="1" spans="1:23" ht="45" customHeight="1" thickBot="1">
      <c r="B1" s="253">
        <v>1</v>
      </c>
    </row>
    <row r="2" spans="1:23" ht="60" customHeight="1" thickBot="1">
      <c r="A2" s="462" t="s">
        <v>646</v>
      </c>
      <c r="B2" s="353"/>
      <c r="C2" s="353"/>
      <c r="D2" s="353"/>
      <c r="E2" s="353"/>
      <c r="F2" s="353"/>
      <c r="G2" s="353"/>
      <c r="H2" s="353"/>
      <c r="I2" s="353"/>
      <c r="J2" s="353"/>
      <c r="K2" s="353"/>
      <c r="L2" s="410"/>
      <c r="P2" s="451" t="s">
        <v>609</v>
      </c>
      <c r="Q2" s="377"/>
      <c r="R2" s="377"/>
      <c r="S2" s="377"/>
      <c r="T2" s="377"/>
      <c r="U2" s="377"/>
      <c r="V2" s="377"/>
      <c r="W2" s="378"/>
    </row>
    <row r="3" spans="1:23" ht="35.1" customHeight="1">
      <c r="A3" s="453" t="s">
        <v>472</v>
      </c>
      <c r="B3" s="454"/>
      <c r="C3" s="463" t="str">
        <f>VLOOKUP($B$1,공사현장대장!$A$5:$T$330,4)</f>
        <v>홍천농고 공간재구조화 증개축공사 건설폐기물처리용역</v>
      </c>
      <c r="D3" s="393"/>
      <c r="E3" s="393"/>
      <c r="F3" s="393"/>
      <c r="G3" s="393"/>
      <c r="H3" s="393"/>
      <c r="I3" s="393"/>
      <c r="J3" s="393"/>
      <c r="K3" s="393"/>
      <c r="L3" s="454"/>
      <c r="N3" s="71"/>
      <c r="P3" s="183" t="str">
        <f>"1. 관련: 행정과-(2026. . .)"</f>
        <v>1. 관련: 행정과-(2026. . .)</v>
      </c>
      <c r="W3" s="184"/>
    </row>
    <row r="4" spans="1:23" ht="35.1" customHeight="1">
      <c r="A4" s="456" t="s">
        <v>647</v>
      </c>
      <c r="B4" s="366"/>
      <c r="C4" s="455" t="str">
        <f>VLOOKUP($B$1,공사현장대장!$A$5:$T$330,16)&amp;"  대표: "&amp;VLOOKUP($B$1,공사현장대장!$A$5:$T$330,17)&amp;"   ("&amp;VLOOKUP($B$1,공사현장대장!$A$5:$T$330,18)&amp;")"</f>
        <v>금강도시환경(주)  대표: 이재훈   (경기도양주시은현면은현로352-39())</v>
      </c>
      <c r="D4" s="365"/>
      <c r="E4" s="365"/>
      <c r="F4" s="365"/>
      <c r="G4" s="365"/>
      <c r="H4" s="365"/>
      <c r="I4" s="365"/>
      <c r="J4" s="365"/>
      <c r="K4" s="365"/>
      <c r="L4" s="366"/>
      <c r="N4" s="71"/>
      <c r="P4" s="183" t="str">
        <f>"2. 2026년 시설사업계획에 의거 "&amp;TEXT(C5,"yyyy.MM.dd.")&amp;" "&amp;VLOOKUP($B$1,공사현장대장!$A$5:$T$330,16)&amp;" 대표 "&amp;VLOOKUP($B$1,공사현장대장!$A$5:$T$330,17)&amp;"와 계약하여 현재 시공 중에 있는 "&amp;"「"&amp;VLOOKUP($B$1,공사현장대장!$A$5:$T$330,4)&amp;"」"&amp;"에 대하여 아래와 같이 설계변경하고자 합니다. "</f>
        <v xml:space="preserve">2. 2026년 시설사업계획에 의거 2024.10.07. 금강도시환경(주) 대표 이재훈와 계약하여 현재 시공 중에 있는 「홍천농고 공간재구조화 증개축공사 건설폐기물처리용역」에 대하여 아래와 같이 설계변경하고자 합니다. </v>
      </c>
      <c r="W4" s="184"/>
    </row>
    <row r="5" spans="1:23" ht="35.1" customHeight="1">
      <c r="A5" s="456" t="s">
        <v>477</v>
      </c>
      <c r="B5" s="366"/>
      <c r="C5" s="452" t="str">
        <f>TEXT(VLOOKUP($B$1,공사현장대장!$A$5:$T$330,10),"yyyy년 mm월 dd일")</f>
        <v>2024년 10월 07일</v>
      </c>
      <c r="D5" s="365"/>
      <c r="E5" s="365"/>
      <c r="F5" s="69"/>
      <c r="G5" s="69"/>
      <c r="H5" s="69"/>
      <c r="I5" s="69"/>
      <c r="J5" s="69"/>
      <c r="K5" s="69"/>
      <c r="L5" s="70"/>
      <c r="P5" s="183" t="str">
        <f>"  가. 공 사 명: "&amp;VLOOKUP($B$1,공사현장대장!$A$5:$T$330,4)</f>
        <v xml:space="preserve">  가. 공 사 명: 홍천농고 공간재구조화 증개축공사 건설폐기물처리용역</v>
      </c>
      <c r="W5" s="184"/>
    </row>
    <row r="6" spans="1:23" ht="35.1" customHeight="1">
      <c r="A6" s="456" t="s">
        <v>478</v>
      </c>
      <c r="B6" s="366"/>
      <c r="C6" s="452" t="str">
        <f>TEXT(VLOOKUP($B$1,공사현장대장!$A$5:$T$330,11),"yyyy년 mm월 dd일")</f>
        <v>2024년 10월 15일</v>
      </c>
      <c r="D6" s="365"/>
      <c r="E6" s="365"/>
      <c r="F6" s="69"/>
      <c r="G6" s="69"/>
      <c r="H6" s="69"/>
      <c r="I6" s="69"/>
      <c r="J6" s="69"/>
      <c r="K6" s="69"/>
      <c r="L6" s="70"/>
      <c r="P6" s="183" t="str">
        <f>"  나. 공사기간: "&amp;TEXT(C6,"yyyy. MM. dd.")&amp;" ~ "&amp;TEXT(C7,"yyyy. MM. dd.")</f>
        <v xml:space="preserve">  나. 공사기간: 2024. 10. 15. ~ 2026. 05. 25.</v>
      </c>
      <c r="W6" s="184"/>
    </row>
    <row r="7" spans="1:23" ht="35.1" customHeight="1" thickBot="1">
      <c r="A7" s="456" t="s">
        <v>648</v>
      </c>
      <c r="B7" s="366"/>
      <c r="C7" s="452" t="str">
        <f>TEXT(VLOOKUP($B$1,공사현장대장!$A$5:$T$330,13),"yyyy년 mm월 dd일")</f>
        <v>2026년 05월 25일</v>
      </c>
      <c r="D7" s="365"/>
      <c r="E7" s="365"/>
      <c r="F7" s="69"/>
      <c r="G7" s="69"/>
      <c r="H7" s="69"/>
      <c r="I7" s="69"/>
      <c r="J7" s="69"/>
      <c r="K7" s="69"/>
      <c r="L7" s="70"/>
      <c r="P7" s="183" t="str">
        <f>"  다. 계 약 자: "&amp;VLOOKUP($B$1,공사현장대장!$A$5:$T$330,16)&amp;"  대표 "&amp;VLOOKUP($B$1,공사현장대장!$A$5:$T$330,17)</f>
        <v xml:space="preserve">  다. 계 약 자: 금강도시환경(주)  대표 이재훈</v>
      </c>
      <c r="W7" s="184"/>
    </row>
    <row r="8" spans="1:23" ht="35.1" customHeight="1" thickBot="1">
      <c r="A8" s="458" t="s">
        <v>13</v>
      </c>
      <c r="B8" s="366"/>
      <c r="C8" s="457" t="str">
        <f>"금"&amp;TEXT(VLOOKUP($B$1,공사현장대장!$A$5:$T$330,9),"#,###")&amp;"원"&amp;" (금"&amp;TEXT(VLOOKUP($B$1,공사현장대장!$A$5:$T$330,9),"[dbnum4]")&amp;"원)"</f>
        <v>금786,542,000원 (금칠억팔천육백오십사만이천원)</v>
      </c>
      <c r="D8" s="365"/>
      <c r="E8" s="365"/>
      <c r="F8" s="365"/>
      <c r="G8" s="365"/>
      <c r="H8" s="365"/>
      <c r="I8" s="365"/>
      <c r="J8" s="365"/>
      <c r="K8" s="365"/>
      <c r="L8" s="366"/>
      <c r="N8" s="68" t="s">
        <v>649</v>
      </c>
      <c r="P8" s="183" t="str">
        <f>"  라. 계약금액: "&amp;C8</f>
        <v xml:space="preserve">  라. 계약금액: 금786,542,000원 (금칠억팔천육백오십사만이천원)</v>
      </c>
      <c r="W8" s="184"/>
    </row>
    <row r="9" spans="1:23" ht="35.1" customHeight="1" thickBot="1">
      <c r="A9" s="458" t="s">
        <v>626</v>
      </c>
      <c r="B9" s="366"/>
      <c r="C9" s="457" t="str">
        <f>"금"&amp;TEXT(N9,"#,###")&amp;"원"&amp;" (금"&amp;TEXT(N9,"[dbnum4]")&amp;"원)"</f>
        <v>금39,330,400원 (금삼천구백삼십삼만사백원)</v>
      </c>
      <c r="D9" s="365"/>
      <c r="E9" s="365"/>
      <c r="F9" s="365"/>
      <c r="G9" s="365"/>
      <c r="H9" s="365"/>
      <c r="I9" s="365"/>
      <c r="J9" s="365"/>
      <c r="K9" s="365"/>
      <c r="L9" s="366"/>
      <c r="N9" s="299">
        <v>39330400</v>
      </c>
      <c r="P9" s="183" t="str">
        <f>"  마. 변경금액: "&amp;"금"&amp;TEXT(N9,"#,###")&amp;"원"&amp;" (금"&amp;TEXT(N9,"[dbnum4]")&amp;"원)"</f>
        <v xml:space="preserve">  마. 변경금액: 금39,330,400원 (금삼천구백삼십삼만사백원)</v>
      </c>
      <c r="W9" s="184"/>
    </row>
    <row r="10" spans="1:23" ht="35.1" customHeight="1">
      <c r="A10" s="458" t="s">
        <v>650</v>
      </c>
      <c r="B10" s="366"/>
      <c r="C10" s="457" t="str">
        <f>"금"&amp;TEXT(N14,"#,###")&amp;"원"&amp;" (금"&amp;TEXT(N14,"[dbnum4]")&amp;"원)"</f>
        <v>금39,330,400원 (금삼천구백삼십삼만사백원)</v>
      </c>
      <c r="D10" s="365"/>
      <c r="E10" s="365"/>
      <c r="F10" s="365"/>
      <c r="G10" s="365"/>
      <c r="H10" s="365"/>
      <c r="I10" s="365"/>
      <c r="J10" s="365"/>
      <c r="K10" s="365"/>
      <c r="L10" s="366"/>
      <c r="P10" s="183" t="str">
        <f>"  바. 변 경 액: "&amp;"금"&amp;TEXT(N14,"#,###")&amp;"원"&amp;" (금"&amp;TEXT(N14,"[dbnum4]")&amp;"원)"</f>
        <v xml:space="preserve">  바. 변 경 액: 금39,330,400원 (금삼천구백삼십삼만사백원)</v>
      </c>
      <c r="W10" s="184"/>
    </row>
    <row r="11" spans="1:23" ht="12" customHeight="1">
      <c r="A11" s="53"/>
      <c r="B11" s="54"/>
      <c r="C11" s="54"/>
      <c r="D11" s="54"/>
      <c r="E11" s="54"/>
      <c r="F11" s="54"/>
      <c r="G11" s="54"/>
      <c r="H11" s="54"/>
      <c r="I11" s="54"/>
      <c r="J11" s="54"/>
      <c r="K11" s="54"/>
      <c r="L11" s="55"/>
      <c r="P11" s="183" t="str">
        <f>"  사. 변경사유: 붙임“설계변경 검토내용”참조"</f>
        <v xml:space="preserve">  사. 변경사유: 붙임“설계변경 검토내용”참조</v>
      </c>
      <c r="W11" s="184"/>
    </row>
    <row r="12" spans="1:23" ht="9" customHeight="1">
      <c r="A12" s="56"/>
      <c r="B12" s="461" t="s">
        <v>651</v>
      </c>
      <c r="C12" s="460"/>
      <c r="D12" s="460"/>
      <c r="E12" s="460"/>
      <c r="F12" s="460"/>
      <c r="G12" s="460"/>
      <c r="H12" s="460"/>
      <c r="I12" s="460"/>
      <c r="J12" s="460"/>
      <c r="K12" s="460"/>
      <c r="L12" s="57"/>
      <c r="N12" s="58"/>
      <c r="P12" s="183" t="str">
        <f>"붙임  1. 설계변경 내역서 1부."</f>
        <v>붙임  1. 설계변경 내역서 1부.</v>
      </c>
      <c r="W12" s="184"/>
    </row>
    <row r="13" spans="1:23" ht="22.5" customHeight="1">
      <c r="A13" s="56"/>
      <c r="B13" s="460"/>
      <c r="C13" s="460"/>
      <c r="D13" s="460"/>
      <c r="E13" s="460"/>
      <c r="F13" s="460"/>
      <c r="G13" s="460"/>
      <c r="H13" s="460"/>
      <c r="I13" s="460"/>
      <c r="J13" s="460"/>
      <c r="K13" s="460"/>
      <c r="L13" s="55"/>
      <c r="N13" s="261"/>
      <c r="P13" s="183" t="str">
        <f>"      2. 변경 과업지시서 1부.  끝."</f>
        <v xml:space="preserve">      2. 변경 과업지시서 1부.  끝.</v>
      </c>
      <c r="W13" s="184"/>
    </row>
    <row r="14" spans="1:23" ht="57.75" customHeight="1" thickBot="1">
      <c r="A14" s="56"/>
      <c r="B14" s="460"/>
      <c r="C14" s="460"/>
      <c r="D14" s="460"/>
      <c r="E14" s="460"/>
      <c r="F14" s="460"/>
      <c r="G14" s="460"/>
      <c r="H14" s="460"/>
      <c r="I14" s="460"/>
      <c r="J14" s="460"/>
      <c r="K14" s="460"/>
      <c r="L14" s="57"/>
      <c r="N14" s="300">
        <f>(N9-(VLOOKUP($B$1,공사현장대장!$A$5:$T$330,7)))</f>
        <v>39330400</v>
      </c>
      <c r="P14" s="185" t="str">
        <f>"      3. 설계변경동의서 1부.  끝."</f>
        <v xml:space="preserve">      3. 설계변경동의서 1부.  끝.</v>
      </c>
      <c r="Q14" s="186"/>
      <c r="R14" s="186"/>
      <c r="S14" s="186"/>
      <c r="T14" s="186"/>
      <c r="U14" s="186"/>
      <c r="V14" s="186"/>
      <c r="W14" s="187"/>
    </row>
    <row r="15" spans="1:23" ht="34.5" customHeight="1">
      <c r="A15" s="56"/>
      <c r="B15" s="460"/>
      <c r="C15" s="460"/>
      <c r="D15" s="460"/>
      <c r="E15" s="460"/>
      <c r="F15" s="460"/>
      <c r="G15" s="460"/>
      <c r="H15" s="460"/>
      <c r="I15" s="460"/>
      <c r="J15" s="460"/>
      <c r="K15" s="460"/>
      <c r="L15" s="57"/>
      <c r="N15" s="261"/>
    </row>
    <row r="16" spans="1:23" ht="18" customHeight="1">
      <c r="A16" s="459">
        <f ca="1">TODAY()</f>
        <v>46195</v>
      </c>
      <c r="B16" s="460"/>
      <c r="C16" s="460"/>
      <c r="D16" s="460"/>
      <c r="E16" s="460"/>
      <c r="F16" s="460"/>
      <c r="G16" s="460"/>
      <c r="H16" s="460"/>
      <c r="I16" s="460"/>
      <c r="J16" s="460"/>
      <c r="K16" s="460"/>
      <c r="L16" s="363"/>
      <c r="N16" s="261"/>
    </row>
    <row r="17" spans="1:16" ht="18" customHeight="1">
      <c r="A17" s="59"/>
      <c r="B17" s="60"/>
      <c r="C17" s="60"/>
      <c r="D17" s="60"/>
      <c r="E17" s="60"/>
      <c r="F17" s="60"/>
      <c r="G17" s="60"/>
      <c r="H17" s="60"/>
      <c r="I17" s="60"/>
      <c r="J17" s="60"/>
      <c r="K17" s="60"/>
      <c r="L17" s="61"/>
      <c r="N17" s="261"/>
    </row>
    <row r="18" spans="1:16" ht="30" customHeight="1">
      <c r="A18" s="56"/>
      <c r="B18" s="62"/>
      <c r="C18" s="65"/>
      <c r="D18" s="65"/>
      <c r="E18" s="65"/>
      <c r="F18" s="63"/>
      <c r="G18" s="54"/>
      <c r="H18" s="63"/>
      <c r="I18" s="63"/>
      <c r="J18" s="63"/>
      <c r="K18" s="64"/>
      <c r="L18" s="57"/>
      <c r="N18" s="261"/>
    </row>
    <row r="19" spans="1:16" ht="30" customHeight="1">
      <c r="A19" s="56"/>
      <c r="B19" s="65"/>
      <c r="C19" s="65"/>
      <c r="D19" s="54"/>
      <c r="E19" s="65"/>
      <c r="F19" s="63" t="s">
        <v>652</v>
      </c>
      <c r="G19" s="54"/>
      <c r="H19" s="63"/>
      <c r="I19" s="63"/>
      <c r="J19" s="63"/>
      <c r="K19" s="66" t="str">
        <f>VLOOKUP($B$1,공사현장대장!$A$5:$T$330,16)</f>
        <v>금강도시환경(주)</v>
      </c>
      <c r="L19" s="67"/>
      <c r="N19" s="261"/>
      <c r="P19" s="62"/>
    </row>
    <row r="20" spans="1:16" ht="30" customHeight="1">
      <c r="A20" s="56"/>
      <c r="B20" s="65"/>
      <c r="C20" s="65"/>
      <c r="D20" s="301"/>
      <c r="E20" s="65"/>
      <c r="F20" s="63" t="s">
        <v>653</v>
      </c>
      <c r="G20" s="54"/>
      <c r="H20" s="63"/>
      <c r="I20" s="63"/>
      <c r="J20" s="63"/>
      <c r="K20" s="66" t="str">
        <f>VLOOKUP($B$1,공사현장대장!$A$5:$T$330,17)&amp;"  (인)"</f>
        <v>이재훈  (인)</v>
      </c>
      <c r="L20" s="57"/>
      <c r="N20" s="261"/>
    </row>
    <row r="21" spans="1:16" ht="30" customHeight="1">
      <c r="A21" s="56"/>
      <c r="B21" s="65"/>
      <c r="C21" s="65"/>
      <c r="D21" s="301"/>
      <c r="E21" s="65"/>
      <c r="F21" s="65"/>
      <c r="G21" s="54"/>
      <c r="H21" s="65"/>
      <c r="I21" s="65"/>
      <c r="J21" s="65"/>
      <c r="K21" s="65"/>
      <c r="L21" s="57"/>
      <c r="N21" s="72"/>
    </row>
    <row r="22" spans="1:16" ht="25.5" customHeight="1">
      <c r="A22" s="450" t="str">
        <f>"강원특별자치도"&amp;설정탭!B6&amp;"교육지원청교육장 귀하"</f>
        <v>강원특별자치도강원특별자치도홍천교육지원청교육장 귀하</v>
      </c>
      <c r="B22" s="353"/>
      <c r="C22" s="353"/>
      <c r="D22" s="353"/>
      <c r="E22" s="353"/>
      <c r="F22" s="353"/>
      <c r="G22" s="353"/>
      <c r="H22" s="353"/>
      <c r="I22" s="353"/>
      <c r="J22" s="353"/>
      <c r="K22" s="353"/>
      <c r="L22" s="410"/>
      <c r="N22" s="72"/>
    </row>
  </sheetData>
  <mergeCells count="21">
    <mergeCell ref="B12:K15"/>
    <mergeCell ref="A6:B6"/>
    <mergeCell ref="A2:L2"/>
    <mergeCell ref="A7:B7"/>
    <mergeCell ref="C3:L3"/>
    <mergeCell ref="A22:L22"/>
    <mergeCell ref="P2:W2"/>
    <mergeCell ref="C7:E7"/>
    <mergeCell ref="A3:B3"/>
    <mergeCell ref="C4:L4"/>
    <mergeCell ref="A5:B5"/>
    <mergeCell ref="C10:L10"/>
    <mergeCell ref="A8:B8"/>
    <mergeCell ref="C6:E6"/>
    <mergeCell ref="A4:B4"/>
    <mergeCell ref="C5:E5"/>
    <mergeCell ref="C9:L9"/>
    <mergeCell ref="A10:B10"/>
    <mergeCell ref="A9:B9"/>
    <mergeCell ref="A16:L16"/>
    <mergeCell ref="C8:L8"/>
  </mergeCells>
  <phoneticPr fontId="3" type="noConversion"/>
  <printOptions horizontalCentered="1" verticalCentered="1"/>
  <pageMargins left="0.70866141732283472" right="0.70866141732283472" top="0.78740157480314965" bottom="0.78740157480314965" header="0" footer="0.3937007874015748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돌아가기">
                <anchor moveWithCells="1" sizeWithCells="1">
                  <from>
                    <xdr:col>8</xdr:col>
                    <xdr:colOff>57150</xdr:colOff>
                    <xdr:row>0</xdr:row>
                    <xdr:rowOff>57150</xdr:rowOff>
                  </from>
                  <to>
                    <xdr:col>11</xdr:col>
                    <xdr:colOff>495300</xdr:colOff>
                    <xdr:row>0</xdr:row>
                    <xdr:rowOff>495300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V45"/>
  <sheetViews>
    <sheetView view="pageBreakPreview" zoomScaleNormal="100" zoomScaleSheetLayoutView="100" workbookViewId="0">
      <selection activeCell="A16" sqref="A16:K16"/>
    </sheetView>
  </sheetViews>
  <sheetFormatPr defaultColWidth="10" defaultRowHeight="16.5" customHeight="1"/>
  <cols>
    <col min="1" max="1" width="7.625" style="254" customWidth="1"/>
    <col min="2" max="2" width="12.625" style="254" customWidth="1"/>
    <col min="3" max="4" width="7.375" style="254" customWidth="1"/>
    <col min="5" max="5" width="8" style="254" customWidth="1"/>
    <col min="6" max="7" width="7.375" style="254" customWidth="1"/>
    <col min="8" max="8" width="7.875" style="254" customWidth="1"/>
    <col min="9" max="9" width="2.625" style="254" customWidth="1"/>
    <col min="10" max="10" width="4.125" style="254" customWidth="1"/>
    <col min="11" max="11" width="5.625" style="254" customWidth="1"/>
    <col min="12" max="12" width="6.25" style="254" customWidth="1"/>
    <col min="13" max="13" width="6.75" style="254" customWidth="1"/>
    <col min="14" max="43" width="10" style="254" customWidth="1"/>
    <col min="44" max="16384" width="10" style="254"/>
  </cols>
  <sheetData>
    <row r="1" spans="1:13" ht="39.950000000000003" customHeight="1" thickBot="1">
      <c r="B1" s="254">
        <v>26</v>
      </c>
      <c r="K1" s="76"/>
    </row>
    <row r="2" spans="1:13" ht="39.950000000000003" customHeight="1">
      <c r="K2" s="77"/>
    </row>
    <row r="3" spans="1:13" ht="50.1" customHeight="1">
      <c r="A3" s="466" t="s">
        <v>654</v>
      </c>
      <c r="B3" s="467"/>
      <c r="C3" s="467"/>
      <c r="D3" s="467"/>
      <c r="E3" s="467"/>
      <c r="F3" s="467"/>
      <c r="G3" s="467"/>
      <c r="H3" s="467"/>
      <c r="I3" s="467"/>
      <c r="J3" s="467"/>
      <c r="K3" s="467"/>
      <c r="L3" s="467"/>
      <c r="M3" s="426"/>
    </row>
    <row r="4" spans="1:13" ht="40.5" customHeight="1">
      <c r="A4" s="471" t="s">
        <v>655</v>
      </c>
      <c r="B4" s="454"/>
      <c r="C4" s="498" t="str">
        <f>VLOOKUP($B$1,공사현장대장!$A$5:$T$173,4)</f>
        <v>홍천농고 공간재구조화 증개축공사 레미콘 구입</v>
      </c>
      <c r="D4" s="393"/>
      <c r="E4" s="393"/>
      <c r="F4" s="393"/>
      <c r="G4" s="393"/>
      <c r="H4" s="393"/>
      <c r="I4" s="393"/>
      <c r="J4" s="393"/>
      <c r="K4" s="393"/>
      <c r="L4" s="393"/>
      <c r="M4" s="394"/>
    </row>
    <row r="5" spans="1:13" ht="30.75" customHeight="1">
      <c r="A5" s="504" t="s">
        <v>656</v>
      </c>
      <c r="B5" s="366"/>
      <c r="C5" s="257" t="s">
        <v>657</v>
      </c>
      <c r="D5" s="506" t="str">
        <f>VLOOKUP($B$1,공사현장대장!$A$5:$T$173,16)</f>
        <v>강원북부레미콘사업협동조합</v>
      </c>
      <c r="E5" s="365"/>
      <c r="F5" s="365"/>
      <c r="G5" s="366"/>
      <c r="H5" s="257" t="s">
        <v>658</v>
      </c>
      <c r="I5" s="124"/>
      <c r="J5" s="472" t="str">
        <f>VLOOKUP($B$1,공사현장대장!$A$5:$T$173,17)</f>
        <v>이충선</v>
      </c>
      <c r="K5" s="365"/>
      <c r="L5" s="365"/>
      <c r="M5" s="125"/>
    </row>
    <row r="6" spans="1:13" ht="30.75" customHeight="1">
      <c r="A6" s="504" t="s">
        <v>13</v>
      </c>
      <c r="B6" s="384"/>
      <c r="C6" s="483" t="str">
        <f>"금"&amp;TEXT(VLOOKUP($B$1,공사현장대장!$A$5:$T$173,9),"#,###")&amp;"원(금"&amp;TEXT(VLOOKUP($B$1,공사현장대장!$A$5:$T$173,9),"[dbnum4]")&amp;"원)"</f>
        <v>금731,110,500원(금칠억삼천일백일십일만오백원)</v>
      </c>
      <c r="D6" s="356"/>
      <c r="E6" s="356"/>
      <c r="F6" s="356"/>
      <c r="G6" s="356"/>
      <c r="H6" s="356"/>
      <c r="I6" s="356"/>
      <c r="J6" s="356"/>
      <c r="K6" s="356"/>
      <c r="L6" s="356"/>
      <c r="M6" s="357"/>
    </row>
    <row r="7" spans="1:13" ht="18" customHeight="1">
      <c r="A7" s="408"/>
      <c r="B7" s="492"/>
      <c r="C7" s="385"/>
      <c r="D7" s="380"/>
      <c r="E7" s="380"/>
      <c r="F7" s="380"/>
      <c r="G7" s="380"/>
      <c r="H7" s="380"/>
      <c r="I7" s="380"/>
      <c r="J7" s="380"/>
      <c r="K7" s="380"/>
      <c r="L7" s="380"/>
      <c r="M7" s="387"/>
    </row>
    <row r="8" spans="1:13" ht="30.75" hidden="1" customHeight="1">
      <c r="A8" s="408"/>
      <c r="B8" s="492"/>
      <c r="C8" s="473" t="str">
        <f>"   금"&amp;TEXT(VLOOKUP($B$1,공사현장대장!$A$5:$T$173,7),"#,###")&amp;"원(금"&amp;TEXT(VLOOKUP($B$1,공사현장대장!$A$5:$T$173,7),"[dbnum4]")&amp;"원)"</f>
        <v xml:space="preserve">   금원(금영원)</v>
      </c>
      <c r="D8" s="356"/>
      <c r="E8" s="356"/>
      <c r="F8" s="356"/>
      <c r="G8" s="356"/>
      <c r="H8" s="356"/>
      <c r="I8" s="356"/>
      <c r="J8" s="356"/>
      <c r="K8" s="356"/>
      <c r="L8" s="356"/>
      <c r="M8" s="357"/>
    </row>
    <row r="9" spans="1:13" ht="30.75" hidden="1" customHeight="1">
      <c r="A9" s="516"/>
      <c r="B9" s="381"/>
      <c r="C9" s="503" t="str">
        <f>"    조달수수료: 금"&amp;TEXT(VLOOKUP($B$1,공사현장대장!$A$5:$T$173,8),"#,###")&amp;"원(금"&amp;TEXT(VLOOKUP($B$1,공사현장대장!$A$5:$T$173,8),"[dbnum4]")&amp;"원)"</f>
        <v xml:space="preserve">    조달수수료: 금원(금영원)</v>
      </c>
      <c r="D9" s="356"/>
      <c r="E9" s="356"/>
      <c r="F9" s="356"/>
      <c r="G9" s="356"/>
      <c r="H9" s="356"/>
      <c r="I9" s="356"/>
      <c r="J9" s="356"/>
      <c r="K9" s="356"/>
      <c r="L9" s="356"/>
      <c r="M9" s="357"/>
    </row>
    <row r="10" spans="1:13" ht="38.25" customHeight="1">
      <c r="A10" s="468" t="s">
        <v>659</v>
      </c>
      <c r="B10" s="366"/>
      <c r="C10" s="501" t="str">
        <f>TEXT(VLOOKUP($B$1,공사현장대장!$A$5:$T$173,10),"yyyy년 mm월 dd일")</f>
        <v>2024년 09월 03일</v>
      </c>
      <c r="D10" s="365"/>
      <c r="E10" s="365"/>
      <c r="F10" s="365"/>
      <c r="G10" s="365"/>
      <c r="H10" s="365"/>
      <c r="I10" s="365"/>
      <c r="J10" s="365"/>
      <c r="K10" s="365"/>
      <c r="L10" s="365"/>
      <c r="M10" s="368"/>
    </row>
    <row r="11" spans="1:13" ht="38.25" customHeight="1">
      <c r="A11" s="504" t="s">
        <v>631</v>
      </c>
      <c r="B11" s="366"/>
      <c r="C11" s="486" t="str">
        <f>TEXT(VLOOKUP($B$1,공사현장대장!$A$5:$T$173,13),"yyyy년 mm월 dd일")</f>
        <v>2026년 06월 23일</v>
      </c>
      <c r="D11" s="365"/>
      <c r="E11" s="365"/>
      <c r="F11" s="365"/>
      <c r="G11" s="365"/>
      <c r="H11" s="365"/>
      <c r="I11" s="365"/>
      <c r="J11" s="365"/>
      <c r="K11" s="365"/>
      <c r="L11" s="365"/>
      <c r="M11" s="368"/>
    </row>
    <row r="12" spans="1:13" ht="38.25" customHeight="1">
      <c r="A12" s="504" t="s">
        <v>660</v>
      </c>
      <c r="B12" s="366"/>
      <c r="C12" s="470" t="str">
        <f>TEXT(VLOOKUP($B$1,공사현장대장!$A$5:$T$173,14),"yyyy년 mm월 dd일")</f>
        <v>1900년 01월 00일</v>
      </c>
      <c r="D12" s="365"/>
      <c r="E12" s="365"/>
      <c r="F12" s="365"/>
      <c r="G12" s="365"/>
      <c r="H12" s="365"/>
      <c r="I12" s="365"/>
      <c r="J12" s="365"/>
      <c r="K12" s="365"/>
      <c r="L12" s="365"/>
      <c r="M12" s="368"/>
    </row>
    <row r="13" spans="1:13" ht="38.25" customHeight="1">
      <c r="A13" s="468" t="s">
        <v>661</v>
      </c>
      <c r="B13" s="366"/>
      <c r="C13" s="470">
        <f>VLOOKUP($B$1,공사현장대장!$A$5:$T$173,15)</f>
        <v>0</v>
      </c>
      <c r="D13" s="365"/>
      <c r="E13" s="365"/>
      <c r="F13" s="365"/>
      <c r="G13" s="365"/>
      <c r="H13" s="365"/>
      <c r="I13" s="365"/>
      <c r="J13" s="365"/>
      <c r="K13" s="365"/>
      <c r="L13" s="365"/>
      <c r="M13" s="368"/>
    </row>
    <row r="14" spans="1:13" ht="30.75" customHeight="1">
      <c r="A14" s="504" t="s">
        <v>662</v>
      </c>
      <c r="B14" s="366"/>
      <c r="C14" s="517" t="str">
        <f>VLOOKUP($B$1,공사현장대장!$A$5:$T$173,2)</f>
        <v>홍천농고</v>
      </c>
      <c r="D14" s="365"/>
      <c r="E14" s="365"/>
      <c r="F14" s="365"/>
      <c r="G14" s="365"/>
      <c r="H14" s="365"/>
      <c r="I14" s="365"/>
      <c r="J14" s="365"/>
      <c r="K14" s="365"/>
      <c r="L14" s="365"/>
      <c r="M14" s="368"/>
    </row>
    <row r="15" spans="1:13" ht="35.1" customHeight="1">
      <c r="A15" s="468" t="s">
        <v>663</v>
      </c>
      <c r="B15" s="366"/>
      <c r="C15" s="475" t="s">
        <v>664</v>
      </c>
      <c r="D15" s="365"/>
      <c r="E15" s="365"/>
      <c r="F15" s="365"/>
      <c r="G15" s="365"/>
      <c r="H15" s="365"/>
      <c r="I15" s="365"/>
      <c r="J15" s="365"/>
      <c r="K15" s="366"/>
      <c r="L15" s="499" t="s">
        <v>665</v>
      </c>
      <c r="M15" s="368"/>
    </row>
    <row r="16" spans="1:13" ht="35.1" customHeight="1">
      <c r="A16" s="500" t="s">
        <v>666</v>
      </c>
      <c r="B16" s="356"/>
      <c r="C16" s="356"/>
      <c r="D16" s="356"/>
      <c r="E16" s="356"/>
      <c r="F16" s="356"/>
      <c r="G16" s="356"/>
      <c r="H16" s="356"/>
      <c r="I16" s="356"/>
      <c r="J16" s="356"/>
      <c r="K16" s="384"/>
      <c r="L16" s="499" t="s">
        <v>667</v>
      </c>
      <c r="M16" s="368"/>
    </row>
    <row r="17" spans="1:13" ht="30.75" customHeight="1">
      <c r="A17" s="491">
        <f>C13</f>
        <v>0</v>
      </c>
      <c r="B17" s="465"/>
      <c r="C17" s="465"/>
      <c r="D17" s="465"/>
      <c r="E17" s="465"/>
      <c r="F17" s="465"/>
      <c r="G17" s="465"/>
      <c r="H17" s="465"/>
      <c r="I17" s="465"/>
      <c r="J17" s="465"/>
      <c r="K17" s="492"/>
      <c r="L17" s="499" t="s">
        <v>605</v>
      </c>
      <c r="M17" s="368"/>
    </row>
    <row r="18" spans="1:13" ht="35.1" customHeight="1">
      <c r="A18" s="126"/>
      <c r="B18" s="127" t="s">
        <v>635</v>
      </c>
      <c r="C18" s="127" t="str">
        <f>"행정과"</f>
        <v>행정과</v>
      </c>
      <c r="D18" s="127"/>
      <c r="E18" s="127" t="str">
        <f>설정탭!B7</f>
        <v>지방시설주사</v>
      </c>
      <c r="F18" s="127"/>
      <c r="G18" s="127" t="s">
        <v>668</v>
      </c>
      <c r="H18" s="127" t="str">
        <f>설정탭!C7</f>
        <v>김종인</v>
      </c>
      <c r="I18" s="127"/>
      <c r="J18" s="127" t="s">
        <v>605</v>
      </c>
      <c r="K18" s="128"/>
      <c r="L18" s="499" t="s">
        <v>669</v>
      </c>
      <c r="M18" s="368"/>
    </row>
    <row r="19" spans="1:13" ht="30.75" customHeight="1">
      <c r="A19" s="129"/>
      <c r="B19" s="131"/>
      <c r="C19" s="131"/>
      <c r="D19" s="131"/>
      <c r="E19" s="131" t="str">
        <f>설정탭!B8</f>
        <v>지방시설주사보</v>
      </c>
      <c r="F19" s="131"/>
      <c r="G19" s="153" t="s">
        <v>670</v>
      </c>
      <c r="H19" s="131" t="str">
        <f>설정탭!C8</f>
        <v>한상우</v>
      </c>
      <c r="I19" s="131"/>
      <c r="J19" s="131" t="s">
        <v>605</v>
      </c>
      <c r="K19" s="130"/>
      <c r="L19" s="499" t="s">
        <v>605</v>
      </c>
      <c r="M19" s="368"/>
    </row>
    <row r="20" spans="1:13" ht="5.25" customHeight="1">
      <c r="A20" s="515"/>
      <c r="B20" s="465"/>
      <c r="C20" s="465"/>
      <c r="D20" s="465"/>
      <c r="E20" s="465"/>
      <c r="F20" s="465"/>
      <c r="G20" s="465"/>
      <c r="H20" s="465"/>
      <c r="I20" s="465"/>
      <c r="J20" s="465"/>
      <c r="K20" s="131"/>
      <c r="L20" s="131"/>
      <c r="M20" s="132"/>
    </row>
    <row r="21" spans="1:13" ht="35.1" hidden="1" customHeight="1">
      <c r="A21" s="133"/>
      <c r="B21" s="127" t="s">
        <v>606</v>
      </c>
      <c r="C21" s="360"/>
      <c r="D21" s="465"/>
      <c r="E21" s="465"/>
      <c r="F21" s="465"/>
      <c r="G21" s="444"/>
      <c r="H21" s="465"/>
      <c r="I21" s="136"/>
      <c r="J21" s="131" t="s">
        <v>605</v>
      </c>
      <c r="K21" s="134"/>
      <c r="L21" s="131"/>
      <c r="M21" s="132"/>
    </row>
    <row r="22" spans="1:13" ht="24.95" customHeight="1">
      <c r="A22" s="133"/>
      <c r="B22" s="135" t="s">
        <v>606</v>
      </c>
      <c r="C22" s="302" t="str">
        <f>C14</f>
        <v>홍천농고</v>
      </c>
      <c r="D22" s="302"/>
      <c r="E22" s="302"/>
      <c r="F22" s="302"/>
      <c r="G22" s="153" t="s">
        <v>670</v>
      </c>
      <c r="H22" s="134"/>
      <c r="I22" s="134"/>
      <c r="J22" s="135" t="s">
        <v>605</v>
      </c>
      <c r="K22" s="131"/>
      <c r="L22" s="490"/>
      <c r="M22" s="363"/>
    </row>
    <row r="23" spans="1:13" ht="24.95" customHeight="1">
      <c r="A23" s="133"/>
      <c r="B23" s="134"/>
      <c r="C23" s="134"/>
      <c r="D23" s="134"/>
      <c r="E23" s="134"/>
      <c r="F23" s="134"/>
      <c r="G23" s="134"/>
      <c r="H23" s="134"/>
      <c r="I23" s="134"/>
      <c r="J23" s="134"/>
      <c r="K23" s="134"/>
      <c r="L23" s="131"/>
      <c r="M23" s="132"/>
    </row>
    <row r="24" spans="1:13" ht="9.9499999999999993" customHeight="1">
      <c r="A24" s="133"/>
      <c r="B24" s="134"/>
      <c r="C24" s="134"/>
      <c r="D24" s="134"/>
      <c r="E24" s="134"/>
      <c r="F24" s="134"/>
      <c r="G24" s="134"/>
      <c r="H24" s="134"/>
      <c r="I24" s="134"/>
      <c r="J24" s="134"/>
      <c r="K24" s="134"/>
      <c r="L24" s="131"/>
      <c r="M24" s="132"/>
    </row>
    <row r="25" spans="1:13" ht="24" customHeight="1">
      <c r="A25" s="133"/>
      <c r="B25" s="134"/>
      <c r="C25" s="134"/>
      <c r="D25" s="134"/>
      <c r="E25" s="134"/>
      <c r="F25" s="134"/>
      <c r="G25" s="134"/>
      <c r="H25" s="134"/>
      <c r="I25" s="134"/>
      <c r="J25" s="134"/>
      <c r="K25" s="134"/>
      <c r="L25" s="131"/>
      <c r="M25" s="132"/>
    </row>
    <row r="26" spans="1:13" ht="24.95" customHeight="1">
      <c r="A26" s="133"/>
      <c r="B26" s="134"/>
      <c r="C26" s="134"/>
      <c r="D26" s="134"/>
      <c r="E26" s="134"/>
      <c r="F26" s="134"/>
      <c r="G26" s="134"/>
      <c r="H26" s="134"/>
      <c r="I26" s="134"/>
      <c r="J26" s="134"/>
      <c r="K26" s="134"/>
      <c r="L26" s="131"/>
      <c r="M26" s="132"/>
    </row>
    <row r="27" spans="1:13" ht="24.95" customHeight="1">
      <c r="A27" s="133"/>
      <c r="B27" s="134"/>
      <c r="C27" s="134"/>
      <c r="D27" s="134"/>
      <c r="E27" s="134"/>
      <c r="F27" s="134"/>
      <c r="G27" s="134"/>
      <c r="H27" s="134"/>
      <c r="I27" s="134"/>
      <c r="J27" s="134"/>
      <c r="K27" s="134"/>
      <c r="L27" s="131"/>
      <c r="M27" s="132"/>
    </row>
    <row r="28" spans="1:13" ht="27.75" customHeight="1">
      <c r="A28" s="133"/>
      <c r="B28" s="134"/>
      <c r="C28" s="134"/>
      <c r="D28" s="134"/>
      <c r="E28" s="134"/>
      <c r="F28" s="134"/>
      <c r="G28" s="134"/>
      <c r="H28" s="134"/>
      <c r="I28" s="134"/>
      <c r="J28" s="134"/>
      <c r="K28" s="134"/>
      <c r="L28" s="131"/>
      <c r="M28" s="132"/>
    </row>
    <row r="29" spans="1:13" ht="33.75" customHeight="1">
      <c r="A29" s="122" t="s">
        <v>645</v>
      </c>
      <c r="B29" s="106"/>
      <c r="C29" s="106"/>
      <c r="D29" s="106"/>
      <c r="E29" s="106"/>
      <c r="F29" s="106"/>
      <c r="G29" s="106"/>
      <c r="H29" s="106"/>
      <c r="I29" s="106"/>
      <c r="J29" s="106"/>
      <c r="K29" s="106"/>
      <c r="L29" s="106"/>
      <c r="M29" s="118"/>
    </row>
    <row r="32" spans="1:13" ht="39.950000000000003" customHeight="1">
      <c r="A32" s="466" t="s">
        <v>671</v>
      </c>
      <c r="B32" s="467"/>
      <c r="C32" s="467"/>
      <c r="D32" s="467"/>
      <c r="E32" s="467"/>
      <c r="F32" s="467"/>
      <c r="G32" s="467"/>
      <c r="H32" s="467"/>
      <c r="I32" s="467"/>
      <c r="J32" s="467"/>
      <c r="K32" s="467"/>
      <c r="L32" s="467"/>
      <c r="M32" s="426"/>
    </row>
    <row r="33" spans="1:22" ht="39.950000000000003" customHeight="1" thickBot="1">
      <c r="A33" s="78" t="s">
        <v>18</v>
      </c>
      <c r="B33" s="258" t="s">
        <v>672</v>
      </c>
      <c r="C33" s="476" t="s">
        <v>673</v>
      </c>
      <c r="D33" s="477"/>
      <c r="E33" s="478"/>
      <c r="F33" s="258" t="s">
        <v>674</v>
      </c>
      <c r="G33" s="482" t="s">
        <v>675</v>
      </c>
      <c r="H33" s="477"/>
      <c r="I33" s="485" t="s">
        <v>676</v>
      </c>
      <c r="J33" s="478"/>
      <c r="K33" s="256" t="s">
        <v>677</v>
      </c>
      <c r="L33" s="79" t="s">
        <v>678</v>
      </c>
      <c r="M33" s="80" t="s">
        <v>679</v>
      </c>
    </row>
    <row r="34" spans="1:22" ht="39.950000000000003" customHeight="1" thickTop="1">
      <c r="A34" s="81"/>
      <c r="B34" s="82" t="s">
        <v>680</v>
      </c>
      <c r="C34" s="487" t="s">
        <v>681</v>
      </c>
      <c r="D34" s="488"/>
      <c r="E34" s="489"/>
      <c r="F34" s="147" t="s">
        <v>682</v>
      </c>
      <c r="G34" s="505">
        <v>5760000</v>
      </c>
      <c r="H34" s="489"/>
      <c r="I34" s="518">
        <v>2</v>
      </c>
      <c r="J34" s="489"/>
      <c r="K34" s="303"/>
      <c r="L34" s="304">
        <v>2</v>
      </c>
      <c r="M34" s="305">
        <f t="shared" ref="M34:M43" si="0">I34-K34-L34</f>
        <v>0</v>
      </c>
      <c r="P34" s="254" t="s">
        <v>683</v>
      </c>
    </row>
    <row r="35" spans="1:22" ht="39.950000000000003" customHeight="1">
      <c r="A35" s="81"/>
      <c r="B35" s="82" t="s">
        <v>680</v>
      </c>
      <c r="C35" s="469" t="s">
        <v>684</v>
      </c>
      <c r="D35" s="365"/>
      <c r="E35" s="366"/>
      <c r="F35" s="148" t="s">
        <v>682</v>
      </c>
      <c r="G35" s="474">
        <v>5850000</v>
      </c>
      <c r="H35" s="366"/>
      <c r="I35" s="479">
        <v>2</v>
      </c>
      <c r="J35" s="366"/>
      <c r="K35" s="306"/>
      <c r="L35" s="307">
        <v>2</v>
      </c>
      <c r="M35" s="308">
        <f t="shared" si="0"/>
        <v>0</v>
      </c>
    </row>
    <row r="36" spans="1:22" ht="39.950000000000003" customHeight="1">
      <c r="A36" s="81"/>
      <c r="B36" s="82" t="s">
        <v>680</v>
      </c>
      <c r="C36" s="469" t="s">
        <v>685</v>
      </c>
      <c r="D36" s="365"/>
      <c r="E36" s="366"/>
      <c r="F36" s="309" t="s">
        <v>682</v>
      </c>
      <c r="G36" s="497">
        <v>1584000</v>
      </c>
      <c r="H36" s="366"/>
      <c r="I36" s="502">
        <v>4</v>
      </c>
      <c r="J36" s="366"/>
      <c r="K36" s="310"/>
      <c r="L36" s="311">
        <v>4</v>
      </c>
      <c r="M36" s="312">
        <f t="shared" si="0"/>
        <v>0</v>
      </c>
    </row>
    <row r="37" spans="1:22" ht="39.950000000000003" customHeight="1">
      <c r="A37" s="81"/>
      <c r="B37" s="82" t="s">
        <v>680</v>
      </c>
      <c r="C37" s="481" t="s">
        <v>686</v>
      </c>
      <c r="D37" s="365"/>
      <c r="E37" s="366"/>
      <c r="F37" s="309" t="s">
        <v>682</v>
      </c>
      <c r="G37" s="497">
        <v>594000</v>
      </c>
      <c r="H37" s="366"/>
      <c r="I37" s="502">
        <v>2</v>
      </c>
      <c r="J37" s="366"/>
      <c r="K37" s="310"/>
      <c r="L37" s="311">
        <v>2</v>
      </c>
      <c r="M37" s="312">
        <f t="shared" si="0"/>
        <v>0</v>
      </c>
    </row>
    <row r="38" spans="1:22" ht="39.950000000000003" customHeight="1">
      <c r="A38" s="120"/>
      <c r="B38" s="119" t="s">
        <v>680</v>
      </c>
      <c r="C38" s="493" t="s">
        <v>687</v>
      </c>
      <c r="D38" s="365"/>
      <c r="E38" s="366"/>
      <c r="F38" s="309" t="s">
        <v>682</v>
      </c>
      <c r="G38" s="497">
        <v>1188000</v>
      </c>
      <c r="H38" s="366"/>
      <c r="I38" s="496">
        <v>4</v>
      </c>
      <c r="J38" s="366"/>
      <c r="K38" s="309"/>
      <c r="L38" s="313">
        <v>4</v>
      </c>
      <c r="M38" s="314">
        <f t="shared" si="0"/>
        <v>0</v>
      </c>
      <c r="O38" s="464" t="s">
        <v>688</v>
      </c>
      <c r="P38" s="465"/>
      <c r="Q38" s="465"/>
      <c r="R38" s="465"/>
      <c r="S38" s="465"/>
      <c r="T38" s="465"/>
      <c r="U38" s="465"/>
      <c r="V38" s="465"/>
    </row>
    <row r="39" spans="1:22" ht="39.950000000000003" customHeight="1">
      <c r="A39" s="121"/>
      <c r="B39" s="255" t="s">
        <v>680</v>
      </c>
      <c r="C39" s="481" t="s">
        <v>689</v>
      </c>
      <c r="D39" s="365"/>
      <c r="E39" s="366"/>
      <c r="F39" s="309" t="s">
        <v>682</v>
      </c>
      <c r="G39" s="510">
        <v>1188000</v>
      </c>
      <c r="H39" s="366"/>
      <c r="I39" s="484">
        <v>4</v>
      </c>
      <c r="J39" s="366"/>
      <c r="K39" s="309"/>
      <c r="L39" s="315">
        <v>4</v>
      </c>
      <c r="M39" s="314">
        <f t="shared" si="0"/>
        <v>0</v>
      </c>
      <c r="O39" s="254" t="s">
        <v>690</v>
      </c>
    </row>
    <row r="40" spans="1:22" ht="39.950000000000003" customHeight="1">
      <c r="A40" s="81"/>
      <c r="B40" s="83" t="s">
        <v>680</v>
      </c>
      <c r="C40" s="493" t="s">
        <v>691</v>
      </c>
      <c r="D40" s="365"/>
      <c r="E40" s="366"/>
      <c r="F40" s="309" t="s">
        <v>682</v>
      </c>
      <c r="G40" s="497">
        <v>216000</v>
      </c>
      <c r="H40" s="366"/>
      <c r="I40" s="484">
        <v>1</v>
      </c>
      <c r="J40" s="366"/>
      <c r="K40" s="309"/>
      <c r="L40" s="315">
        <v>1</v>
      </c>
      <c r="M40" s="314">
        <f t="shared" si="0"/>
        <v>0</v>
      </c>
    </row>
    <row r="41" spans="1:22" ht="39.950000000000003" customHeight="1">
      <c r="A41" s="81"/>
      <c r="B41" s="83" t="s">
        <v>680</v>
      </c>
      <c r="C41" s="493" t="s">
        <v>692</v>
      </c>
      <c r="D41" s="365"/>
      <c r="E41" s="366"/>
      <c r="F41" s="309" t="s">
        <v>682</v>
      </c>
      <c r="G41" s="497">
        <v>3764000</v>
      </c>
      <c r="H41" s="366"/>
      <c r="I41" s="484">
        <v>2</v>
      </c>
      <c r="J41" s="366"/>
      <c r="K41" s="309"/>
      <c r="L41" s="315">
        <v>2</v>
      </c>
      <c r="M41" s="314">
        <f t="shared" si="0"/>
        <v>0</v>
      </c>
    </row>
    <row r="42" spans="1:22" ht="39.950000000000003" customHeight="1">
      <c r="A42" s="81"/>
      <c r="B42" s="83" t="s">
        <v>680</v>
      </c>
      <c r="C42" s="493" t="s">
        <v>693</v>
      </c>
      <c r="D42" s="365"/>
      <c r="E42" s="366"/>
      <c r="F42" s="309" t="s">
        <v>682</v>
      </c>
      <c r="G42" s="497">
        <v>3000000</v>
      </c>
      <c r="H42" s="366"/>
      <c r="I42" s="484">
        <v>2</v>
      </c>
      <c r="J42" s="366"/>
      <c r="K42" s="309"/>
      <c r="L42" s="315">
        <v>2</v>
      </c>
      <c r="M42" s="314">
        <f t="shared" si="0"/>
        <v>0</v>
      </c>
    </row>
    <row r="43" spans="1:22" ht="39.950000000000003" customHeight="1" thickBot="1">
      <c r="A43" s="84"/>
      <c r="B43" s="238" t="s">
        <v>680</v>
      </c>
      <c r="C43" s="507" t="s">
        <v>694</v>
      </c>
      <c r="D43" s="508"/>
      <c r="E43" s="509"/>
      <c r="F43" s="309" t="s">
        <v>682</v>
      </c>
      <c r="G43" s="497">
        <v>1067000</v>
      </c>
      <c r="H43" s="366"/>
      <c r="I43" s="484">
        <v>1</v>
      </c>
      <c r="J43" s="366"/>
      <c r="K43" s="309"/>
      <c r="L43" s="315">
        <v>1</v>
      </c>
      <c r="M43" s="314">
        <f t="shared" si="0"/>
        <v>0</v>
      </c>
    </row>
    <row r="44" spans="1:22" ht="20.100000000000001" customHeight="1" thickTop="1">
      <c r="A44" s="514" t="s">
        <v>695</v>
      </c>
      <c r="B44" s="412"/>
      <c r="C44" s="412"/>
      <c r="D44" s="412"/>
      <c r="E44" s="412"/>
      <c r="F44" s="511"/>
      <c r="G44" s="480">
        <f>SUM(G34:H43)</f>
        <v>24211000</v>
      </c>
      <c r="H44" s="511"/>
      <c r="I44" s="480">
        <f>SUM(I34:J43)</f>
        <v>24</v>
      </c>
      <c r="J44" s="511"/>
      <c r="K44" s="480">
        <f>SUM(K34:K43)</f>
        <v>0</v>
      </c>
      <c r="L44" s="480">
        <f>SUM(L34:L43)</f>
        <v>24</v>
      </c>
      <c r="M44" s="494">
        <f>SUM(M34:M43)</f>
        <v>0</v>
      </c>
    </row>
    <row r="45" spans="1:22" ht="20.100000000000001" customHeight="1">
      <c r="A45" s="409"/>
      <c r="B45" s="353"/>
      <c r="C45" s="353"/>
      <c r="D45" s="353"/>
      <c r="E45" s="353"/>
      <c r="F45" s="513"/>
      <c r="G45" s="512"/>
      <c r="H45" s="513"/>
      <c r="I45" s="512"/>
      <c r="J45" s="513"/>
      <c r="K45" s="337"/>
      <c r="L45" s="337"/>
      <c r="M45" s="495"/>
    </row>
  </sheetData>
  <mergeCells count="74">
    <mergeCell ref="C43:E43"/>
    <mergeCell ref="G39:H39"/>
    <mergeCell ref="K44:K45"/>
    <mergeCell ref="C36:E36"/>
    <mergeCell ref="G44:H45"/>
    <mergeCell ref="I44:J45"/>
    <mergeCell ref="I43:J43"/>
    <mergeCell ref="G40:H40"/>
    <mergeCell ref="I40:J40"/>
    <mergeCell ref="A44:F45"/>
    <mergeCell ref="G42:H42"/>
    <mergeCell ref="C40:E40"/>
    <mergeCell ref="G36:H36"/>
    <mergeCell ref="I36:J36"/>
    <mergeCell ref="C41:E41"/>
    <mergeCell ref="G43:H43"/>
    <mergeCell ref="C9:M9"/>
    <mergeCell ref="C38:E38"/>
    <mergeCell ref="A12:B12"/>
    <mergeCell ref="G34:H34"/>
    <mergeCell ref="A5:B5"/>
    <mergeCell ref="A14:B14"/>
    <mergeCell ref="D5:G5"/>
    <mergeCell ref="A20:J20"/>
    <mergeCell ref="A6:B9"/>
    <mergeCell ref="A32:M32"/>
    <mergeCell ref="L16:M16"/>
    <mergeCell ref="A11:B11"/>
    <mergeCell ref="C14:M14"/>
    <mergeCell ref="L19:M19"/>
    <mergeCell ref="L17:M17"/>
    <mergeCell ref="I34:J34"/>
    <mergeCell ref="C39:E39"/>
    <mergeCell ref="I41:J41"/>
    <mergeCell ref="L15:M15"/>
    <mergeCell ref="A16:K16"/>
    <mergeCell ref="C10:M10"/>
    <mergeCell ref="L18:M18"/>
    <mergeCell ref="G37:H37"/>
    <mergeCell ref="I37:J37"/>
    <mergeCell ref="G21:H21"/>
    <mergeCell ref="A15:B15"/>
    <mergeCell ref="L44:L45"/>
    <mergeCell ref="C12:M12"/>
    <mergeCell ref="C37:E37"/>
    <mergeCell ref="G33:H33"/>
    <mergeCell ref="C6:M7"/>
    <mergeCell ref="I42:J42"/>
    <mergeCell ref="I33:J33"/>
    <mergeCell ref="C11:M11"/>
    <mergeCell ref="I39:J39"/>
    <mergeCell ref="C34:E34"/>
    <mergeCell ref="L22:M22"/>
    <mergeCell ref="A17:K17"/>
    <mergeCell ref="C42:E42"/>
    <mergeCell ref="M44:M45"/>
    <mergeCell ref="I38:J38"/>
    <mergeCell ref="G41:H41"/>
    <mergeCell ref="O38:V38"/>
    <mergeCell ref="C21:F21"/>
    <mergeCell ref="A3:M3"/>
    <mergeCell ref="A13:B13"/>
    <mergeCell ref="C35:E35"/>
    <mergeCell ref="C13:M13"/>
    <mergeCell ref="A4:B4"/>
    <mergeCell ref="J5:L5"/>
    <mergeCell ref="C8:M8"/>
    <mergeCell ref="G35:H35"/>
    <mergeCell ref="C15:K15"/>
    <mergeCell ref="C33:E33"/>
    <mergeCell ref="I35:J35"/>
    <mergeCell ref="A10:B10"/>
    <mergeCell ref="C4:M4"/>
    <mergeCell ref="G38:H38"/>
  </mergeCells>
  <phoneticPr fontId="3" type="noConversion"/>
  <pageMargins left="0.78740157480314965" right="0.78740157480314965" top="1.417322834645669" bottom="0.23622047244094491" header="0.31496062992125978" footer="0.31496062992125978"/>
  <pageSetup paperSize="9" scale="83" fitToHeight="0" orientation="portrait" r:id="rId1"/>
  <rowBreaks count="1" manualBreakCount="1">
    <brk id="29"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돌아가기">
                <anchor moveWithCells="1" sizeWithCells="1">
                  <from>
                    <xdr:col>11</xdr:col>
                    <xdr:colOff>381000</xdr:colOff>
                    <xdr:row>0</xdr:row>
                    <xdr:rowOff>447675</xdr:rowOff>
                  </from>
                  <to>
                    <xdr:col>15</xdr:col>
                    <xdr:colOff>19050</xdr:colOff>
                    <xdr:row>1</xdr:row>
                    <xdr:rowOff>447675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A1:AH3474"/>
  <sheetViews>
    <sheetView showZeros="0" view="pageBreakPreview" zoomScale="85" zoomScaleNormal="100" zoomScaleSheetLayoutView="85" workbookViewId="0">
      <selection activeCell="L15" sqref="L15"/>
    </sheetView>
  </sheetViews>
  <sheetFormatPr defaultColWidth="10" defaultRowHeight="14.25" customHeight="1"/>
  <cols>
    <col min="1" max="1" width="5.625" style="192" customWidth="1"/>
    <col min="2" max="2" width="8.25" style="192" customWidth="1"/>
    <col min="3" max="3" width="6.375" style="192" customWidth="1"/>
    <col min="4" max="4" width="8.625" style="192" customWidth="1"/>
    <col min="5" max="5" width="9.625" style="192" customWidth="1"/>
    <col min="6" max="6" width="3.625" style="192" customWidth="1"/>
    <col min="7" max="7" width="6.375" style="192" customWidth="1"/>
    <col min="8" max="8" width="7.75" style="192" customWidth="1"/>
    <col min="9" max="9" width="3.625" style="192" customWidth="1"/>
    <col min="10" max="10" width="5.875" style="192" customWidth="1"/>
    <col min="11" max="11" width="14.75" style="192" customWidth="1"/>
    <col min="12" max="12" width="7.625" style="192" customWidth="1"/>
    <col min="13" max="13" width="18.375" style="192" hidden="1" customWidth="1"/>
    <col min="14" max="14" width="17.25" style="192" hidden="1" customWidth="1"/>
    <col min="15" max="17" width="9" style="192" customWidth="1"/>
    <col min="18" max="47" width="10" style="192" customWidth="1"/>
    <col min="48" max="16384" width="10" style="192"/>
  </cols>
  <sheetData>
    <row r="1" spans="1:34" ht="45" customHeight="1">
      <c r="B1" s="192">
        <v>21</v>
      </c>
    </row>
    <row r="2" spans="1:34" ht="18" customHeight="1" thickBot="1">
      <c r="A2" s="115" t="s">
        <v>589</v>
      </c>
    </row>
    <row r="3" spans="1:34" ht="39" customHeight="1" thickBot="1">
      <c r="A3" s="354" t="s">
        <v>696</v>
      </c>
      <c r="B3" s="353"/>
      <c r="C3" s="353"/>
      <c r="D3" s="353"/>
      <c r="E3" s="353"/>
      <c r="F3" s="353"/>
      <c r="G3" s="353"/>
      <c r="H3" s="353"/>
      <c r="I3" s="353"/>
      <c r="J3" s="353"/>
      <c r="K3" s="353"/>
      <c r="L3" s="353"/>
      <c r="M3" s="7"/>
      <c r="N3" s="174"/>
    </row>
    <row r="4" spans="1:34" s="247" customFormat="1" ht="36" customHeight="1">
      <c r="A4" s="528" t="s">
        <v>697</v>
      </c>
      <c r="B4" s="454"/>
      <c r="C4" s="526" t="str">
        <f>VLOOKUP($B$1,공사현장대장!$A$5:$T$293,4)</f>
        <v>홍천농고 공간재구조화 증개축공사 메시형울타리 구입</v>
      </c>
      <c r="D4" s="393"/>
      <c r="E4" s="393"/>
      <c r="F4" s="393"/>
      <c r="G4" s="393"/>
      <c r="H4" s="393"/>
      <c r="I4" s="393"/>
      <c r="J4" s="393"/>
      <c r="K4" s="393"/>
      <c r="L4" s="394"/>
      <c r="O4" s="192"/>
      <c r="Q4" s="192"/>
      <c r="AA4" s="192"/>
      <c r="AH4" s="192"/>
    </row>
    <row r="5" spans="1:34" s="247" customFormat="1" ht="15" customHeight="1">
      <c r="A5" s="388" t="s">
        <v>482</v>
      </c>
      <c r="B5" s="384"/>
      <c r="C5" s="530" t="str">
        <f>TEXT(VLOOKUP($B$1,공사현장대장!$A$5:$T$293,16)&amp;"  대표: "&amp;VLOOKUP($B$1,공사현장대장!$A$5:$T$293,17),"[dbnum4]")</f>
        <v>(주) 가온  대표: 김성길</v>
      </c>
      <c r="D5" s="356"/>
      <c r="E5" s="356"/>
      <c r="F5" s="356"/>
      <c r="G5" s="356"/>
      <c r="H5" s="356"/>
      <c r="I5" s="356"/>
      <c r="J5" s="356"/>
      <c r="K5" s="356"/>
      <c r="L5" s="357"/>
      <c r="O5" s="192"/>
      <c r="Q5" s="192"/>
      <c r="AA5" s="192"/>
      <c r="AH5" s="192"/>
    </row>
    <row r="6" spans="1:34" s="247" customFormat="1" ht="20.25" customHeight="1">
      <c r="A6" s="516"/>
      <c r="B6" s="381"/>
      <c r="C6" s="385"/>
      <c r="D6" s="380"/>
      <c r="E6" s="380"/>
      <c r="F6" s="380"/>
      <c r="G6" s="380"/>
      <c r="H6" s="380"/>
      <c r="I6" s="380"/>
      <c r="J6" s="380"/>
      <c r="K6" s="380"/>
      <c r="L6" s="387"/>
      <c r="O6" s="192"/>
      <c r="Q6" s="192"/>
      <c r="AA6" s="192"/>
      <c r="AH6" s="192"/>
    </row>
    <row r="7" spans="1:34" s="247" customFormat="1" ht="18" customHeight="1">
      <c r="A7" s="388" t="s">
        <v>13</v>
      </c>
      <c r="B7" s="384"/>
      <c r="C7" s="527" t="str">
        <f>"금"&amp;TEXT(VLOOKUP($B$1,공사현장대장!$A$5:$T$293,7),"#,###")&amp;"원"</f>
        <v>금원</v>
      </c>
      <c r="D7" s="356"/>
      <c r="E7" s="356"/>
      <c r="F7" s="384"/>
      <c r="G7" s="529" t="s">
        <v>698</v>
      </c>
      <c r="H7" s="384"/>
      <c r="I7" s="527" t="str">
        <f>"금"&amp;TEXT(VLOOKUP($B$1,공사현장대장!$A$5:$T$293,7),"#,###")&amp;"원"</f>
        <v>금원</v>
      </c>
      <c r="J7" s="356"/>
      <c r="K7" s="356"/>
      <c r="L7" s="384"/>
      <c r="M7" s="8"/>
      <c r="N7" s="9"/>
      <c r="O7" s="9"/>
      <c r="Q7" s="192"/>
      <c r="AA7" s="192"/>
      <c r="AH7" s="192"/>
    </row>
    <row r="8" spans="1:34" s="247" customFormat="1" ht="18" customHeight="1">
      <c r="A8" s="516"/>
      <c r="B8" s="381"/>
      <c r="C8" s="531" t="str">
        <f>"(금"&amp;TEXT(VLOOKUP($B$1,공사현장대장!$A$5:$T$293,7),"[dbnum4]")&amp;"원)"</f>
        <v>(금영원)</v>
      </c>
      <c r="D8" s="380"/>
      <c r="E8" s="380"/>
      <c r="F8" s="381"/>
      <c r="G8" s="385"/>
      <c r="H8" s="381"/>
      <c r="I8" s="531" t="str">
        <f>"(금"&amp;TEXT(VLOOKUP($B$1,공사현장대장!$A$5:$T$293,7),"[dbnum4]")&amp;"원)"</f>
        <v>(금영원)</v>
      </c>
      <c r="J8" s="380"/>
      <c r="K8" s="380"/>
      <c r="L8" s="381"/>
      <c r="N8" s="9"/>
      <c r="O8" s="9"/>
      <c r="Q8" s="192"/>
      <c r="AA8" s="192"/>
      <c r="AH8" s="192"/>
    </row>
    <row r="9" spans="1:34" s="247" customFormat="1" ht="36" customHeight="1">
      <c r="A9" s="388" t="s">
        <v>594</v>
      </c>
      <c r="B9" s="366"/>
      <c r="C9" s="522">
        <f>VLOOKUP($B$1,공사현장대장!$A$5:$T$293,10)</f>
        <v>46136</v>
      </c>
      <c r="D9" s="365"/>
      <c r="E9" s="365"/>
      <c r="F9" s="366"/>
      <c r="G9" s="529" t="s">
        <v>630</v>
      </c>
      <c r="H9" s="366"/>
      <c r="I9" s="524">
        <f>VLOOKUP($B$1,공사현장대장!$A$5:$T$293,11)</f>
        <v>46136</v>
      </c>
      <c r="J9" s="365"/>
      <c r="K9" s="365"/>
      <c r="L9" s="368"/>
      <c r="N9" s="287"/>
      <c r="O9" s="287"/>
      <c r="Q9" s="192"/>
      <c r="AA9" s="192"/>
      <c r="AH9" s="192"/>
    </row>
    <row r="10" spans="1:34" s="247" customFormat="1" ht="36" customHeight="1">
      <c r="A10" s="388" t="s">
        <v>631</v>
      </c>
      <c r="B10" s="366"/>
      <c r="C10" s="522">
        <f>VLOOKUP($B$1,공사현장대장!$A$5:$T$293,13)</f>
        <v>46186</v>
      </c>
      <c r="D10" s="365"/>
      <c r="E10" s="365"/>
      <c r="F10" s="366"/>
      <c r="G10" s="519" t="s">
        <v>699</v>
      </c>
      <c r="H10" s="366"/>
      <c r="I10" s="524">
        <f>VLOOKUP($B$1,공사현장대장!$A$5:$T$293,14)</f>
        <v>0</v>
      </c>
      <c r="J10" s="365"/>
      <c r="K10" s="365"/>
      <c r="L10" s="368"/>
      <c r="O10" s="192"/>
      <c r="Q10" s="192"/>
      <c r="AA10" s="192"/>
      <c r="AH10" s="192"/>
    </row>
    <row r="11" spans="1:34" s="247" customFormat="1" ht="36" customHeight="1">
      <c r="A11" s="388" t="s">
        <v>633</v>
      </c>
      <c r="B11" s="366"/>
      <c r="C11" s="522">
        <f>VLOOKUP($B$1,공사현장대장!$A$5:$T$293,15)</f>
        <v>0</v>
      </c>
      <c r="D11" s="365"/>
      <c r="E11" s="365"/>
      <c r="F11" s="366"/>
      <c r="G11" s="529" t="s">
        <v>601</v>
      </c>
      <c r="H11" s="366"/>
      <c r="I11" s="521"/>
      <c r="J11" s="365"/>
      <c r="K11" s="365"/>
      <c r="L11" s="368"/>
      <c r="M11" s="10"/>
      <c r="O11" s="192"/>
      <c r="Q11" s="192"/>
      <c r="AA11" s="192"/>
      <c r="AH11" s="192"/>
    </row>
    <row r="12" spans="1:34" s="247" customFormat="1" ht="22.5" customHeight="1">
      <c r="A12" s="525"/>
      <c r="B12" s="359"/>
      <c r="C12" s="359"/>
      <c r="D12" s="359"/>
      <c r="E12" s="359"/>
      <c r="F12" s="359"/>
      <c r="G12" s="359"/>
      <c r="H12" s="359"/>
      <c r="I12" s="359"/>
      <c r="J12" s="359"/>
      <c r="K12" s="359"/>
      <c r="L12" s="363"/>
      <c r="O12" s="192"/>
      <c r="Q12" s="192"/>
      <c r="AA12" s="192"/>
      <c r="AH12" s="192"/>
    </row>
    <row r="13" spans="1:34" s="247" customFormat="1" ht="40.5" customHeight="1">
      <c r="A13" s="362" t="s">
        <v>700</v>
      </c>
      <c r="B13" s="359"/>
      <c r="C13" s="359"/>
      <c r="D13" s="359"/>
      <c r="E13" s="359"/>
      <c r="F13" s="359"/>
      <c r="G13" s="359"/>
      <c r="H13" s="359"/>
      <c r="I13" s="359"/>
      <c r="J13" s="359"/>
      <c r="K13" s="359"/>
      <c r="L13" s="363"/>
      <c r="N13" s="316"/>
      <c r="O13" s="192"/>
      <c r="Q13" s="192"/>
      <c r="AA13" s="192"/>
      <c r="AH13" s="192"/>
    </row>
    <row r="14" spans="1:34" s="247" customFormat="1" ht="15" customHeight="1">
      <c r="A14" s="520"/>
      <c r="B14" s="359"/>
      <c r="C14" s="359"/>
      <c r="D14" s="359"/>
      <c r="E14" s="359"/>
      <c r="F14" s="359"/>
      <c r="G14" s="359"/>
      <c r="H14" s="359"/>
      <c r="I14" s="359"/>
      <c r="J14" s="359"/>
      <c r="K14" s="359"/>
      <c r="L14" s="363"/>
      <c r="O14" s="192"/>
      <c r="Q14" s="192"/>
      <c r="AA14" s="192"/>
      <c r="AH14" s="192"/>
    </row>
    <row r="15" spans="1:34" s="247" customFormat="1" ht="42" customHeight="1">
      <c r="A15" s="523">
        <f>C11</f>
        <v>0</v>
      </c>
      <c r="B15" s="359"/>
      <c r="C15" s="359"/>
      <c r="D15" s="359"/>
      <c r="E15" s="359"/>
      <c r="F15" s="359"/>
      <c r="G15" s="359"/>
      <c r="H15" s="359"/>
      <c r="I15" s="359"/>
      <c r="J15" s="359"/>
      <c r="K15" s="359"/>
      <c r="L15" s="363"/>
      <c r="O15" s="192"/>
      <c r="Q15" s="192"/>
      <c r="AA15" s="192"/>
      <c r="AH15" s="192"/>
    </row>
    <row r="16" spans="1:34" s="247" customFormat="1" ht="15" customHeight="1">
      <c r="A16" s="520"/>
      <c r="B16" s="359"/>
      <c r="C16" s="359"/>
      <c r="D16" s="359"/>
      <c r="E16" s="359"/>
      <c r="F16" s="359"/>
      <c r="G16" s="359"/>
      <c r="H16" s="359"/>
      <c r="I16" s="359"/>
      <c r="J16" s="359"/>
      <c r="K16" s="359"/>
      <c r="L16" s="363"/>
      <c r="O16" s="192"/>
      <c r="Q16" s="192"/>
      <c r="AA16" s="192"/>
      <c r="AH16" s="192"/>
    </row>
    <row r="17" spans="1:34" s="247" customFormat="1" ht="15" customHeight="1">
      <c r="A17" s="520"/>
      <c r="B17" s="359"/>
      <c r="C17" s="359"/>
      <c r="D17" s="359"/>
      <c r="E17" s="359"/>
      <c r="F17" s="359"/>
      <c r="G17" s="359"/>
      <c r="H17" s="359"/>
      <c r="I17" s="359"/>
      <c r="J17" s="359"/>
      <c r="K17" s="359"/>
      <c r="L17" s="363"/>
      <c r="O17" s="192"/>
      <c r="Q17" s="192"/>
      <c r="AA17" s="192"/>
      <c r="AH17" s="192"/>
    </row>
    <row r="18" spans="1:34" s="247" customFormat="1" ht="15" customHeight="1">
      <c r="A18" s="520"/>
      <c r="B18" s="359"/>
      <c r="C18" s="359"/>
      <c r="D18" s="359"/>
      <c r="E18" s="359"/>
      <c r="F18" s="359"/>
      <c r="G18" s="359"/>
      <c r="H18" s="359"/>
      <c r="I18" s="359"/>
      <c r="J18" s="359"/>
      <c r="K18" s="359"/>
      <c r="L18" s="363"/>
      <c r="O18" s="192"/>
      <c r="Q18" s="192"/>
      <c r="AA18" s="192"/>
      <c r="AH18" s="192"/>
    </row>
    <row r="19" spans="1:34" s="247" customFormat="1" ht="118.5" customHeight="1">
      <c r="A19" s="93"/>
      <c r="B19" s="94"/>
      <c r="C19" s="94"/>
      <c r="D19" s="94"/>
      <c r="E19" s="94"/>
      <c r="F19" s="94"/>
      <c r="G19" s="94"/>
      <c r="H19" s="94"/>
      <c r="I19" s="94"/>
      <c r="J19" s="94"/>
      <c r="K19" s="94"/>
      <c r="L19" s="95"/>
      <c r="O19" s="192"/>
      <c r="Q19" s="192"/>
      <c r="AA19" s="192"/>
      <c r="AH19" s="192"/>
    </row>
    <row r="20" spans="1:34" s="247" customFormat="1" ht="39" customHeight="1">
      <c r="A20" s="110"/>
      <c r="B20" s="117" t="s">
        <v>635</v>
      </c>
      <c r="C20" s="372" t="str">
        <f>설정탭!B6&amp;"교육지원청 학교지원센터"</f>
        <v>강원특별자치도홍천교육지원청 학교지원센터</v>
      </c>
      <c r="D20" s="359"/>
      <c r="E20" s="359"/>
      <c r="F20" s="359"/>
      <c r="G20" s="359"/>
      <c r="H20" s="372" t="str">
        <f>설정탭!B7</f>
        <v>지방시설주사</v>
      </c>
      <c r="I20" s="359"/>
      <c r="J20" s="359"/>
      <c r="K20" s="114" t="str">
        <f>설정탭!C7</f>
        <v>김종인</v>
      </c>
      <c r="L20" s="101" t="s">
        <v>605</v>
      </c>
      <c r="O20" s="192"/>
      <c r="Q20" s="192"/>
      <c r="AA20" s="192"/>
      <c r="AH20" s="192"/>
    </row>
    <row r="21" spans="1:34" s="247" customFormat="1" ht="24.95" customHeight="1">
      <c r="A21" s="110"/>
      <c r="B21" s="117"/>
      <c r="C21" s="117" t="s">
        <v>701</v>
      </c>
      <c r="D21" s="136"/>
      <c r="E21" s="136"/>
      <c r="F21" s="136"/>
      <c r="G21" s="117"/>
      <c r="H21" s="372" t="str">
        <f>설정탭!B8</f>
        <v>지방시설주사보</v>
      </c>
      <c r="I21" s="359"/>
      <c r="J21" s="359"/>
      <c r="K21" s="114" t="str">
        <f>설정탭!C8</f>
        <v>한상우</v>
      </c>
      <c r="L21" s="101" t="s">
        <v>605</v>
      </c>
      <c r="O21" s="192"/>
      <c r="Q21" s="192"/>
      <c r="AA21" s="192"/>
      <c r="AH21" s="192"/>
    </row>
    <row r="22" spans="1:34" s="247" customFormat="1" ht="24.95" customHeight="1">
      <c r="A22" s="93"/>
      <c r="B22" s="94"/>
      <c r="C22" s="97" t="s">
        <v>702</v>
      </c>
      <c r="D22" s="97"/>
      <c r="E22" s="97"/>
      <c r="F22" s="97"/>
      <c r="G22" s="97"/>
      <c r="H22" s="361"/>
      <c r="I22" s="359"/>
      <c r="J22" s="359"/>
      <c r="K22" s="111"/>
      <c r="L22" s="112"/>
      <c r="O22" s="192"/>
      <c r="Q22" s="192"/>
      <c r="AA22" s="192"/>
      <c r="AH22" s="192"/>
    </row>
    <row r="23" spans="1:34" s="247" customFormat="1" ht="39" customHeight="1">
      <c r="A23" s="93"/>
      <c r="B23" s="94"/>
      <c r="C23" s="97"/>
      <c r="D23" s="96"/>
      <c r="E23" s="96"/>
      <c r="F23" s="97"/>
      <c r="G23" s="97"/>
      <c r="H23" s="97"/>
      <c r="I23" s="97"/>
      <c r="J23" s="97"/>
      <c r="K23" s="97"/>
      <c r="L23" s="112"/>
      <c r="O23" s="192"/>
      <c r="Q23" s="192"/>
      <c r="AA23" s="192"/>
      <c r="AH23" s="192"/>
    </row>
    <row r="24" spans="1:34" s="247" customFormat="1" ht="42.75" customHeight="1">
      <c r="A24" s="116" t="s">
        <v>703</v>
      </c>
      <c r="B24" s="113"/>
      <c r="C24" s="97"/>
      <c r="D24" s="96"/>
      <c r="E24" s="96"/>
      <c r="F24" s="246"/>
      <c r="G24" s="97"/>
      <c r="H24" s="97"/>
      <c r="I24" s="246"/>
      <c r="J24" s="246"/>
      <c r="K24" s="246"/>
      <c r="L24" s="99"/>
      <c r="O24" s="192"/>
      <c r="Q24" s="192"/>
      <c r="AA24" s="192"/>
      <c r="AH24" s="192"/>
    </row>
    <row r="25" spans="1:34" s="247" customFormat="1" ht="24.95" customHeight="1">
      <c r="A25" s="2"/>
      <c r="B25" s="3"/>
      <c r="C25" s="3"/>
      <c r="D25" s="15"/>
      <c r="E25" s="15"/>
      <c r="F25" s="16"/>
      <c r="G25" s="17"/>
      <c r="H25" s="17"/>
      <c r="I25" s="16"/>
      <c r="J25" s="16"/>
      <c r="K25" s="16"/>
      <c r="L25" s="18"/>
      <c r="O25" s="192"/>
      <c r="Q25" s="192"/>
      <c r="AA25" s="192"/>
      <c r="AH25" s="192"/>
    </row>
    <row r="26" spans="1:34" ht="15" hidden="1" customHeight="1">
      <c r="A26" s="154"/>
      <c r="B26" s="155"/>
      <c r="C26" s="155"/>
      <c r="D26" s="155"/>
      <c r="E26" s="155"/>
      <c r="F26" s="155"/>
      <c r="G26" s="155"/>
      <c r="H26" s="155"/>
      <c r="I26" s="155"/>
      <c r="J26" s="155"/>
      <c r="K26" s="155"/>
      <c r="L26" s="156"/>
    </row>
    <row r="27" spans="1:34" ht="15" hidden="1" customHeight="1">
      <c r="A27" s="11"/>
      <c r="B27" s="254"/>
      <c r="C27" s="254"/>
      <c r="D27" s="254"/>
      <c r="E27" s="254"/>
      <c r="F27" s="254"/>
      <c r="G27" s="254"/>
      <c r="H27" s="254"/>
      <c r="I27" s="254"/>
      <c r="J27" s="254"/>
      <c r="K27" s="254"/>
      <c r="L27" s="1"/>
    </row>
    <row r="28" spans="1:34" ht="24.95" hidden="1" customHeight="1">
      <c r="A28" s="12"/>
      <c r="B28" s="85"/>
      <c r="C28" s="88"/>
      <c r="D28" s="88"/>
      <c r="E28" s="88"/>
      <c r="F28" s="88"/>
      <c r="G28" s="88"/>
      <c r="H28" s="88"/>
      <c r="I28" s="88"/>
      <c r="J28" s="88"/>
      <c r="K28" s="13"/>
      <c r="L28" s="14"/>
    </row>
    <row r="29" spans="1:34" ht="14.25" hidden="1" customHeight="1"/>
    <row r="98" spans="17:17" ht="14.25" customHeight="1">
      <c r="Q98" s="192">
        <v>0</v>
      </c>
    </row>
    <row r="99" spans="17:17" ht="14.25" customHeight="1">
      <c r="Q99" s="192">
        <v>0</v>
      </c>
    </row>
    <row r="100" spans="17:17" ht="14.25" customHeight="1">
      <c r="Q100" s="192">
        <v>0</v>
      </c>
    </row>
    <row r="101" spans="17:17" ht="14.25" customHeight="1">
      <c r="Q101" s="192">
        <v>0</v>
      </c>
    </row>
    <row r="102" spans="17:17" ht="14.25" customHeight="1">
      <c r="Q102" s="192">
        <v>0</v>
      </c>
    </row>
    <row r="103" spans="17:17" ht="14.25" customHeight="1">
      <c r="Q103" s="192">
        <v>0</v>
      </c>
    </row>
    <row r="104" spans="17:17" ht="14.25" customHeight="1">
      <c r="Q104" s="192">
        <v>0</v>
      </c>
    </row>
    <row r="105" spans="17:17" ht="14.25" customHeight="1">
      <c r="Q105" s="192">
        <v>0</v>
      </c>
    </row>
    <row r="106" spans="17:17" ht="14.25" customHeight="1">
      <c r="Q106" s="192">
        <v>0</v>
      </c>
    </row>
    <row r="107" spans="17:17" ht="14.25" customHeight="1">
      <c r="Q107" s="192">
        <v>0</v>
      </c>
    </row>
    <row r="108" spans="17:17" ht="14.25" customHeight="1">
      <c r="Q108" s="192">
        <v>0</v>
      </c>
    </row>
    <row r="109" spans="17:17" ht="14.25" customHeight="1">
      <c r="Q109" s="192">
        <v>0</v>
      </c>
    </row>
    <row r="110" spans="17:17" ht="14.25" customHeight="1">
      <c r="Q110" s="192">
        <v>0</v>
      </c>
    </row>
    <row r="111" spans="17:17" ht="14.25" customHeight="1">
      <c r="Q111" s="192">
        <v>0</v>
      </c>
    </row>
    <row r="112" spans="17:17" ht="14.25" customHeight="1">
      <c r="Q112" s="192">
        <v>0</v>
      </c>
    </row>
    <row r="113" spans="17:17" ht="14.25" customHeight="1">
      <c r="Q113" s="192">
        <v>0</v>
      </c>
    </row>
    <row r="114" spans="17:17" ht="14.25" customHeight="1">
      <c r="Q114" s="192">
        <v>0</v>
      </c>
    </row>
    <row r="115" spans="17:17" ht="14.25" customHeight="1">
      <c r="Q115" s="192">
        <v>0</v>
      </c>
    </row>
    <row r="116" spans="17:17" ht="14.25" customHeight="1">
      <c r="Q116" s="192">
        <v>0</v>
      </c>
    </row>
    <row r="117" spans="17:17" ht="14.25" customHeight="1">
      <c r="Q117" s="192">
        <v>0</v>
      </c>
    </row>
    <row r="118" spans="17:17" ht="14.25" customHeight="1">
      <c r="Q118" s="192">
        <v>0</v>
      </c>
    </row>
    <row r="119" spans="17:17" ht="14.25" customHeight="1">
      <c r="Q119" s="192">
        <v>0</v>
      </c>
    </row>
    <row r="120" spans="17:17" ht="14.25" customHeight="1">
      <c r="Q120" s="192">
        <v>0</v>
      </c>
    </row>
    <row r="121" spans="17:17" ht="14.25" customHeight="1">
      <c r="Q121" s="192">
        <v>0</v>
      </c>
    </row>
    <row r="122" spans="17:17" ht="14.25" customHeight="1">
      <c r="Q122" s="192">
        <v>0</v>
      </c>
    </row>
    <row r="123" spans="17:17" ht="14.25" customHeight="1">
      <c r="Q123" s="192">
        <v>0</v>
      </c>
    </row>
    <row r="124" spans="17:17" ht="14.25" customHeight="1">
      <c r="Q124" s="192">
        <v>0</v>
      </c>
    </row>
    <row r="125" spans="17:17" ht="14.25" customHeight="1">
      <c r="Q125" s="192">
        <v>0</v>
      </c>
    </row>
    <row r="126" spans="17:17" ht="14.25" customHeight="1">
      <c r="Q126" s="192">
        <v>0</v>
      </c>
    </row>
    <row r="127" spans="17:17" ht="14.25" customHeight="1">
      <c r="Q127" s="192">
        <v>0</v>
      </c>
    </row>
    <row r="128" spans="17:17" ht="14.25" customHeight="1">
      <c r="Q128" s="192">
        <v>0</v>
      </c>
    </row>
    <row r="129" spans="17:17" ht="14.25" customHeight="1">
      <c r="Q129" s="192">
        <v>0</v>
      </c>
    </row>
    <row r="130" spans="17:17" ht="14.25" customHeight="1">
      <c r="Q130" s="192">
        <v>0</v>
      </c>
    </row>
    <row r="131" spans="17:17" ht="14.25" customHeight="1">
      <c r="Q131" s="192">
        <v>0</v>
      </c>
    </row>
    <row r="132" spans="17:17" ht="14.25" customHeight="1">
      <c r="Q132" s="192">
        <v>0</v>
      </c>
    </row>
    <row r="133" spans="17:17" ht="14.25" customHeight="1">
      <c r="Q133" s="192">
        <v>0</v>
      </c>
    </row>
    <row r="134" spans="17:17" ht="14.25" customHeight="1">
      <c r="Q134" s="192">
        <v>0</v>
      </c>
    </row>
    <row r="135" spans="17:17" ht="14.25" customHeight="1">
      <c r="Q135" s="192">
        <v>0</v>
      </c>
    </row>
    <row r="136" spans="17:17" ht="14.25" customHeight="1">
      <c r="Q136" s="192">
        <v>0</v>
      </c>
    </row>
    <row r="137" spans="17:17" ht="14.25" customHeight="1">
      <c r="Q137" s="192">
        <v>0</v>
      </c>
    </row>
    <row r="138" spans="17:17" ht="14.25" customHeight="1">
      <c r="Q138" s="192">
        <v>0</v>
      </c>
    </row>
    <row r="139" spans="17:17" ht="14.25" customHeight="1">
      <c r="Q139" s="192">
        <v>0</v>
      </c>
    </row>
    <row r="140" spans="17:17" ht="14.25" customHeight="1">
      <c r="Q140" s="192">
        <v>0</v>
      </c>
    </row>
    <row r="141" spans="17:17" ht="14.25" customHeight="1">
      <c r="Q141" s="192">
        <v>0</v>
      </c>
    </row>
    <row r="142" spans="17:17" ht="14.25" customHeight="1">
      <c r="Q142" s="192">
        <v>0</v>
      </c>
    </row>
    <row r="143" spans="17:17" ht="14.25" customHeight="1">
      <c r="Q143" s="192">
        <v>0</v>
      </c>
    </row>
    <row r="144" spans="17:17" ht="14.25" customHeight="1">
      <c r="Q144" s="192">
        <v>0</v>
      </c>
    </row>
    <row r="145" spans="17:17" ht="14.25" customHeight="1">
      <c r="Q145" s="192">
        <v>0</v>
      </c>
    </row>
    <row r="146" spans="17:17" ht="14.25" customHeight="1">
      <c r="Q146" s="192">
        <v>0</v>
      </c>
    </row>
    <row r="147" spans="17:17" ht="14.25" customHeight="1">
      <c r="Q147" s="192">
        <v>0</v>
      </c>
    </row>
    <row r="148" spans="17:17" ht="14.25" customHeight="1">
      <c r="Q148" s="192">
        <v>0</v>
      </c>
    </row>
    <row r="149" spans="17:17" ht="14.25" customHeight="1">
      <c r="Q149" s="192">
        <v>0</v>
      </c>
    </row>
    <row r="150" spans="17:17" ht="14.25" customHeight="1">
      <c r="Q150" s="192">
        <v>0</v>
      </c>
    </row>
    <row r="151" spans="17:17" ht="14.25" customHeight="1">
      <c r="Q151" s="192">
        <v>0</v>
      </c>
    </row>
    <row r="152" spans="17:17" ht="14.25" customHeight="1">
      <c r="Q152" s="192">
        <v>0</v>
      </c>
    </row>
    <row r="153" spans="17:17" ht="14.25" customHeight="1">
      <c r="Q153" s="192">
        <v>0</v>
      </c>
    </row>
    <row r="154" spans="17:17" ht="14.25" customHeight="1">
      <c r="Q154" s="192">
        <v>0</v>
      </c>
    </row>
    <row r="155" spans="17:17" ht="14.25" customHeight="1">
      <c r="Q155" s="192">
        <v>0</v>
      </c>
    </row>
    <row r="156" spans="17:17" ht="14.25" customHeight="1">
      <c r="Q156" s="192">
        <v>0</v>
      </c>
    </row>
    <row r="157" spans="17:17" ht="14.25" customHeight="1">
      <c r="Q157" s="192">
        <v>0</v>
      </c>
    </row>
    <row r="158" spans="17:17" ht="14.25" customHeight="1">
      <c r="Q158" s="192">
        <v>0</v>
      </c>
    </row>
    <row r="159" spans="17:17" ht="14.25" customHeight="1">
      <c r="Q159" s="192">
        <v>0</v>
      </c>
    </row>
    <row r="160" spans="17:17" ht="14.25" customHeight="1">
      <c r="Q160" s="192">
        <v>0</v>
      </c>
    </row>
    <row r="161" spans="17:17" ht="14.25" customHeight="1">
      <c r="Q161" s="192">
        <v>0</v>
      </c>
    </row>
    <row r="162" spans="17:17" ht="14.25" customHeight="1">
      <c r="Q162" s="192">
        <v>0</v>
      </c>
    </row>
    <row r="163" spans="17:17" ht="14.25" customHeight="1">
      <c r="Q163" s="192">
        <v>0</v>
      </c>
    </row>
    <row r="164" spans="17:17" ht="14.25" customHeight="1">
      <c r="Q164" s="192">
        <v>0</v>
      </c>
    </row>
    <row r="165" spans="17:17" ht="14.25" customHeight="1">
      <c r="Q165" s="192">
        <v>0</v>
      </c>
    </row>
    <row r="166" spans="17:17" ht="14.25" customHeight="1">
      <c r="Q166" s="192">
        <v>0</v>
      </c>
    </row>
    <row r="167" spans="17:17" ht="14.25" customHeight="1">
      <c r="Q167" s="192">
        <v>0</v>
      </c>
    </row>
    <row r="168" spans="17:17" ht="14.25" customHeight="1">
      <c r="Q168" s="192">
        <v>0</v>
      </c>
    </row>
    <row r="169" spans="17:17" ht="14.25" customHeight="1">
      <c r="Q169" s="192">
        <v>0</v>
      </c>
    </row>
    <row r="170" spans="17:17" ht="14.25" customHeight="1">
      <c r="Q170" s="192">
        <v>0</v>
      </c>
    </row>
    <row r="171" spans="17:17" ht="14.25" customHeight="1">
      <c r="Q171" s="192">
        <v>0</v>
      </c>
    </row>
    <row r="172" spans="17:17" ht="14.25" customHeight="1">
      <c r="Q172" s="192">
        <v>0</v>
      </c>
    </row>
    <row r="173" spans="17:17" ht="14.25" customHeight="1">
      <c r="Q173" s="192">
        <v>0</v>
      </c>
    </row>
    <row r="174" spans="17:17" ht="14.25" customHeight="1">
      <c r="Q174" s="192">
        <v>0</v>
      </c>
    </row>
    <row r="175" spans="17:17" ht="14.25" customHeight="1">
      <c r="Q175" s="192">
        <v>0</v>
      </c>
    </row>
    <row r="176" spans="17:17" ht="14.25" customHeight="1">
      <c r="Q176" s="192">
        <v>0</v>
      </c>
    </row>
    <row r="177" spans="17:17" ht="14.25" customHeight="1">
      <c r="Q177" s="192">
        <v>0</v>
      </c>
    </row>
    <row r="178" spans="17:17" ht="14.25" customHeight="1">
      <c r="Q178" s="192">
        <v>0</v>
      </c>
    </row>
    <row r="179" spans="17:17" ht="14.25" customHeight="1">
      <c r="Q179" s="192">
        <v>0</v>
      </c>
    </row>
    <row r="180" spans="17:17" ht="14.25" customHeight="1">
      <c r="Q180" s="192">
        <v>0</v>
      </c>
    </row>
    <row r="181" spans="17:17" ht="14.25" customHeight="1">
      <c r="Q181" s="192">
        <v>0</v>
      </c>
    </row>
    <row r="182" spans="17:17" ht="14.25" customHeight="1">
      <c r="Q182" s="192">
        <v>0</v>
      </c>
    </row>
    <row r="183" spans="17:17" ht="14.25" customHeight="1">
      <c r="Q183" s="192">
        <v>0</v>
      </c>
    </row>
    <row r="184" spans="17:17" ht="14.25" customHeight="1">
      <c r="Q184" s="192">
        <v>0</v>
      </c>
    </row>
    <row r="185" spans="17:17" ht="14.25" customHeight="1">
      <c r="Q185" s="192">
        <v>0</v>
      </c>
    </row>
    <row r="186" spans="17:17" ht="14.25" customHeight="1">
      <c r="Q186" s="192">
        <v>0</v>
      </c>
    </row>
    <row r="187" spans="17:17" ht="14.25" customHeight="1">
      <c r="Q187" s="192">
        <v>0</v>
      </c>
    </row>
    <row r="188" spans="17:17" ht="14.25" customHeight="1">
      <c r="Q188" s="192">
        <v>0</v>
      </c>
    </row>
    <row r="189" spans="17:17" ht="14.25" customHeight="1">
      <c r="Q189" s="192">
        <v>0</v>
      </c>
    </row>
    <row r="190" spans="17:17" ht="14.25" customHeight="1">
      <c r="Q190" s="192">
        <v>0</v>
      </c>
    </row>
    <row r="191" spans="17:17" ht="14.25" customHeight="1">
      <c r="Q191" s="192">
        <v>0</v>
      </c>
    </row>
    <row r="192" spans="17:17" ht="14.25" customHeight="1">
      <c r="Q192" s="192">
        <v>0</v>
      </c>
    </row>
    <row r="193" spans="17:17" ht="14.25" customHeight="1">
      <c r="Q193" s="192">
        <v>0</v>
      </c>
    </row>
    <row r="194" spans="17:17" ht="14.25" customHeight="1">
      <c r="Q194" s="192">
        <v>0</v>
      </c>
    </row>
    <row r="195" spans="17:17" ht="14.25" customHeight="1">
      <c r="Q195" s="192">
        <v>0</v>
      </c>
    </row>
    <row r="196" spans="17:17" ht="14.25" customHeight="1">
      <c r="Q196" s="192">
        <v>0</v>
      </c>
    </row>
    <row r="197" spans="17:17" ht="14.25" customHeight="1">
      <c r="Q197" s="192">
        <v>0</v>
      </c>
    </row>
    <row r="198" spans="17:17" ht="14.25" customHeight="1">
      <c r="Q198" s="192">
        <v>0</v>
      </c>
    </row>
    <row r="199" spans="17:17" ht="14.25" customHeight="1">
      <c r="Q199" s="192">
        <v>0</v>
      </c>
    </row>
    <row r="200" spans="17:17" ht="14.25" customHeight="1">
      <c r="Q200" s="192">
        <v>0</v>
      </c>
    </row>
    <row r="201" spans="17:17" ht="14.25" customHeight="1">
      <c r="Q201" s="192">
        <v>0</v>
      </c>
    </row>
    <row r="202" spans="17:17" ht="14.25" customHeight="1">
      <c r="Q202" s="192">
        <v>0</v>
      </c>
    </row>
    <row r="203" spans="17:17" ht="14.25" customHeight="1">
      <c r="Q203" s="192">
        <v>0</v>
      </c>
    </row>
    <row r="204" spans="17:17" ht="14.25" customHeight="1">
      <c r="Q204" s="192">
        <v>0</v>
      </c>
    </row>
    <row r="205" spans="17:17" ht="14.25" customHeight="1">
      <c r="Q205" s="192">
        <v>0</v>
      </c>
    </row>
    <row r="206" spans="17:17" ht="14.25" customHeight="1">
      <c r="Q206" s="192">
        <v>0</v>
      </c>
    </row>
    <row r="207" spans="17:17" ht="14.25" customHeight="1">
      <c r="Q207" s="192">
        <v>0</v>
      </c>
    </row>
    <row r="208" spans="17:17" ht="14.25" customHeight="1">
      <c r="Q208" s="192">
        <v>0</v>
      </c>
    </row>
    <row r="209" spans="17:17" ht="14.25" customHeight="1">
      <c r="Q209" s="192">
        <v>0</v>
      </c>
    </row>
    <row r="210" spans="17:17" ht="14.25" customHeight="1">
      <c r="Q210" s="192">
        <v>0</v>
      </c>
    </row>
    <row r="211" spans="17:17" ht="14.25" customHeight="1">
      <c r="Q211" s="192">
        <v>0</v>
      </c>
    </row>
    <row r="212" spans="17:17" ht="14.25" customHeight="1">
      <c r="Q212" s="192">
        <v>0</v>
      </c>
    </row>
    <row r="213" spans="17:17" ht="14.25" customHeight="1">
      <c r="Q213" s="192">
        <v>0</v>
      </c>
    </row>
    <row r="214" spans="17:17" ht="14.25" customHeight="1">
      <c r="Q214" s="192">
        <v>0</v>
      </c>
    </row>
    <row r="215" spans="17:17" ht="14.25" customHeight="1">
      <c r="Q215" s="192">
        <v>0</v>
      </c>
    </row>
    <row r="216" spans="17:17" ht="14.25" customHeight="1">
      <c r="Q216" s="192">
        <v>0</v>
      </c>
    </row>
    <row r="217" spans="17:17" ht="14.25" customHeight="1">
      <c r="Q217" s="192">
        <v>0</v>
      </c>
    </row>
    <row r="218" spans="17:17" ht="14.25" customHeight="1">
      <c r="Q218" s="192">
        <v>0</v>
      </c>
    </row>
    <row r="219" spans="17:17" ht="14.25" customHeight="1">
      <c r="Q219" s="192">
        <v>0</v>
      </c>
    </row>
    <row r="220" spans="17:17" ht="14.25" customHeight="1">
      <c r="Q220" s="192">
        <v>0</v>
      </c>
    </row>
    <row r="221" spans="17:17" ht="14.25" customHeight="1">
      <c r="Q221" s="192">
        <v>0</v>
      </c>
    </row>
    <row r="222" spans="17:17" ht="14.25" customHeight="1">
      <c r="Q222" s="192">
        <v>0</v>
      </c>
    </row>
    <row r="223" spans="17:17" ht="14.25" customHeight="1">
      <c r="Q223" s="192">
        <v>0</v>
      </c>
    </row>
    <row r="224" spans="17:17" ht="14.25" customHeight="1">
      <c r="Q224" s="192">
        <v>0</v>
      </c>
    </row>
    <row r="225" spans="17:17" ht="14.25" customHeight="1">
      <c r="Q225" s="192">
        <v>0</v>
      </c>
    </row>
    <row r="226" spans="17:17" ht="14.25" customHeight="1">
      <c r="Q226" s="192">
        <v>0</v>
      </c>
    </row>
    <row r="227" spans="17:17" ht="14.25" customHeight="1">
      <c r="Q227" s="192">
        <v>0</v>
      </c>
    </row>
    <row r="228" spans="17:17" ht="14.25" customHeight="1">
      <c r="Q228" s="192">
        <v>0</v>
      </c>
    </row>
    <row r="229" spans="17:17" ht="14.25" customHeight="1">
      <c r="Q229" s="192">
        <v>0</v>
      </c>
    </row>
    <row r="230" spans="17:17" ht="14.25" customHeight="1">
      <c r="Q230" s="192">
        <v>0</v>
      </c>
    </row>
    <row r="231" spans="17:17" ht="14.25" customHeight="1">
      <c r="Q231" s="192">
        <v>0</v>
      </c>
    </row>
    <row r="232" spans="17:17" ht="14.25" customHeight="1">
      <c r="Q232" s="192">
        <v>0</v>
      </c>
    </row>
    <row r="233" spans="17:17" ht="14.25" customHeight="1">
      <c r="Q233" s="192">
        <v>0</v>
      </c>
    </row>
    <row r="234" spans="17:17" ht="14.25" customHeight="1">
      <c r="Q234" s="192">
        <v>0</v>
      </c>
    </row>
    <row r="235" spans="17:17" ht="14.25" customHeight="1">
      <c r="Q235" s="192">
        <v>0</v>
      </c>
    </row>
    <row r="236" spans="17:17" ht="14.25" customHeight="1">
      <c r="Q236" s="192">
        <v>0</v>
      </c>
    </row>
    <row r="237" spans="17:17" ht="14.25" customHeight="1">
      <c r="Q237" s="192">
        <v>0</v>
      </c>
    </row>
    <row r="238" spans="17:17" ht="14.25" customHeight="1">
      <c r="Q238" s="192">
        <v>0</v>
      </c>
    </row>
    <row r="239" spans="17:17" ht="14.25" customHeight="1">
      <c r="Q239" s="192">
        <v>0</v>
      </c>
    </row>
    <row r="240" spans="17:17" ht="14.25" customHeight="1">
      <c r="Q240" s="192">
        <v>0</v>
      </c>
    </row>
    <row r="241" spans="17:17" ht="14.25" customHeight="1">
      <c r="Q241" s="192">
        <v>0</v>
      </c>
    </row>
    <row r="242" spans="17:17" ht="14.25" customHeight="1">
      <c r="Q242" s="192">
        <v>0</v>
      </c>
    </row>
    <row r="243" spans="17:17" ht="14.25" customHeight="1">
      <c r="Q243" s="192">
        <v>0</v>
      </c>
    </row>
    <row r="244" spans="17:17" ht="14.25" customHeight="1">
      <c r="Q244" s="192">
        <v>0</v>
      </c>
    </row>
    <row r="245" spans="17:17" ht="14.25" customHeight="1">
      <c r="Q245" s="192">
        <v>0</v>
      </c>
    </row>
    <row r="246" spans="17:17" ht="14.25" customHeight="1">
      <c r="Q246" s="192">
        <v>0</v>
      </c>
    </row>
    <row r="247" spans="17:17" ht="14.25" customHeight="1">
      <c r="Q247" s="192">
        <v>0</v>
      </c>
    </row>
    <row r="248" spans="17:17" ht="14.25" customHeight="1">
      <c r="Q248" s="192">
        <v>0</v>
      </c>
    </row>
    <row r="249" spans="17:17" ht="14.25" customHeight="1">
      <c r="Q249" s="192">
        <v>0</v>
      </c>
    </row>
    <row r="250" spans="17:17" ht="14.25" customHeight="1">
      <c r="Q250" s="192">
        <v>0</v>
      </c>
    </row>
    <row r="251" spans="17:17" ht="14.25" customHeight="1">
      <c r="Q251" s="192">
        <v>0</v>
      </c>
    </row>
    <row r="252" spans="17:17" ht="14.25" customHeight="1">
      <c r="Q252" s="192">
        <v>0</v>
      </c>
    </row>
    <row r="253" spans="17:17" ht="14.25" customHeight="1">
      <c r="Q253" s="192">
        <v>0</v>
      </c>
    </row>
    <row r="254" spans="17:17" ht="14.25" customHeight="1">
      <c r="Q254" s="192">
        <v>0</v>
      </c>
    </row>
    <row r="255" spans="17:17" ht="14.25" customHeight="1">
      <c r="Q255" s="192">
        <v>0</v>
      </c>
    </row>
    <row r="256" spans="17:17" ht="14.25" customHeight="1">
      <c r="Q256" s="192">
        <v>0</v>
      </c>
    </row>
    <row r="257" spans="17:17" ht="14.25" customHeight="1">
      <c r="Q257" s="192">
        <v>0</v>
      </c>
    </row>
    <row r="258" spans="17:17" ht="14.25" customHeight="1">
      <c r="Q258" s="192">
        <v>0</v>
      </c>
    </row>
    <row r="259" spans="17:17" ht="14.25" customHeight="1">
      <c r="Q259" s="192">
        <v>0</v>
      </c>
    </row>
    <row r="260" spans="17:17" ht="14.25" customHeight="1">
      <c r="Q260" s="192">
        <v>0</v>
      </c>
    </row>
    <row r="261" spans="17:17" ht="14.25" customHeight="1">
      <c r="Q261" s="192">
        <v>0</v>
      </c>
    </row>
    <row r="262" spans="17:17" ht="14.25" customHeight="1">
      <c r="Q262" s="192">
        <v>0</v>
      </c>
    </row>
    <row r="263" spans="17:17" ht="14.25" customHeight="1">
      <c r="Q263" s="192">
        <v>0</v>
      </c>
    </row>
    <row r="264" spans="17:17" ht="14.25" customHeight="1">
      <c r="Q264" s="192">
        <v>0</v>
      </c>
    </row>
    <row r="265" spans="17:17" ht="14.25" customHeight="1">
      <c r="Q265" s="192">
        <v>0</v>
      </c>
    </row>
    <row r="266" spans="17:17" ht="14.25" customHeight="1">
      <c r="Q266" s="192">
        <v>0</v>
      </c>
    </row>
    <row r="267" spans="17:17" ht="14.25" customHeight="1">
      <c r="Q267" s="192">
        <v>0</v>
      </c>
    </row>
    <row r="268" spans="17:17" ht="14.25" customHeight="1">
      <c r="Q268" s="192">
        <v>0</v>
      </c>
    </row>
    <row r="269" spans="17:17" ht="14.25" customHeight="1">
      <c r="Q269" s="192">
        <v>0</v>
      </c>
    </row>
    <row r="270" spans="17:17" ht="14.25" customHeight="1">
      <c r="Q270" s="192">
        <v>0</v>
      </c>
    </row>
    <row r="271" spans="17:17" ht="14.25" customHeight="1">
      <c r="Q271" s="192">
        <v>0</v>
      </c>
    </row>
    <row r="272" spans="17:17" ht="14.25" customHeight="1">
      <c r="Q272" s="192">
        <v>0</v>
      </c>
    </row>
    <row r="273" spans="17:17" ht="14.25" customHeight="1">
      <c r="Q273" s="192">
        <v>0</v>
      </c>
    </row>
    <row r="274" spans="17:17" ht="14.25" customHeight="1">
      <c r="Q274" s="192">
        <v>0</v>
      </c>
    </row>
    <row r="275" spans="17:17" ht="14.25" customHeight="1">
      <c r="Q275" s="192">
        <v>0</v>
      </c>
    </row>
    <row r="276" spans="17:17" ht="14.25" customHeight="1">
      <c r="Q276" s="192">
        <v>0</v>
      </c>
    </row>
    <row r="277" spans="17:17" ht="14.25" customHeight="1">
      <c r="Q277" s="192">
        <v>0</v>
      </c>
    </row>
    <row r="278" spans="17:17" ht="14.25" customHeight="1">
      <c r="Q278" s="192">
        <v>0</v>
      </c>
    </row>
    <row r="279" spans="17:17" ht="14.25" customHeight="1">
      <c r="Q279" s="192">
        <v>0</v>
      </c>
    </row>
    <row r="280" spans="17:17" ht="14.25" customHeight="1">
      <c r="Q280" s="192">
        <v>0</v>
      </c>
    </row>
    <row r="281" spans="17:17" ht="14.25" customHeight="1">
      <c r="Q281" s="192">
        <v>0</v>
      </c>
    </row>
    <row r="282" spans="17:17" ht="14.25" customHeight="1">
      <c r="Q282" s="192">
        <v>0</v>
      </c>
    </row>
    <row r="283" spans="17:17" ht="14.25" customHeight="1">
      <c r="Q283" s="192">
        <v>0</v>
      </c>
    </row>
    <row r="284" spans="17:17" ht="14.25" customHeight="1">
      <c r="Q284" s="192">
        <v>0</v>
      </c>
    </row>
    <row r="285" spans="17:17" ht="14.25" customHeight="1">
      <c r="Q285" s="192">
        <v>0</v>
      </c>
    </row>
    <row r="286" spans="17:17" ht="14.25" customHeight="1">
      <c r="Q286" s="192">
        <v>0</v>
      </c>
    </row>
    <row r="287" spans="17:17" ht="14.25" customHeight="1">
      <c r="Q287" s="192">
        <v>0</v>
      </c>
    </row>
    <row r="288" spans="17:17" ht="14.25" customHeight="1">
      <c r="Q288" s="192">
        <v>0</v>
      </c>
    </row>
    <row r="289" spans="17:17" ht="14.25" customHeight="1">
      <c r="Q289" s="192">
        <v>0</v>
      </c>
    </row>
    <row r="290" spans="17:17" ht="14.25" customHeight="1">
      <c r="Q290" s="192">
        <v>0</v>
      </c>
    </row>
    <row r="291" spans="17:17" ht="14.25" customHeight="1">
      <c r="Q291" s="192">
        <v>0</v>
      </c>
    </row>
    <row r="292" spans="17:17" ht="14.25" customHeight="1">
      <c r="Q292" s="192">
        <v>0</v>
      </c>
    </row>
    <row r="293" spans="17:17" ht="14.25" customHeight="1">
      <c r="Q293" s="192">
        <v>0</v>
      </c>
    </row>
    <row r="294" spans="17:17" ht="14.25" customHeight="1">
      <c r="Q294" s="192">
        <v>0</v>
      </c>
    </row>
    <row r="295" spans="17:17" ht="14.25" customHeight="1">
      <c r="Q295" s="192">
        <v>0</v>
      </c>
    </row>
    <row r="296" spans="17:17" ht="14.25" customHeight="1">
      <c r="Q296" s="192">
        <v>0</v>
      </c>
    </row>
    <row r="297" spans="17:17" ht="14.25" customHeight="1">
      <c r="Q297" s="192">
        <v>0</v>
      </c>
    </row>
    <row r="298" spans="17:17" ht="14.25" customHeight="1">
      <c r="Q298" s="192">
        <v>0</v>
      </c>
    </row>
    <row r="299" spans="17:17" ht="14.25" customHeight="1">
      <c r="Q299" s="192">
        <v>0</v>
      </c>
    </row>
    <row r="300" spans="17:17" ht="14.25" customHeight="1">
      <c r="Q300" s="192">
        <v>0</v>
      </c>
    </row>
    <row r="301" spans="17:17" ht="14.25" customHeight="1">
      <c r="Q301" s="192">
        <v>0</v>
      </c>
    </row>
    <row r="302" spans="17:17" ht="14.25" customHeight="1">
      <c r="Q302" s="192">
        <v>0</v>
      </c>
    </row>
    <row r="303" spans="17:17" ht="14.25" customHeight="1">
      <c r="Q303" s="192">
        <v>0</v>
      </c>
    </row>
    <row r="304" spans="17:17" ht="14.25" customHeight="1">
      <c r="Q304" s="192">
        <v>0</v>
      </c>
    </row>
    <row r="305" spans="17:17" ht="14.25" customHeight="1">
      <c r="Q305" s="192">
        <v>0</v>
      </c>
    </row>
    <row r="306" spans="17:17" ht="14.25" customHeight="1">
      <c r="Q306" s="192">
        <v>0</v>
      </c>
    </row>
    <row r="307" spans="17:17" ht="14.25" customHeight="1">
      <c r="Q307" s="192">
        <v>0</v>
      </c>
    </row>
    <row r="308" spans="17:17" ht="14.25" customHeight="1">
      <c r="Q308" s="192">
        <v>0</v>
      </c>
    </row>
    <row r="309" spans="17:17" ht="14.25" customHeight="1">
      <c r="Q309" s="192">
        <v>0</v>
      </c>
    </row>
    <row r="310" spans="17:17" ht="14.25" customHeight="1">
      <c r="Q310" s="192">
        <v>0</v>
      </c>
    </row>
    <row r="311" spans="17:17" ht="14.25" customHeight="1">
      <c r="Q311" s="192">
        <v>0</v>
      </c>
    </row>
    <row r="312" spans="17:17" ht="14.25" customHeight="1">
      <c r="Q312" s="192">
        <v>0</v>
      </c>
    </row>
    <row r="313" spans="17:17" ht="14.25" customHeight="1">
      <c r="Q313" s="192">
        <v>0</v>
      </c>
    </row>
    <row r="314" spans="17:17" ht="14.25" customHeight="1">
      <c r="Q314" s="192">
        <v>0</v>
      </c>
    </row>
    <row r="315" spans="17:17" ht="14.25" customHeight="1">
      <c r="Q315" s="192">
        <v>0</v>
      </c>
    </row>
    <row r="316" spans="17:17" ht="14.25" customHeight="1">
      <c r="Q316" s="192">
        <v>0</v>
      </c>
    </row>
    <row r="317" spans="17:17" ht="14.25" customHeight="1">
      <c r="Q317" s="192">
        <v>0</v>
      </c>
    </row>
    <row r="318" spans="17:17" ht="14.25" customHeight="1">
      <c r="Q318" s="192">
        <v>0</v>
      </c>
    </row>
    <row r="319" spans="17:17" ht="14.25" customHeight="1">
      <c r="Q319" s="192">
        <v>0</v>
      </c>
    </row>
    <row r="320" spans="17:17" ht="14.25" customHeight="1">
      <c r="Q320" s="192">
        <v>0</v>
      </c>
    </row>
    <row r="321" spans="17:17" ht="14.25" customHeight="1">
      <c r="Q321" s="192">
        <v>0</v>
      </c>
    </row>
    <row r="322" spans="17:17" ht="14.25" customHeight="1">
      <c r="Q322" s="192">
        <v>0</v>
      </c>
    </row>
    <row r="323" spans="17:17" ht="14.25" customHeight="1">
      <c r="Q323" s="192">
        <v>0</v>
      </c>
    </row>
    <row r="324" spans="17:17" ht="14.25" customHeight="1">
      <c r="Q324" s="192">
        <v>0</v>
      </c>
    </row>
    <row r="325" spans="17:17" ht="14.25" customHeight="1">
      <c r="Q325" s="192">
        <v>0</v>
      </c>
    </row>
    <row r="326" spans="17:17" ht="14.25" customHeight="1">
      <c r="Q326" s="192">
        <v>0</v>
      </c>
    </row>
    <row r="327" spans="17:17" ht="14.25" customHeight="1">
      <c r="Q327" s="192">
        <v>0</v>
      </c>
    </row>
    <row r="328" spans="17:17" ht="14.25" customHeight="1">
      <c r="Q328" s="192">
        <v>0</v>
      </c>
    </row>
    <row r="329" spans="17:17" ht="14.25" customHeight="1">
      <c r="Q329" s="192">
        <v>0</v>
      </c>
    </row>
    <row r="330" spans="17:17" ht="14.25" customHeight="1">
      <c r="Q330" s="192">
        <v>0</v>
      </c>
    </row>
    <row r="331" spans="17:17" ht="14.25" customHeight="1">
      <c r="Q331" s="192">
        <v>0</v>
      </c>
    </row>
    <row r="332" spans="17:17" ht="14.25" customHeight="1">
      <c r="Q332" s="192">
        <v>0</v>
      </c>
    </row>
    <row r="333" spans="17:17" ht="14.25" customHeight="1">
      <c r="Q333" s="192">
        <v>0</v>
      </c>
    </row>
    <row r="334" spans="17:17" ht="14.25" customHeight="1">
      <c r="Q334" s="192">
        <v>0</v>
      </c>
    </row>
    <row r="335" spans="17:17" ht="14.25" customHeight="1">
      <c r="Q335" s="192">
        <v>0</v>
      </c>
    </row>
    <row r="336" spans="17:17" ht="14.25" customHeight="1">
      <c r="Q336" s="192">
        <v>0</v>
      </c>
    </row>
    <row r="337" spans="17:17" ht="14.25" customHeight="1">
      <c r="Q337" s="192">
        <v>0</v>
      </c>
    </row>
    <row r="338" spans="17:17" ht="14.25" customHeight="1">
      <c r="Q338" s="192">
        <v>0</v>
      </c>
    </row>
    <row r="339" spans="17:17" ht="14.25" customHeight="1">
      <c r="Q339" s="192">
        <v>0</v>
      </c>
    </row>
    <row r="340" spans="17:17" ht="14.25" customHeight="1">
      <c r="Q340" s="192">
        <v>0</v>
      </c>
    </row>
    <row r="341" spans="17:17" ht="14.25" customHeight="1">
      <c r="Q341" s="192">
        <v>0</v>
      </c>
    </row>
    <row r="342" spans="17:17" ht="14.25" customHeight="1">
      <c r="Q342" s="192">
        <v>0</v>
      </c>
    </row>
    <row r="343" spans="17:17" ht="14.25" customHeight="1">
      <c r="Q343" s="192">
        <v>0</v>
      </c>
    </row>
    <row r="344" spans="17:17" ht="14.25" customHeight="1">
      <c r="Q344" s="192">
        <v>0</v>
      </c>
    </row>
    <row r="345" spans="17:17" ht="14.25" customHeight="1">
      <c r="Q345" s="192">
        <v>0</v>
      </c>
    </row>
    <row r="346" spans="17:17" ht="14.25" customHeight="1">
      <c r="Q346" s="192">
        <v>0</v>
      </c>
    </row>
    <row r="347" spans="17:17" ht="14.25" customHeight="1">
      <c r="Q347" s="192">
        <v>0</v>
      </c>
    </row>
    <row r="348" spans="17:17" ht="14.25" customHeight="1">
      <c r="Q348" s="192">
        <v>0</v>
      </c>
    </row>
    <row r="349" spans="17:17" ht="14.25" customHeight="1">
      <c r="Q349" s="192">
        <v>0</v>
      </c>
    </row>
    <row r="350" spans="17:17" ht="14.25" customHeight="1">
      <c r="Q350" s="192">
        <v>0</v>
      </c>
    </row>
    <row r="351" spans="17:17" ht="14.25" customHeight="1">
      <c r="Q351" s="192">
        <v>0</v>
      </c>
    </row>
    <row r="352" spans="17:17" ht="14.25" customHeight="1">
      <c r="Q352" s="192">
        <v>0</v>
      </c>
    </row>
    <row r="353" spans="17:17" ht="14.25" customHeight="1">
      <c r="Q353" s="192">
        <v>0</v>
      </c>
    </row>
    <row r="354" spans="17:17" ht="14.25" customHeight="1">
      <c r="Q354" s="192">
        <v>0</v>
      </c>
    </row>
    <row r="355" spans="17:17" ht="14.25" customHeight="1">
      <c r="Q355" s="192">
        <v>0</v>
      </c>
    </row>
    <row r="356" spans="17:17" ht="14.25" customHeight="1">
      <c r="Q356" s="192">
        <v>0</v>
      </c>
    </row>
    <row r="357" spans="17:17" ht="14.25" customHeight="1">
      <c r="Q357" s="192">
        <v>0</v>
      </c>
    </row>
    <row r="358" spans="17:17" ht="14.25" customHeight="1">
      <c r="Q358" s="192">
        <v>0</v>
      </c>
    </row>
    <row r="359" spans="17:17" ht="14.25" customHeight="1">
      <c r="Q359" s="192">
        <v>0</v>
      </c>
    </row>
    <row r="360" spans="17:17" ht="14.25" customHeight="1">
      <c r="Q360" s="192">
        <v>0</v>
      </c>
    </row>
    <row r="361" spans="17:17" ht="14.25" customHeight="1">
      <c r="Q361" s="192">
        <v>0</v>
      </c>
    </row>
    <row r="362" spans="17:17" ht="14.25" customHeight="1">
      <c r="Q362" s="192">
        <v>0</v>
      </c>
    </row>
    <row r="363" spans="17:17" ht="14.25" customHeight="1">
      <c r="Q363" s="192">
        <v>0</v>
      </c>
    </row>
    <row r="364" spans="17:17" ht="14.25" customHeight="1">
      <c r="Q364" s="192">
        <v>0</v>
      </c>
    </row>
    <row r="365" spans="17:17" ht="14.25" customHeight="1">
      <c r="Q365" s="192">
        <v>0</v>
      </c>
    </row>
    <row r="366" spans="17:17" ht="14.25" customHeight="1">
      <c r="Q366" s="192">
        <v>0</v>
      </c>
    </row>
    <row r="367" spans="17:17" ht="14.25" customHeight="1">
      <c r="Q367" s="192">
        <v>0</v>
      </c>
    </row>
    <row r="368" spans="17:17" ht="14.25" customHeight="1">
      <c r="Q368" s="192">
        <v>0</v>
      </c>
    </row>
    <row r="369" spans="17:17" ht="14.25" customHeight="1">
      <c r="Q369" s="192">
        <v>0</v>
      </c>
    </row>
    <row r="370" spans="17:17" ht="14.25" customHeight="1">
      <c r="Q370" s="192">
        <v>0</v>
      </c>
    </row>
    <row r="371" spans="17:17" ht="14.25" customHeight="1">
      <c r="Q371" s="192">
        <v>0</v>
      </c>
    </row>
    <row r="372" spans="17:17" ht="14.25" customHeight="1">
      <c r="Q372" s="192">
        <v>0</v>
      </c>
    </row>
    <row r="373" spans="17:17" ht="14.25" customHeight="1">
      <c r="Q373" s="192">
        <v>0</v>
      </c>
    </row>
    <row r="374" spans="17:17" ht="14.25" customHeight="1">
      <c r="Q374" s="192">
        <v>0</v>
      </c>
    </row>
    <row r="375" spans="17:17" ht="14.25" customHeight="1">
      <c r="Q375" s="192">
        <v>0</v>
      </c>
    </row>
    <row r="376" spans="17:17" ht="14.25" customHeight="1">
      <c r="Q376" s="192">
        <v>0</v>
      </c>
    </row>
    <row r="377" spans="17:17" ht="14.25" customHeight="1">
      <c r="Q377" s="192">
        <v>0</v>
      </c>
    </row>
    <row r="378" spans="17:17" ht="14.25" customHeight="1">
      <c r="Q378" s="192">
        <v>0</v>
      </c>
    </row>
    <row r="379" spans="17:17" ht="14.25" customHeight="1">
      <c r="Q379" s="192">
        <v>0</v>
      </c>
    </row>
    <row r="380" spans="17:17" ht="14.25" customHeight="1">
      <c r="Q380" s="192">
        <v>0</v>
      </c>
    </row>
    <row r="381" spans="17:17" ht="14.25" customHeight="1">
      <c r="Q381" s="192">
        <v>0</v>
      </c>
    </row>
    <row r="382" spans="17:17" ht="14.25" customHeight="1">
      <c r="Q382" s="192">
        <v>0</v>
      </c>
    </row>
    <row r="383" spans="17:17" ht="14.25" customHeight="1">
      <c r="Q383" s="192">
        <v>0</v>
      </c>
    </row>
    <row r="384" spans="17:17" ht="14.25" customHeight="1">
      <c r="Q384" s="192">
        <v>0</v>
      </c>
    </row>
    <row r="385" spans="17:17" ht="14.25" customHeight="1">
      <c r="Q385" s="192">
        <v>0</v>
      </c>
    </row>
    <row r="386" spans="17:17" ht="14.25" customHeight="1">
      <c r="Q386" s="192">
        <v>0</v>
      </c>
    </row>
    <row r="387" spans="17:17" ht="14.25" customHeight="1">
      <c r="Q387" s="192">
        <v>0</v>
      </c>
    </row>
    <row r="388" spans="17:17" ht="14.25" customHeight="1">
      <c r="Q388" s="192">
        <v>0</v>
      </c>
    </row>
    <row r="389" spans="17:17" ht="14.25" customHeight="1">
      <c r="Q389" s="192">
        <v>0</v>
      </c>
    </row>
    <row r="390" spans="17:17" ht="14.25" customHeight="1">
      <c r="Q390" s="192">
        <v>0</v>
      </c>
    </row>
    <row r="391" spans="17:17" ht="14.25" customHeight="1">
      <c r="Q391" s="192">
        <v>0</v>
      </c>
    </row>
    <row r="392" spans="17:17" ht="14.25" customHeight="1">
      <c r="Q392" s="192">
        <v>0</v>
      </c>
    </row>
    <row r="393" spans="17:17" ht="14.25" customHeight="1">
      <c r="Q393" s="192">
        <v>0</v>
      </c>
    </row>
    <row r="394" spans="17:17" ht="14.25" customHeight="1">
      <c r="Q394" s="192">
        <v>0</v>
      </c>
    </row>
    <row r="395" spans="17:17" ht="14.25" customHeight="1">
      <c r="Q395" s="192">
        <v>0</v>
      </c>
    </row>
    <row r="396" spans="17:17" ht="14.25" customHeight="1">
      <c r="Q396" s="192">
        <v>0</v>
      </c>
    </row>
    <row r="397" spans="17:17" ht="14.25" customHeight="1">
      <c r="Q397" s="192">
        <v>0</v>
      </c>
    </row>
    <row r="398" spans="17:17" ht="14.25" customHeight="1">
      <c r="Q398" s="192">
        <v>0</v>
      </c>
    </row>
    <row r="399" spans="17:17" ht="14.25" customHeight="1">
      <c r="Q399" s="192">
        <v>0</v>
      </c>
    </row>
    <row r="400" spans="17:17" ht="14.25" customHeight="1">
      <c r="Q400" s="192">
        <v>0</v>
      </c>
    </row>
    <row r="401" spans="17:17" ht="14.25" customHeight="1">
      <c r="Q401" s="192">
        <v>0</v>
      </c>
    </row>
    <row r="402" spans="17:17" ht="14.25" customHeight="1">
      <c r="Q402" s="192">
        <v>0</v>
      </c>
    </row>
    <row r="403" spans="17:17" ht="14.25" customHeight="1">
      <c r="Q403" s="192">
        <v>0</v>
      </c>
    </row>
    <row r="404" spans="17:17" ht="14.25" customHeight="1">
      <c r="Q404" s="192">
        <v>0</v>
      </c>
    </row>
    <row r="405" spans="17:17" ht="14.25" customHeight="1">
      <c r="Q405" s="192">
        <v>0</v>
      </c>
    </row>
    <row r="406" spans="17:17" ht="14.25" customHeight="1">
      <c r="Q406" s="192">
        <v>0</v>
      </c>
    </row>
    <row r="407" spans="17:17" ht="14.25" customHeight="1">
      <c r="Q407" s="192">
        <v>0</v>
      </c>
    </row>
    <row r="408" spans="17:17" ht="14.25" customHeight="1">
      <c r="Q408" s="192">
        <v>0</v>
      </c>
    </row>
    <row r="409" spans="17:17" ht="14.25" customHeight="1">
      <c r="Q409" s="192">
        <v>0</v>
      </c>
    </row>
    <row r="410" spans="17:17" ht="14.25" customHeight="1">
      <c r="Q410" s="192">
        <v>0</v>
      </c>
    </row>
    <row r="411" spans="17:17" ht="14.25" customHeight="1">
      <c r="Q411" s="192">
        <v>0</v>
      </c>
    </row>
    <row r="412" spans="17:17" ht="14.25" customHeight="1">
      <c r="Q412" s="192">
        <v>0</v>
      </c>
    </row>
    <row r="413" spans="17:17" ht="14.25" customHeight="1">
      <c r="Q413" s="192">
        <v>0</v>
      </c>
    </row>
    <row r="414" spans="17:17" ht="14.25" customHeight="1">
      <c r="Q414" s="192">
        <v>0</v>
      </c>
    </row>
    <row r="415" spans="17:17" ht="14.25" customHeight="1">
      <c r="Q415" s="192">
        <v>0</v>
      </c>
    </row>
    <row r="416" spans="17:17" ht="14.25" customHeight="1">
      <c r="Q416" s="192">
        <v>0</v>
      </c>
    </row>
    <row r="417" spans="17:17" ht="14.25" customHeight="1">
      <c r="Q417" s="192">
        <v>0</v>
      </c>
    </row>
    <row r="418" spans="17:17" ht="14.25" customHeight="1">
      <c r="Q418" s="192">
        <v>0</v>
      </c>
    </row>
    <row r="419" spans="17:17" ht="14.25" customHeight="1">
      <c r="Q419" s="192">
        <v>0</v>
      </c>
    </row>
    <row r="420" spans="17:17" ht="14.25" customHeight="1">
      <c r="Q420" s="192">
        <v>0</v>
      </c>
    </row>
    <row r="421" spans="17:17" ht="14.25" customHeight="1">
      <c r="Q421" s="192">
        <v>0</v>
      </c>
    </row>
    <row r="422" spans="17:17" ht="14.25" customHeight="1">
      <c r="Q422" s="192">
        <v>0</v>
      </c>
    </row>
    <row r="423" spans="17:17" ht="14.25" customHeight="1">
      <c r="Q423" s="192">
        <v>0</v>
      </c>
    </row>
    <row r="424" spans="17:17" ht="14.25" customHeight="1">
      <c r="Q424" s="192">
        <v>0</v>
      </c>
    </row>
    <row r="425" spans="17:17" ht="14.25" customHeight="1">
      <c r="Q425" s="192">
        <v>0</v>
      </c>
    </row>
    <row r="426" spans="17:17" ht="14.25" customHeight="1">
      <c r="Q426" s="192">
        <v>0</v>
      </c>
    </row>
    <row r="427" spans="17:17" ht="14.25" customHeight="1">
      <c r="Q427" s="192">
        <v>0</v>
      </c>
    </row>
    <row r="428" spans="17:17" ht="14.25" customHeight="1">
      <c r="Q428" s="192">
        <v>0</v>
      </c>
    </row>
    <row r="429" spans="17:17" ht="14.25" customHeight="1">
      <c r="Q429" s="192">
        <v>0</v>
      </c>
    </row>
    <row r="430" spans="17:17" ht="14.25" customHeight="1">
      <c r="Q430" s="192">
        <v>0</v>
      </c>
    </row>
    <row r="431" spans="17:17" ht="14.25" customHeight="1">
      <c r="Q431" s="192">
        <v>0</v>
      </c>
    </row>
    <row r="432" spans="17:17" ht="14.25" customHeight="1">
      <c r="Q432" s="192">
        <v>0</v>
      </c>
    </row>
    <row r="433" spans="17:17" ht="14.25" customHeight="1">
      <c r="Q433" s="192">
        <v>0</v>
      </c>
    </row>
    <row r="434" spans="17:17" ht="14.25" customHeight="1">
      <c r="Q434" s="192">
        <v>0</v>
      </c>
    </row>
    <row r="435" spans="17:17" ht="14.25" customHeight="1">
      <c r="Q435" s="192">
        <v>0</v>
      </c>
    </row>
    <row r="436" spans="17:17" ht="14.25" customHeight="1">
      <c r="Q436" s="192">
        <v>0</v>
      </c>
    </row>
    <row r="437" spans="17:17" ht="14.25" customHeight="1">
      <c r="Q437" s="192">
        <v>0</v>
      </c>
    </row>
    <row r="438" spans="17:17" ht="14.25" customHeight="1">
      <c r="Q438" s="192">
        <v>0</v>
      </c>
    </row>
    <row r="439" spans="17:17" ht="14.25" customHeight="1">
      <c r="Q439" s="192">
        <v>0</v>
      </c>
    </row>
    <row r="440" spans="17:17" ht="14.25" customHeight="1">
      <c r="Q440" s="192">
        <v>0</v>
      </c>
    </row>
    <row r="441" spans="17:17" ht="14.25" customHeight="1">
      <c r="Q441" s="192">
        <v>0</v>
      </c>
    </row>
    <row r="442" spans="17:17" ht="14.25" customHeight="1">
      <c r="Q442" s="192">
        <v>0</v>
      </c>
    </row>
    <row r="443" spans="17:17" ht="14.25" customHeight="1">
      <c r="Q443" s="192">
        <v>0</v>
      </c>
    </row>
    <row r="444" spans="17:17" ht="14.25" customHeight="1">
      <c r="Q444" s="192">
        <v>0</v>
      </c>
    </row>
    <row r="445" spans="17:17" ht="14.25" customHeight="1">
      <c r="Q445" s="192">
        <v>0</v>
      </c>
    </row>
    <row r="446" spans="17:17" ht="14.25" customHeight="1">
      <c r="Q446" s="192">
        <v>0</v>
      </c>
    </row>
    <row r="447" spans="17:17" ht="14.25" customHeight="1">
      <c r="Q447" s="192">
        <v>0</v>
      </c>
    </row>
    <row r="448" spans="17:17" ht="14.25" customHeight="1">
      <c r="Q448" s="192">
        <v>0</v>
      </c>
    </row>
    <row r="449" spans="17:17" ht="14.25" customHeight="1">
      <c r="Q449" s="192">
        <v>0</v>
      </c>
    </row>
    <row r="450" spans="17:17" ht="14.25" customHeight="1">
      <c r="Q450" s="192">
        <v>0</v>
      </c>
    </row>
    <row r="451" spans="17:17" ht="14.25" customHeight="1">
      <c r="Q451" s="192">
        <v>0</v>
      </c>
    </row>
    <row r="452" spans="17:17" ht="14.25" customHeight="1">
      <c r="Q452" s="192">
        <v>0</v>
      </c>
    </row>
    <row r="453" spans="17:17" ht="14.25" customHeight="1">
      <c r="Q453" s="192">
        <v>0</v>
      </c>
    </row>
    <row r="454" spans="17:17" ht="14.25" customHeight="1">
      <c r="Q454" s="192">
        <v>0</v>
      </c>
    </row>
    <row r="455" spans="17:17" ht="14.25" customHeight="1">
      <c r="Q455" s="192">
        <v>0</v>
      </c>
    </row>
    <row r="456" spans="17:17" ht="14.25" customHeight="1">
      <c r="Q456" s="192">
        <v>0</v>
      </c>
    </row>
    <row r="457" spans="17:17" ht="14.25" customHeight="1">
      <c r="Q457" s="192">
        <v>0</v>
      </c>
    </row>
    <row r="458" spans="17:17" ht="14.25" customHeight="1">
      <c r="Q458" s="192">
        <v>0</v>
      </c>
    </row>
    <row r="459" spans="17:17" ht="14.25" customHeight="1">
      <c r="Q459" s="192">
        <v>0</v>
      </c>
    </row>
    <row r="460" spans="17:17" ht="14.25" customHeight="1">
      <c r="Q460" s="192">
        <v>0</v>
      </c>
    </row>
    <row r="461" spans="17:17" ht="14.25" customHeight="1">
      <c r="Q461" s="192">
        <v>0</v>
      </c>
    </row>
    <row r="462" spans="17:17" ht="14.25" customHeight="1">
      <c r="Q462" s="192">
        <v>0</v>
      </c>
    </row>
    <row r="463" spans="17:17" ht="14.25" customHeight="1">
      <c r="Q463" s="192">
        <v>0</v>
      </c>
    </row>
    <row r="464" spans="17:17" ht="14.25" customHeight="1">
      <c r="Q464" s="192">
        <v>0</v>
      </c>
    </row>
    <row r="465" spans="17:17" ht="14.25" customHeight="1">
      <c r="Q465" s="192">
        <v>0</v>
      </c>
    </row>
    <row r="466" spans="17:17" ht="14.25" customHeight="1">
      <c r="Q466" s="192">
        <v>0</v>
      </c>
    </row>
    <row r="467" spans="17:17" ht="14.25" customHeight="1">
      <c r="Q467" s="192">
        <v>0</v>
      </c>
    </row>
    <row r="468" spans="17:17" ht="14.25" customHeight="1">
      <c r="Q468" s="192">
        <v>0</v>
      </c>
    </row>
    <row r="469" spans="17:17" ht="14.25" customHeight="1">
      <c r="Q469" s="192">
        <v>0</v>
      </c>
    </row>
    <row r="470" spans="17:17" ht="14.25" customHeight="1">
      <c r="Q470" s="192">
        <v>0</v>
      </c>
    </row>
    <row r="471" spans="17:17" ht="14.25" customHeight="1">
      <c r="Q471" s="192">
        <v>0</v>
      </c>
    </row>
    <row r="472" spans="17:17" ht="14.25" customHeight="1">
      <c r="Q472" s="192">
        <v>0</v>
      </c>
    </row>
    <row r="473" spans="17:17" ht="14.25" customHeight="1">
      <c r="Q473" s="192">
        <v>0</v>
      </c>
    </row>
    <row r="474" spans="17:17" ht="14.25" customHeight="1">
      <c r="Q474" s="192">
        <v>0</v>
      </c>
    </row>
    <row r="475" spans="17:17" ht="14.25" customHeight="1">
      <c r="Q475" s="192">
        <v>0</v>
      </c>
    </row>
    <row r="476" spans="17:17" ht="14.25" customHeight="1">
      <c r="Q476" s="192">
        <v>0</v>
      </c>
    </row>
    <row r="477" spans="17:17" ht="14.25" customHeight="1">
      <c r="Q477" s="192">
        <v>0</v>
      </c>
    </row>
    <row r="478" spans="17:17" ht="14.25" customHeight="1">
      <c r="Q478" s="192">
        <v>0</v>
      </c>
    </row>
    <row r="479" spans="17:17" ht="14.25" customHeight="1">
      <c r="Q479" s="192">
        <v>0</v>
      </c>
    </row>
    <row r="480" spans="17:17" ht="14.25" customHeight="1">
      <c r="Q480" s="192">
        <v>0</v>
      </c>
    </row>
    <row r="481" spans="17:17" ht="14.25" customHeight="1">
      <c r="Q481" s="192">
        <v>0</v>
      </c>
    </row>
    <row r="482" spans="17:17" ht="14.25" customHeight="1">
      <c r="Q482" s="192">
        <v>0</v>
      </c>
    </row>
    <row r="483" spans="17:17" ht="14.25" customHeight="1">
      <c r="Q483" s="192">
        <v>0</v>
      </c>
    </row>
    <row r="484" spans="17:17" ht="14.25" customHeight="1">
      <c r="Q484" s="192">
        <v>0</v>
      </c>
    </row>
    <row r="485" spans="17:17" ht="14.25" customHeight="1">
      <c r="Q485" s="192">
        <v>0</v>
      </c>
    </row>
    <row r="486" spans="17:17" ht="14.25" customHeight="1">
      <c r="Q486" s="192">
        <v>0</v>
      </c>
    </row>
    <row r="487" spans="17:17" ht="14.25" customHeight="1">
      <c r="Q487" s="192">
        <v>0</v>
      </c>
    </row>
    <row r="488" spans="17:17" ht="14.25" customHeight="1">
      <c r="Q488" s="192">
        <v>0</v>
      </c>
    </row>
    <row r="489" spans="17:17" ht="14.25" customHeight="1">
      <c r="Q489" s="192">
        <v>0</v>
      </c>
    </row>
    <row r="490" spans="17:17" ht="14.25" customHeight="1">
      <c r="Q490" s="192">
        <v>0</v>
      </c>
    </row>
    <row r="491" spans="17:17" ht="14.25" customHeight="1">
      <c r="Q491" s="192">
        <v>0</v>
      </c>
    </row>
    <row r="492" spans="17:17" ht="14.25" customHeight="1">
      <c r="Q492" s="192">
        <v>0</v>
      </c>
    </row>
    <row r="493" spans="17:17" ht="14.25" customHeight="1">
      <c r="Q493" s="192">
        <v>0</v>
      </c>
    </row>
    <row r="494" spans="17:17" ht="14.25" customHeight="1">
      <c r="Q494" s="192">
        <v>0</v>
      </c>
    </row>
    <row r="495" spans="17:17" ht="14.25" customHeight="1">
      <c r="Q495" s="192">
        <v>0</v>
      </c>
    </row>
    <row r="496" spans="17:17" ht="14.25" customHeight="1">
      <c r="Q496" s="192">
        <v>0</v>
      </c>
    </row>
    <row r="497" spans="17:17" ht="14.25" customHeight="1">
      <c r="Q497" s="192">
        <v>0</v>
      </c>
    </row>
    <row r="498" spans="17:17" ht="14.25" customHeight="1">
      <c r="Q498" s="192">
        <v>0</v>
      </c>
    </row>
    <row r="499" spans="17:17" ht="14.25" customHeight="1">
      <c r="Q499" s="192">
        <v>0</v>
      </c>
    </row>
    <row r="500" spans="17:17" ht="14.25" customHeight="1">
      <c r="Q500" s="192">
        <v>0</v>
      </c>
    </row>
    <row r="501" spans="17:17" ht="14.25" customHeight="1">
      <c r="Q501" s="192">
        <v>0</v>
      </c>
    </row>
    <row r="502" spans="17:17" ht="14.25" customHeight="1">
      <c r="Q502" s="192">
        <v>0</v>
      </c>
    </row>
    <row r="503" spans="17:17" ht="14.25" customHeight="1">
      <c r="Q503" s="192">
        <v>0</v>
      </c>
    </row>
    <row r="504" spans="17:17" ht="14.25" customHeight="1">
      <c r="Q504" s="192">
        <v>0</v>
      </c>
    </row>
    <row r="505" spans="17:17" ht="14.25" customHeight="1">
      <c r="Q505" s="192">
        <v>0</v>
      </c>
    </row>
    <row r="506" spans="17:17" ht="14.25" customHeight="1">
      <c r="Q506" s="192">
        <v>0</v>
      </c>
    </row>
    <row r="507" spans="17:17" ht="14.25" customHeight="1">
      <c r="Q507" s="192">
        <v>0</v>
      </c>
    </row>
    <row r="508" spans="17:17" ht="14.25" customHeight="1">
      <c r="Q508" s="192">
        <v>0</v>
      </c>
    </row>
    <row r="509" spans="17:17" ht="14.25" customHeight="1">
      <c r="Q509" s="192">
        <v>0</v>
      </c>
    </row>
    <row r="510" spans="17:17" ht="14.25" customHeight="1">
      <c r="Q510" s="192">
        <v>0</v>
      </c>
    </row>
    <row r="511" spans="17:17" ht="14.25" customHeight="1">
      <c r="Q511" s="192">
        <v>0</v>
      </c>
    </row>
    <row r="512" spans="17:17" ht="14.25" customHeight="1">
      <c r="Q512" s="192">
        <v>0</v>
      </c>
    </row>
    <row r="513" spans="17:17" ht="14.25" customHeight="1">
      <c r="Q513" s="192">
        <v>0</v>
      </c>
    </row>
    <row r="514" spans="17:17" ht="14.25" customHeight="1">
      <c r="Q514" s="192">
        <v>0</v>
      </c>
    </row>
    <row r="515" spans="17:17" ht="14.25" customHeight="1">
      <c r="Q515" s="192">
        <v>0</v>
      </c>
    </row>
    <row r="516" spans="17:17" ht="14.25" customHeight="1">
      <c r="Q516" s="192">
        <v>0</v>
      </c>
    </row>
    <row r="517" spans="17:17" ht="14.25" customHeight="1">
      <c r="Q517" s="192">
        <v>0</v>
      </c>
    </row>
    <row r="518" spans="17:17" ht="14.25" customHeight="1">
      <c r="Q518" s="192">
        <v>0</v>
      </c>
    </row>
    <row r="519" spans="17:17" ht="14.25" customHeight="1">
      <c r="Q519" s="192">
        <v>0</v>
      </c>
    </row>
    <row r="520" spans="17:17" ht="14.25" customHeight="1">
      <c r="Q520" s="192">
        <v>0</v>
      </c>
    </row>
    <row r="521" spans="17:17" ht="14.25" customHeight="1">
      <c r="Q521" s="192">
        <v>0</v>
      </c>
    </row>
    <row r="522" spans="17:17" ht="14.25" customHeight="1">
      <c r="Q522" s="192">
        <v>0</v>
      </c>
    </row>
    <row r="523" spans="17:17" ht="14.25" customHeight="1">
      <c r="Q523" s="192">
        <v>0</v>
      </c>
    </row>
    <row r="524" spans="17:17" ht="14.25" customHeight="1">
      <c r="Q524" s="192">
        <v>0</v>
      </c>
    </row>
    <row r="525" spans="17:17" ht="14.25" customHeight="1">
      <c r="Q525" s="192">
        <v>0</v>
      </c>
    </row>
    <row r="526" spans="17:17" ht="14.25" customHeight="1">
      <c r="Q526" s="192">
        <v>0</v>
      </c>
    </row>
    <row r="527" spans="17:17" ht="14.25" customHeight="1">
      <c r="Q527" s="192">
        <v>0</v>
      </c>
    </row>
    <row r="528" spans="17:17" ht="14.25" customHeight="1">
      <c r="Q528" s="192">
        <v>0</v>
      </c>
    </row>
    <row r="529" spans="17:17" ht="14.25" customHeight="1">
      <c r="Q529" s="192">
        <v>0</v>
      </c>
    </row>
    <row r="530" spans="17:17" ht="14.25" customHeight="1">
      <c r="Q530" s="192">
        <v>0</v>
      </c>
    </row>
    <row r="531" spans="17:17" ht="14.25" customHeight="1">
      <c r="Q531" s="192">
        <v>0</v>
      </c>
    </row>
    <row r="532" spans="17:17" ht="14.25" customHeight="1">
      <c r="Q532" s="192">
        <v>0</v>
      </c>
    </row>
    <row r="533" spans="17:17" ht="14.25" customHeight="1">
      <c r="Q533" s="192">
        <v>0</v>
      </c>
    </row>
    <row r="534" spans="17:17" ht="14.25" customHeight="1">
      <c r="Q534" s="192">
        <v>0</v>
      </c>
    </row>
    <row r="535" spans="17:17" ht="14.25" customHeight="1">
      <c r="Q535" s="192">
        <v>0</v>
      </c>
    </row>
    <row r="536" spans="17:17" ht="14.25" customHeight="1">
      <c r="Q536" s="192">
        <v>0</v>
      </c>
    </row>
    <row r="537" spans="17:17" ht="14.25" customHeight="1">
      <c r="Q537" s="192">
        <v>0</v>
      </c>
    </row>
    <row r="538" spans="17:17" ht="14.25" customHeight="1">
      <c r="Q538" s="192">
        <v>0</v>
      </c>
    </row>
    <row r="539" spans="17:17" ht="14.25" customHeight="1">
      <c r="Q539" s="192">
        <v>0</v>
      </c>
    </row>
    <row r="540" spans="17:17" ht="14.25" customHeight="1">
      <c r="Q540" s="192">
        <v>0</v>
      </c>
    </row>
    <row r="541" spans="17:17" ht="14.25" customHeight="1">
      <c r="Q541" s="192">
        <v>0</v>
      </c>
    </row>
    <row r="542" spans="17:17" ht="14.25" customHeight="1">
      <c r="Q542" s="192">
        <v>0</v>
      </c>
    </row>
    <row r="543" spans="17:17" ht="14.25" customHeight="1">
      <c r="Q543" s="192">
        <v>0</v>
      </c>
    </row>
    <row r="544" spans="17:17" ht="14.25" customHeight="1">
      <c r="Q544" s="192">
        <v>0</v>
      </c>
    </row>
    <row r="545" spans="17:17" ht="14.25" customHeight="1">
      <c r="Q545" s="192">
        <v>0</v>
      </c>
    </row>
    <row r="546" spans="17:17" ht="14.25" customHeight="1">
      <c r="Q546" s="192">
        <v>0</v>
      </c>
    </row>
    <row r="547" spans="17:17" ht="14.25" customHeight="1">
      <c r="Q547" s="192">
        <v>0</v>
      </c>
    </row>
    <row r="548" spans="17:17" ht="14.25" customHeight="1">
      <c r="Q548" s="192">
        <v>0</v>
      </c>
    </row>
    <row r="549" spans="17:17" ht="14.25" customHeight="1">
      <c r="Q549" s="192">
        <v>0</v>
      </c>
    </row>
    <row r="550" spans="17:17" ht="14.25" customHeight="1">
      <c r="Q550" s="192">
        <v>0</v>
      </c>
    </row>
    <row r="551" spans="17:17" ht="14.25" customHeight="1">
      <c r="Q551" s="192">
        <v>0</v>
      </c>
    </row>
    <row r="552" spans="17:17" ht="14.25" customHeight="1">
      <c r="Q552" s="192">
        <v>0</v>
      </c>
    </row>
    <row r="553" spans="17:17" ht="14.25" customHeight="1">
      <c r="Q553" s="192">
        <v>0</v>
      </c>
    </row>
    <row r="554" spans="17:17" ht="14.25" customHeight="1">
      <c r="Q554" s="192">
        <v>0</v>
      </c>
    </row>
    <row r="555" spans="17:17" ht="14.25" customHeight="1">
      <c r="Q555" s="192">
        <v>0</v>
      </c>
    </row>
    <row r="556" spans="17:17" ht="14.25" customHeight="1">
      <c r="Q556" s="192">
        <v>0</v>
      </c>
    </row>
    <row r="557" spans="17:17" ht="14.25" customHeight="1">
      <c r="Q557" s="192">
        <v>0</v>
      </c>
    </row>
    <row r="558" spans="17:17" ht="14.25" customHeight="1">
      <c r="Q558" s="192">
        <v>0</v>
      </c>
    </row>
    <row r="559" spans="17:17" ht="14.25" customHeight="1">
      <c r="Q559" s="192">
        <v>0</v>
      </c>
    </row>
    <row r="560" spans="17:17" ht="14.25" customHeight="1">
      <c r="Q560" s="192">
        <v>0</v>
      </c>
    </row>
    <row r="561" spans="17:17" ht="14.25" customHeight="1">
      <c r="Q561" s="192">
        <v>0</v>
      </c>
    </row>
    <row r="562" spans="17:17" ht="14.25" customHeight="1">
      <c r="Q562" s="192">
        <v>0</v>
      </c>
    </row>
    <row r="563" spans="17:17" ht="14.25" customHeight="1">
      <c r="Q563" s="192">
        <v>0</v>
      </c>
    </row>
    <row r="564" spans="17:17" ht="14.25" customHeight="1">
      <c r="Q564" s="192">
        <v>0</v>
      </c>
    </row>
    <row r="565" spans="17:17" ht="14.25" customHeight="1">
      <c r="Q565" s="192">
        <v>0</v>
      </c>
    </row>
    <row r="566" spans="17:17" ht="14.25" customHeight="1">
      <c r="Q566" s="192">
        <v>0</v>
      </c>
    </row>
    <row r="567" spans="17:17" ht="14.25" customHeight="1">
      <c r="Q567" s="192">
        <v>0</v>
      </c>
    </row>
    <row r="568" spans="17:17" ht="14.25" customHeight="1">
      <c r="Q568" s="192">
        <v>0</v>
      </c>
    </row>
    <row r="569" spans="17:17" ht="14.25" customHeight="1">
      <c r="Q569" s="192">
        <v>0</v>
      </c>
    </row>
    <row r="570" spans="17:17" ht="14.25" customHeight="1">
      <c r="Q570" s="192">
        <v>0</v>
      </c>
    </row>
    <row r="571" spans="17:17" ht="14.25" customHeight="1">
      <c r="Q571" s="192">
        <v>0</v>
      </c>
    </row>
    <row r="572" spans="17:17" ht="14.25" customHeight="1">
      <c r="Q572" s="192">
        <v>0</v>
      </c>
    </row>
    <row r="573" spans="17:17" ht="14.25" customHeight="1">
      <c r="Q573" s="192">
        <v>0</v>
      </c>
    </row>
    <row r="574" spans="17:17" ht="14.25" customHeight="1">
      <c r="Q574" s="192">
        <v>0</v>
      </c>
    </row>
    <row r="575" spans="17:17" ht="14.25" customHeight="1">
      <c r="Q575" s="192">
        <v>0</v>
      </c>
    </row>
    <row r="576" spans="17:17" ht="14.25" customHeight="1">
      <c r="Q576" s="192">
        <v>0</v>
      </c>
    </row>
    <row r="577" spans="17:17" ht="14.25" customHeight="1">
      <c r="Q577" s="192">
        <v>0</v>
      </c>
    </row>
    <row r="578" spans="17:17" ht="14.25" customHeight="1">
      <c r="Q578" s="192">
        <v>0</v>
      </c>
    </row>
    <row r="579" spans="17:17" ht="14.25" customHeight="1">
      <c r="Q579" s="192">
        <v>0</v>
      </c>
    </row>
    <row r="580" spans="17:17" ht="14.25" customHeight="1">
      <c r="Q580" s="192">
        <v>0</v>
      </c>
    </row>
    <row r="581" spans="17:17" ht="14.25" customHeight="1">
      <c r="Q581" s="192">
        <v>0</v>
      </c>
    </row>
    <row r="582" spans="17:17" ht="14.25" customHeight="1">
      <c r="Q582" s="192">
        <v>0</v>
      </c>
    </row>
    <row r="583" spans="17:17" ht="14.25" customHeight="1">
      <c r="Q583" s="192">
        <v>0</v>
      </c>
    </row>
    <row r="584" spans="17:17" ht="14.25" customHeight="1">
      <c r="Q584" s="192">
        <v>0</v>
      </c>
    </row>
    <row r="585" spans="17:17" ht="14.25" customHeight="1">
      <c r="Q585" s="192">
        <v>0</v>
      </c>
    </row>
    <row r="586" spans="17:17" ht="14.25" customHeight="1">
      <c r="Q586" s="192">
        <v>0</v>
      </c>
    </row>
    <row r="587" spans="17:17" ht="14.25" customHeight="1">
      <c r="Q587" s="192">
        <v>0</v>
      </c>
    </row>
    <row r="588" spans="17:17" ht="14.25" customHeight="1">
      <c r="Q588" s="192">
        <v>0</v>
      </c>
    </row>
    <row r="589" spans="17:17" ht="14.25" customHeight="1">
      <c r="Q589" s="192">
        <v>0</v>
      </c>
    </row>
    <row r="590" spans="17:17" ht="14.25" customHeight="1">
      <c r="Q590" s="192">
        <v>0</v>
      </c>
    </row>
    <row r="591" spans="17:17" ht="14.25" customHeight="1">
      <c r="Q591" s="192">
        <v>0</v>
      </c>
    </row>
    <row r="592" spans="17:17" ht="14.25" customHeight="1">
      <c r="Q592" s="192">
        <v>0</v>
      </c>
    </row>
    <row r="593" spans="17:17" ht="14.25" customHeight="1">
      <c r="Q593" s="192">
        <v>0</v>
      </c>
    </row>
    <row r="594" spans="17:17" ht="14.25" customHeight="1">
      <c r="Q594" s="192">
        <v>0</v>
      </c>
    </row>
    <row r="595" spans="17:17" ht="14.25" customHeight="1">
      <c r="Q595" s="192">
        <v>0</v>
      </c>
    </row>
    <row r="596" spans="17:17" ht="14.25" customHeight="1">
      <c r="Q596" s="192">
        <v>0</v>
      </c>
    </row>
    <row r="597" spans="17:17" ht="14.25" customHeight="1">
      <c r="Q597" s="192">
        <v>0</v>
      </c>
    </row>
    <row r="598" spans="17:17" ht="14.25" customHeight="1">
      <c r="Q598" s="192">
        <v>0</v>
      </c>
    </row>
    <row r="599" spans="17:17" ht="14.25" customHeight="1">
      <c r="Q599" s="192">
        <v>0</v>
      </c>
    </row>
    <row r="600" spans="17:17" ht="14.25" customHeight="1">
      <c r="Q600" s="192">
        <v>0</v>
      </c>
    </row>
    <row r="601" spans="17:17" ht="14.25" customHeight="1">
      <c r="Q601" s="192">
        <v>0</v>
      </c>
    </row>
    <row r="602" spans="17:17" ht="14.25" customHeight="1">
      <c r="Q602" s="192">
        <v>0</v>
      </c>
    </row>
    <row r="603" spans="17:17" ht="14.25" customHeight="1">
      <c r="Q603" s="192">
        <v>0</v>
      </c>
    </row>
    <row r="604" spans="17:17" ht="14.25" customHeight="1">
      <c r="Q604" s="192">
        <v>0</v>
      </c>
    </row>
    <row r="605" spans="17:17" ht="14.25" customHeight="1">
      <c r="Q605" s="192">
        <v>0</v>
      </c>
    </row>
    <row r="606" spans="17:17" ht="14.25" customHeight="1">
      <c r="Q606" s="192">
        <v>0</v>
      </c>
    </row>
    <row r="607" spans="17:17" ht="14.25" customHeight="1">
      <c r="Q607" s="192">
        <v>0</v>
      </c>
    </row>
    <row r="608" spans="17:17" ht="14.25" customHeight="1">
      <c r="Q608" s="192">
        <v>0</v>
      </c>
    </row>
    <row r="609" spans="17:17" ht="14.25" customHeight="1">
      <c r="Q609" s="192">
        <v>0</v>
      </c>
    </row>
    <row r="610" spans="17:17" ht="14.25" customHeight="1">
      <c r="Q610" s="192">
        <v>0</v>
      </c>
    </row>
    <row r="611" spans="17:17" ht="14.25" customHeight="1">
      <c r="Q611" s="192">
        <v>0</v>
      </c>
    </row>
    <row r="612" spans="17:17" ht="14.25" customHeight="1">
      <c r="Q612" s="192">
        <v>0</v>
      </c>
    </row>
    <row r="613" spans="17:17" ht="14.25" customHeight="1">
      <c r="Q613" s="192">
        <v>0</v>
      </c>
    </row>
    <row r="614" spans="17:17" ht="14.25" customHeight="1">
      <c r="Q614" s="192">
        <v>0</v>
      </c>
    </row>
    <row r="615" spans="17:17" ht="14.25" customHeight="1">
      <c r="Q615" s="192">
        <v>0</v>
      </c>
    </row>
    <row r="616" spans="17:17" ht="14.25" customHeight="1">
      <c r="Q616" s="192">
        <v>0</v>
      </c>
    </row>
    <row r="617" spans="17:17" ht="14.25" customHeight="1">
      <c r="Q617" s="192">
        <v>0</v>
      </c>
    </row>
    <row r="618" spans="17:17" ht="14.25" customHeight="1">
      <c r="Q618" s="192">
        <v>0</v>
      </c>
    </row>
    <row r="619" spans="17:17" ht="14.25" customHeight="1">
      <c r="Q619" s="192">
        <v>0</v>
      </c>
    </row>
    <row r="620" spans="17:17" ht="14.25" customHeight="1">
      <c r="Q620" s="192">
        <v>0</v>
      </c>
    </row>
    <row r="621" spans="17:17" ht="14.25" customHeight="1">
      <c r="Q621" s="192">
        <v>0</v>
      </c>
    </row>
    <row r="622" spans="17:17" ht="14.25" customHeight="1">
      <c r="Q622" s="192">
        <v>0</v>
      </c>
    </row>
    <row r="623" spans="17:17" ht="14.25" customHeight="1">
      <c r="Q623" s="192">
        <v>0</v>
      </c>
    </row>
    <row r="624" spans="17:17" ht="14.25" customHeight="1">
      <c r="Q624" s="192">
        <v>0</v>
      </c>
    </row>
    <row r="625" spans="17:17" ht="14.25" customHeight="1">
      <c r="Q625" s="192">
        <v>0</v>
      </c>
    </row>
    <row r="626" spans="17:17" ht="14.25" customHeight="1">
      <c r="Q626" s="192">
        <v>0</v>
      </c>
    </row>
    <row r="627" spans="17:17" ht="14.25" customHeight="1">
      <c r="Q627" s="192">
        <v>0</v>
      </c>
    </row>
    <row r="628" spans="17:17" ht="14.25" customHeight="1">
      <c r="Q628" s="192">
        <v>0</v>
      </c>
    </row>
    <row r="629" spans="17:17" ht="14.25" customHeight="1">
      <c r="Q629" s="192">
        <v>0</v>
      </c>
    </row>
    <row r="630" spans="17:17" ht="14.25" customHeight="1">
      <c r="Q630" s="192">
        <v>0</v>
      </c>
    </row>
    <row r="631" spans="17:17" ht="14.25" customHeight="1">
      <c r="Q631" s="192">
        <v>0</v>
      </c>
    </row>
    <row r="632" spans="17:17" ht="14.25" customHeight="1">
      <c r="Q632" s="192">
        <v>0</v>
      </c>
    </row>
    <row r="633" spans="17:17" ht="14.25" customHeight="1">
      <c r="Q633" s="192">
        <v>0</v>
      </c>
    </row>
    <row r="634" spans="17:17" ht="14.25" customHeight="1">
      <c r="Q634" s="192">
        <v>0</v>
      </c>
    </row>
    <row r="635" spans="17:17" ht="14.25" customHeight="1">
      <c r="Q635" s="192">
        <v>0</v>
      </c>
    </row>
    <row r="636" spans="17:17" ht="14.25" customHeight="1">
      <c r="Q636" s="192">
        <v>0</v>
      </c>
    </row>
    <row r="637" spans="17:17" ht="14.25" customHeight="1">
      <c r="Q637" s="192">
        <v>0</v>
      </c>
    </row>
    <row r="638" spans="17:17" ht="14.25" customHeight="1">
      <c r="Q638" s="192">
        <v>0</v>
      </c>
    </row>
    <row r="639" spans="17:17" ht="14.25" customHeight="1">
      <c r="Q639" s="192">
        <v>0</v>
      </c>
    </row>
    <row r="640" spans="17:17" ht="14.25" customHeight="1">
      <c r="Q640" s="192">
        <v>0</v>
      </c>
    </row>
    <row r="641" spans="17:17" ht="14.25" customHeight="1">
      <c r="Q641" s="192">
        <v>0</v>
      </c>
    </row>
    <row r="642" spans="17:17" ht="14.25" customHeight="1">
      <c r="Q642" s="192">
        <v>0</v>
      </c>
    </row>
    <row r="643" spans="17:17" ht="14.25" customHeight="1">
      <c r="Q643" s="192">
        <v>0</v>
      </c>
    </row>
    <row r="644" spans="17:17" ht="14.25" customHeight="1">
      <c r="Q644" s="192">
        <v>0</v>
      </c>
    </row>
    <row r="645" spans="17:17" ht="14.25" customHeight="1">
      <c r="Q645" s="192">
        <v>0</v>
      </c>
    </row>
    <row r="646" spans="17:17" ht="14.25" customHeight="1">
      <c r="Q646" s="192">
        <v>0</v>
      </c>
    </row>
    <row r="647" spans="17:17" ht="14.25" customHeight="1">
      <c r="Q647" s="192">
        <v>0</v>
      </c>
    </row>
    <row r="648" spans="17:17" ht="14.25" customHeight="1">
      <c r="Q648" s="192">
        <v>0</v>
      </c>
    </row>
    <row r="649" spans="17:17" ht="14.25" customHeight="1">
      <c r="Q649" s="192">
        <v>0</v>
      </c>
    </row>
    <row r="650" spans="17:17" ht="14.25" customHeight="1">
      <c r="Q650" s="192">
        <v>0</v>
      </c>
    </row>
    <row r="651" spans="17:17" ht="14.25" customHeight="1">
      <c r="Q651" s="192">
        <v>0</v>
      </c>
    </row>
    <row r="652" spans="17:17" ht="14.25" customHeight="1">
      <c r="Q652" s="192">
        <v>0</v>
      </c>
    </row>
    <row r="653" spans="17:17" ht="14.25" customHeight="1">
      <c r="Q653" s="192">
        <v>0</v>
      </c>
    </row>
    <row r="654" spans="17:17" ht="14.25" customHeight="1">
      <c r="Q654" s="192">
        <v>0</v>
      </c>
    </row>
    <row r="655" spans="17:17" ht="14.25" customHeight="1">
      <c r="Q655" s="192">
        <v>0</v>
      </c>
    </row>
    <row r="656" spans="17:17" ht="14.25" customHeight="1">
      <c r="Q656" s="192">
        <v>0</v>
      </c>
    </row>
    <row r="657" spans="17:17" ht="14.25" customHeight="1">
      <c r="Q657" s="192">
        <v>0</v>
      </c>
    </row>
    <row r="658" spans="17:17" ht="14.25" customHeight="1">
      <c r="Q658" s="192">
        <v>0</v>
      </c>
    </row>
    <row r="659" spans="17:17" ht="14.25" customHeight="1">
      <c r="Q659" s="192">
        <v>0</v>
      </c>
    </row>
    <row r="660" spans="17:17" ht="14.25" customHeight="1">
      <c r="Q660" s="192">
        <v>0</v>
      </c>
    </row>
    <row r="661" spans="17:17" ht="14.25" customHeight="1">
      <c r="Q661" s="192">
        <v>0</v>
      </c>
    </row>
    <row r="662" spans="17:17" ht="14.25" customHeight="1">
      <c r="Q662" s="192">
        <v>0</v>
      </c>
    </row>
    <row r="663" spans="17:17" ht="14.25" customHeight="1">
      <c r="Q663" s="192">
        <v>0</v>
      </c>
    </row>
    <row r="664" spans="17:17" ht="14.25" customHeight="1">
      <c r="Q664" s="192">
        <v>0</v>
      </c>
    </row>
    <row r="665" spans="17:17" ht="14.25" customHeight="1">
      <c r="Q665" s="192">
        <v>0</v>
      </c>
    </row>
    <row r="666" spans="17:17" ht="14.25" customHeight="1">
      <c r="Q666" s="192">
        <v>0</v>
      </c>
    </row>
    <row r="667" spans="17:17" ht="14.25" customHeight="1">
      <c r="Q667" s="192">
        <v>0</v>
      </c>
    </row>
    <row r="668" spans="17:17" ht="14.25" customHeight="1">
      <c r="Q668" s="192">
        <v>0</v>
      </c>
    </row>
    <row r="669" spans="17:17" ht="14.25" customHeight="1">
      <c r="Q669" s="192">
        <v>0</v>
      </c>
    </row>
    <row r="670" spans="17:17" ht="14.25" customHeight="1">
      <c r="Q670" s="192">
        <v>0</v>
      </c>
    </row>
    <row r="671" spans="17:17" ht="14.25" customHeight="1">
      <c r="Q671" s="192">
        <v>0</v>
      </c>
    </row>
    <row r="672" spans="17:17" ht="14.25" customHeight="1">
      <c r="Q672" s="192">
        <v>0</v>
      </c>
    </row>
    <row r="673" spans="17:17" ht="14.25" customHeight="1">
      <c r="Q673" s="192">
        <v>0</v>
      </c>
    </row>
    <row r="674" spans="17:17" ht="14.25" customHeight="1">
      <c r="Q674" s="192">
        <v>0</v>
      </c>
    </row>
    <row r="675" spans="17:17" ht="14.25" customHeight="1">
      <c r="Q675" s="192">
        <v>0</v>
      </c>
    </row>
    <row r="676" spans="17:17" ht="14.25" customHeight="1">
      <c r="Q676" s="192">
        <v>0</v>
      </c>
    </row>
    <row r="677" spans="17:17" ht="14.25" customHeight="1">
      <c r="Q677" s="192">
        <v>0</v>
      </c>
    </row>
    <row r="678" spans="17:17" ht="14.25" customHeight="1">
      <c r="Q678" s="192">
        <v>0</v>
      </c>
    </row>
    <row r="679" spans="17:17" ht="14.25" customHeight="1">
      <c r="Q679" s="192">
        <v>0</v>
      </c>
    </row>
    <row r="680" spans="17:17" ht="14.25" customHeight="1">
      <c r="Q680" s="192">
        <v>0</v>
      </c>
    </row>
    <row r="681" spans="17:17" ht="14.25" customHeight="1">
      <c r="Q681" s="192">
        <v>0</v>
      </c>
    </row>
    <row r="682" spans="17:17" ht="14.25" customHeight="1">
      <c r="Q682" s="192">
        <v>0</v>
      </c>
    </row>
    <row r="683" spans="17:17" ht="14.25" customHeight="1">
      <c r="Q683" s="192">
        <v>0</v>
      </c>
    </row>
    <row r="684" spans="17:17" ht="14.25" customHeight="1">
      <c r="Q684" s="192">
        <v>0</v>
      </c>
    </row>
    <row r="685" spans="17:17" ht="14.25" customHeight="1">
      <c r="Q685" s="192">
        <v>0</v>
      </c>
    </row>
    <row r="686" spans="17:17" ht="14.25" customHeight="1">
      <c r="Q686" s="192">
        <v>0</v>
      </c>
    </row>
    <row r="687" spans="17:17" ht="14.25" customHeight="1">
      <c r="Q687" s="192">
        <v>0</v>
      </c>
    </row>
    <row r="688" spans="17:17" ht="14.25" customHeight="1">
      <c r="Q688" s="192">
        <v>0</v>
      </c>
    </row>
    <row r="689" spans="17:17" ht="14.25" customHeight="1">
      <c r="Q689" s="192">
        <v>0</v>
      </c>
    </row>
    <row r="690" spans="17:17" ht="14.25" customHeight="1">
      <c r="Q690" s="192">
        <v>0</v>
      </c>
    </row>
    <row r="691" spans="17:17" ht="14.25" customHeight="1">
      <c r="Q691" s="192">
        <v>0</v>
      </c>
    </row>
    <row r="692" spans="17:17" ht="14.25" customHeight="1">
      <c r="Q692" s="192">
        <v>0</v>
      </c>
    </row>
    <row r="693" spans="17:17" ht="14.25" customHeight="1">
      <c r="Q693" s="192">
        <v>0</v>
      </c>
    </row>
    <row r="694" spans="17:17" ht="14.25" customHeight="1">
      <c r="Q694" s="192">
        <v>0</v>
      </c>
    </row>
    <row r="695" spans="17:17" ht="14.25" customHeight="1">
      <c r="Q695" s="192">
        <v>0</v>
      </c>
    </row>
    <row r="696" spans="17:17" ht="14.25" customHeight="1">
      <c r="Q696" s="192">
        <v>0</v>
      </c>
    </row>
    <row r="697" spans="17:17" ht="14.25" customHeight="1">
      <c r="Q697" s="192">
        <v>0</v>
      </c>
    </row>
    <row r="698" spans="17:17" ht="14.25" customHeight="1">
      <c r="Q698" s="192">
        <v>0</v>
      </c>
    </row>
    <row r="699" spans="17:17" ht="14.25" customHeight="1">
      <c r="Q699" s="192">
        <v>0</v>
      </c>
    </row>
    <row r="700" spans="17:17" ht="14.25" customHeight="1">
      <c r="Q700" s="192">
        <v>0</v>
      </c>
    </row>
    <row r="701" spans="17:17" ht="14.25" customHeight="1">
      <c r="Q701" s="192">
        <v>0</v>
      </c>
    </row>
    <row r="702" spans="17:17" ht="14.25" customHeight="1">
      <c r="Q702" s="192">
        <v>0</v>
      </c>
    </row>
    <row r="703" spans="17:17" ht="14.25" customHeight="1">
      <c r="Q703" s="192">
        <v>0</v>
      </c>
    </row>
    <row r="704" spans="17:17" ht="14.25" customHeight="1">
      <c r="Q704" s="192">
        <v>0</v>
      </c>
    </row>
    <row r="705" spans="17:17" ht="14.25" customHeight="1">
      <c r="Q705" s="192">
        <v>0</v>
      </c>
    </row>
    <row r="706" spans="17:17" ht="14.25" customHeight="1">
      <c r="Q706" s="192">
        <v>0</v>
      </c>
    </row>
    <row r="707" spans="17:17" ht="14.25" customHeight="1">
      <c r="Q707" s="192">
        <v>0</v>
      </c>
    </row>
    <row r="708" spans="17:17" ht="14.25" customHeight="1">
      <c r="Q708" s="192">
        <v>0</v>
      </c>
    </row>
    <row r="709" spans="17:17" ht="14.25" customHeight="1">
      <c r="Q709" s="192">
        <v>0</v>
      </c>
    </row>
    <row r="710" spans="17:17" ht="14.25" customHeight="1">
      <c r="Q710" s="192">
        <v>0</v>
      </c>
    </row>
    <row r="711" spans="17:17" ht="14.25" customHeight="1">
      <c r="Q711" s="192">
        <v>0</v>
      </c>
    </row>
    <row r="712" spans="17:17" ht="14.25" customHeight="1">
      <c r="Q712" s="192">
        <v>0</v>
      </c>
    </row>
    <row r="713" spans="17:17" ht="14.25" customHeight="1">
      <c r="Q713" s="192">
        <v>0</v>
      </c>
    </row>
    <row r="714" spans="17:17" ht="14.25" customHeight="1">
      <c r="Q714" s="192">
        <v>0</v>
      </c>
    </row>
    <row r="715" spans="17:17" ht="14.25" customHeight="1">
      <c r="Q715" s="192">
        <v>0</v>
      </c>
    </row>
    <row r="716" spans="17:17" ht="14.25" customHeight="1">
      <c r="Q716" s="192">
        <v>0</v>
      </c>
    </row>
    <row r="717" spans="17:17" ht="14.25" customHeight="1">
      <c r="Q717" s="192">
        <v>0</v>
      </c>
    </row>
    <row r="718" spans="17:17" ht="14.25" customHeight="1">
      <c r="Q718" s="192">
        <v>0</v>
      </c>
    </row>
    <row r="719" spans="17:17" ht="14.25" customHeight="1">
      <c r="Q719" s="192">
        <v>0</v>
      </c>
    </row>
    <row r="720" spans="17:17" ht="14.25" customHeight="1">
      <c r="Q720" s="192">
        <v>0</v>
      </c>
    </row>
    <row r="721" spans="17:17" ht="14.25" customHeight="1">
      <c r="Q721" s="192">
        <v>0</v>
      </c>
    </row>
    <row r="722" spans="17:17" ht="14.25" customHeight="1">
      <c r="Q722" s="192">
        <v>0</v>
      </c>
    </row>
    <row r="723" spans="17:17" ht="14.25" customHeight="1">
      <c r="Q723" s="192">
        <v>0</v>
      </c>
    </row>
    <row r="724" spans="17:17" ht="14.25" customHeight="1">
      <c r="Q724" s="192">
        <v>0</v>
      </c>
    </row>
    <row r="725" spans="17:17" ht="14.25" customHeight="1">
      <c r="Q725" s="192">
        <v>0</v>
      </c>
    </row>
    <row r="726" spans="17:17" ht="14.25" customHeight="1">
      <c r="Q726" s="192">
        <v>0</v>
      </c>
    </row>
    <row r="727" spans="17:17" ht="14.25" customHeight="1">
      <c r="Q727" s="192">
        <v>0</v>
      </c>
    </row>
    <row r="728" spans="17:17" ht="14.25" customHeight="1">
      <c r="Q728" s="192">
        <v>0</v>
      </c>
    </row>
    <row r="729" spans="17:17" ht="14.25" customHeight="1">
      <c r="Q729" s="192">
        <v>0</v>
      </c>
    </row>
    <row r="730" spans="17:17" ht="14.25" customHeight="1">
      <c r="Q730" s="192">
        <v>0</v>
      </c>
    </row>
    <row r="731" spans="17:17" ht="14.25" customHeight="1">
      <c r="Q731" s="192">
        <v>0</v>
      </c>
    </row>
    <row r="732" spans="17:17" ht="14.25" customHeight="1">
      <c r="Q732" s="192">
        <v>0</v>
      </c>
    </row>
    <row r="733" spans="17:17" ht="14.25" customHeight="1">
      <c r="Q733" s="192">
        <v>0</v>
      </c>
    </row>
    <row r="734" spans="17:17" ht="14.25" customHeight="1">
      <c r="Q734" s="192">
        <v>0</v>
      </c>
    </row>
    <row r="735" spans="17:17" ht="14.25" customHeight="1">
      <c r="Q735" s="192">
        <v>0</v>
      </c>
    </row>
    <row r="736" spans="17:17" ht="14.25" customHeight="1">
      <c r="Q736" s="192">
        <v>0</v>
      </c>
    </row>
    <row r="737" spans="17:17" ht="14.25" customHeight="1">
      <c r="Q737" s="192">
        <v>0</v>
      </c>
    </row>
    <row r="738" spans="17:17" ht="14.25" customHeight="1">
      <c r="Q738" s="192">
        <v>0</v>
      </c>
    </row>
    <row r="739" spans="17:17" ht="14.25" customHeight="1">
      <c r="Q739" s="192">
        <v>0</v>
      </c>
    </row>
    <row r="740" spans="17:17" ht="14.25" customHeight="1">
      <c r="Q740" s="192">
        <v>0</v>
      </c>
    </row>
    <row r="741" spans="17:17" ht="14.25" customHeight="1">
      <c r="Q741" s="192">
        <v>0</v>
      </c>
    </row>
    <row r="742" spans="17:17" ht="14.25" customHeight="1">
      <c r="Q742" s="192">
        <v>0</v>
      </c>
    </row>
    <row r="743" spans="17:17" ht="14.25" customHeight="1">
      <c r="Q743" s="192">
        <v>0</v>
      </c>
    </row>
    <row r="744" spans="17:17" ht="14.25" customHeight="1">
      <c r="Q744" s="192">
        <v>0</v>
      </c>
    </row>
    <row r="745" spans="17:17" ht="14.25" customHeight="1">
      <c r="Q745" s="192">
        <v>0</v>
      </c>
    </row>
    <row r="746" spans="17:17" ht="14.25" customHeight="1">
      <c r="Q746" s="192">
        <v>0</v>
      </c>
    </row>
    <row r="747" spans="17:17" ht="14.25" customHeight="1">
      <c r="Q747" s="192">
        <v>0</v>
      </c>
    </row>
    <row r="748" spans="17:17" ht="14.25" customHeight="1">
      <c r="Q748" s="192">
        <v>0</v>
      </c>
    </row>
    <row r="749" spans="17:17" ht="14.25" customHeight="1">
      <c r="Q749" s="192">
        <v>0</v>
      </c>
    </row>
    <row r="750" spans="17:17" ht="14.25" customHeight="1">
      <c r="Q750" s="192">
        <v>0</v>
      </c>
    </row>
    <row r="751" spans="17:17" ht="14.25" customHeight="1">
      <c r="Q751" s="192">
        <v>0</v>
      </c>
    </row>
    <row r="752" spans="17:17" ht="14.25" customHeight="1">
      <c r="Q752" s="192">
        <v>0</v>
      </c>
    </row>
    <row r="753" spans="17:17" ht="14.25" customHeight="1">
      <c r="Q753" s="192">
        <v>0</v>
      </c>
    </row>
    <row r="754" spans="17:17" ht="14.25" customHeight="1">
      <c r="Q754" s="192">
        <v>0</v>
      </c>
    </row>
    <row r="755" spans="17:17" ht="14.25" customHeight="1">
      <c r="Q755" s="192">
        <v>0</v>
      </c>
    </row>
    <row r="756" spans="17:17" ht="14.25" customHeight="1">
      <c r="Q756" s="192">
        <v>0</v>
      </c>
    </row>
    <row r="757" spans="17:17" ht="14.25" customHeight="1">
      <c r="Q757" s="192">
        <v>0</v>
      </c>
    </row>
    <row r="758" spans="17:17" ht="14.25" customHeight="1">
      <c r="Q758" s="192">
        <v>0</v>
      </c>
    </row>
    <row r="759" spans="17:17" ht="14.25" customHeight="1">
      <c r="Q759" s="192">
        <v>0</v>
      </c>
    </row>
    <row r="760" spans="17:17" ht="14.25" customHeight="1">
      <c r="Q760" s="192">
        <v>0</v>
      </c>
    </row>
    <row r="761" spans="17:17" ht="14.25" customHeight="1">
      <c r="Q761" s="192">
        <v>0</v>
      </c>
    </row>
    <row r="762" spans="17:17" ht="14.25" customHeight="1">
      <c r="Q762" s="192">
        <v>0</v>
      </c>
    </row>
    <row r="763" spans="17:17" ht="14.25" customHeight="1">
      <c r="Q763" s="192">
        <v>0</v>
      </c>
    </row>
    <row r="764" spans="17:17" ht="14.25" customHeight="1">
      <c r="Q764" s="192">
        <v>0</v>
      </c>
    </row>
    <row r="765" spans="17:17" ht="14.25" customHeight="1">
      <c r="Q765" s="192">
        <v>0</v>
      </c>
    </row>
    <row r="766" spans="17:17" ht="14.25" customHeight="1">
      <c r="Q766" s="192">
        <v>0</v>
      </c>
    </row>
    <row r="767" spans="17:17" ht="14.25" customHeight="1">
      <c r="Q767" s="192">
        <v>0</v>
      </c>
    </row>
    <row r="768" spans="17:17" ht="14.25" customHeight="1">
      <c r="Q768" s="192">
        <v>0</v>
      </c>
    </row>
    <row r="769" spans="17:17" ht="14.25" customHeight="1">
      <c r="Q769" s="192">
        <v>0</v>
      </c>
    </row>
    <row r="770" spans="17:17" ht="14.25" customHeight="1">
      <c r="Q770" s="192">
        <v>0</v>
      </c>
    </row>
    <row r="771" spans="17:17" ht="14.25" customHeight="1">
      <c r="Q771" s="192">
        <v>0</v>
      </c>
    </row>
    <row r="772" spans="17:17" ht="14.25" customHeight="1">
      <c r="Q772" s="192">
        <v>0</v>
      </c>
    </row>
    <row r="773" spans="17:17" ht="14.25" customHeight="1">
      <c r="Q773" s="192">
        <v>0</v>
      </c>
    </row>
    <row r="774" spans="17:17" ht="14.25" customHeight="1">
      <c r="Q774" s="192">
        <v>0</v>
      </c>
    </row>
    <row r="775" spans="17:17" ht="14.25" customHeight="1">
      <c r="Q775" s="192">
        <v>0</v>
      </c>
    </row>
    <row r="776" spans="17:17" ht="14.25" customHeight="1">
      <c r="Q776" s="192">
        <v>0</v>
      </c>
    </row>
    <row r="777" spans="17:17" ht="14.25" customHeight="1">
      <c r="Q777" s="192">
        <v>0</v>
      </c>
    </row>
    <row r="778" spans="17:17" ht="14.25" customHeight="1">
      <c r="Q778" s="192">
        <v>0</v>
      </c>
    </row>
    <row r="779" spans="17:17" ht="14.25" customHeight="1">
      <c r="Q779" s="192">
        <v>0</v>
      </c>
    </row>
    <row r="780" spans="17:17" ht="14.25" customHeight="1">
      <c r="Q780" s="192">
        <v>0</v>
      </c>
    </row>
    <row r="781" spans="17:17" ht="14.25" customHeight="1">
      <c r="Q781" s="192">
        <v>0</v>
      </c>
    </row>
    <row r="782" spans="17:17" ht="14.25" customHeight="1">
      <c r="Q782" s="192">
        <v>0</v>
      </c>
    </row>
    <row r="783" spans="17:17" ht="14.25" customHeight="1">
      <c r="Q783" s="192">
        <v>0</v>
      </c>
    </row>
    <row r="784" spans="17:17" ht="14.25" customHeight="1">
      <c r="Q784" s="192">
        <v>0</v>
      </c>
    </row>
    <row r="785" spans="17:17" ht="14.25" customHeight="1">
      <c r="Q785" s="192">
        <v>0</v>
      </c>
    </row>
    <row r="786" spans="17:17" ht="14.25" customHeight="1">
      <c r="Q786" s="192">
        <v>0</v>
      </c>
    </row>
    <row r="787" spans="17:17" ht="14.25" customHeight="1">
      <c r="Q787" s="192">
        <v>0</v>
      </c>
    </row>
    <row r="788" spans="17:17" ht="14.25" customHeight="1">
      <c r="Q788" s="192">
        <v>0</v>
      </c>
    </row>
    <row r="789" spans="17:17" ht="14.25" customHeight="1">
      <c r="Q789" s="192">
        <v>0</v>
      </c>
    </row>
    <row r="790" spans="17:17" ht="14.25" customHeight="1">
      <c r="Q790" s="192">
        <v>0</v>
      </c>
    </row>
    <row r="791" spans="17:17" ht="14.25" customHeight="1">
      <c r="Q791" s="192">
        <v>0</v>
      </c>
    </row>
    <row r="792" spans="17:17" ht="14.25" customHeight="1">
      <c r="Q792" s="192">
        <v>0</v>
      </c>
    </row>
    <row r="793" spans="17:17" ht="14.25" customHeight="1">
      <c r="Q793" s="192">
        <v>0</v>
      </c>
    </row>
    <row r="794" spans="17:17" ht="14.25" customHeight="1">
      <c r="Q794" s="192">
        <v>0</v>
      </c>
    </row>
    <row r="795" spans="17:17" ht="14.25" customHeight="1">
      <c r="Q795" s="192">
        <v>0</v>
      </c>
    </row>
    <row r="796" spans="17:17" ht="14.25" customHeight="1">
      <c r="Q796" s="192">
        <v>0</v>
      </c>
    </row>
    <row r="797" spans="17:17" ht="14.25" customHeight="1">
      <c r="Q797" s="192">
        <v>0</v>
      </c>
    </row>
    <row r="798" spans="17:17" ht="14.25" customHeight="1">
      <c r="Q798" s="192">
        <v>0</v>
      </c>
    </row>
    <row r="799" spans="17:17" ht="14.25" customHeight="1">
      <c r="Q799" s="192">
        <v>0</v>
      </c>
    </row>
    <row r="800" spans="17:17" ht="14.25" customHeight="1">
      <c r="Q800" s="192">
        <v>0</v>
      </c>
    </row>
    <row r="801" spans="17:17" ht="14.25" customHeight="1">
      <c r="Q801" s="192">
        <v>0</v>
      </c>
    </row>
    <row r="802" spans="17:17" ht="14.25" customHeight="1">
      <c r="Q802" s="192">
        <v>0</v>
      </c>
    </row>
    <row r="803" spans="17:17" ht="14.25" customHeight="1">
      <c r="Q803" s="192">
        <v>0</v>
      </c>
    </row>
    <row r="804" spans="17:17" ht="14.25" customHeight="1">
      <c r="Q804" s="192">
        <v>0</v>
      </c>
    </row>
    <row r="805" spans="17:17" ht="14.25" customHeight="1">
      <c r="Q805" s="192">
        <v>0</v>
      </c>
    </row>
    <row r="806" spans="17:17" ht="14.25" customHeight="1">
      <c r="Q806" s="192">
        <v>0</v>
      </c>
    </row>
    <row r="807" spans="17:17" ht="14.25" customHeight="1">
      <c r="Q807" s="192">
        <v>0</v>
      </c>
    </row>
    <row r="808" spans="17:17" ht="14.25" customHeight="1">
      <c r="Q808" s="192">
        <v>0</v>
      </c>
    </row>
    <row r="809" spans="17:17" ht="14.25" customHeight="1">
      <c r="Q809" s="192">
        <v>0</v>
      </c>
    </row>
    <row r="810" spans="17:17" ht="14.25" customHeight="1">
      <c r="Q810" s="192">
        <v>0</v>
      </c>
    </row>
    <row r="811" spans="17:17" ht="14.25" customHeight="1">
      <c r="Q811" s="192">
        <v>0</v>
      </c>
    </row>
    <row r="812" spans="17:17" ht="14.25" customHeight="1">
      <c r="Q812" s="192">
        <v>0</v>
      </c>
    </row>
    <row r="813" spans="17:17" ht="14.25" customHeight="1">
      <c r="Q813" s="192">
        <v>0</v>
      </c>
    </row>
    <row r="814" spans="17:17" ht="14.25" customHeight="1">
      <c r="Q814" s="192">
        <v>0</v>
      </c>
    </row>
    <row r="815" spans="17:17" ht="14.25" customHeight="1">
      <c r="Q815" s="192">
        <v>0</v>
      </c>
    </row>
    <row r="816" spans="17:17" ht="14.25" customHeight="1">
      <c r="Q816" s="192">
        <v>0</v>
      </c>
    </row>
    <row r="817" spans="17:17" ht="14.25" customHeight="1">
      <c r="Q817" s="192">
        <v>0</v>
      </c>
    </row>
    <row r="818" spans="17:17" ht="14.25" customHeight="1">
      <c r="Q818" s="192">
        <v>0</v>
      </c>
    </row>
    <row r="819" spans="17:17" ht="14.25" customHeight="1">
      <c r="Q819" s="192">
        <v>0</v>
      </c>
    </row>
    <row r="820" spans="17:17" ht="14.25" customHeight="1">
      <c r="Q820" s="192">
        <v>0</v>
      </c>
    </row>
    <row r="821" spans="17:17" ht="14.25" customHeight="1">
      <c r="Q821" s="192">
        <v>0</v>
      </c>
    </row>
    <row r="822" spans="17:17" ht="14.25" customHeight="1">
      <c r="Q822" s="192">
        <v>0</v>
      </c>
    </row>
    <row r="823" spans="17:17" ht="14.25" customHeight="1">
      <c r="Q823" s="192">
        <v>0</v>
      </c>
    </row>
    <row r="824" spans="17:17" ht="14.25" customHeight="1">
      <c r="Q824" s="192">
        <v>0</v>
      </c>
    </row>
    <row r="825" spans="17:17" ht="14.25" customHeight="1">
      <c r="Q825" s="192">
        <v>0</v>
      </c>
    </row>
    <row r="826" spans="17:17" ht="14.25" customHeight="1">
      <c r="Q826" s="192">
        <v>0</v>
      </c>
    </row>
    <row r="827" spans="17:17" ht="14.25" customHeight="1">
      <c r="Q827" s="192">
        <v>0</v>
      </c>
    </row>
    <row r="828" spans="17:17" ht="14.25" customHeight="1">
      <c r="Q828" s="192">
        <v>0</v>
      </c>
    </row>
    <row r="829" spans="17:17" ht="14.25" customHeight="1">
      <c r="Q829" s="192">
        <v>0</v>
      </c>
    </row>
    <row r="830" spans="17:17" ht="14.25" customHeight="1">
      <c r="Q830" s="192">
        <v>0</v>
      </c>
    </row>
    <row r="831" spans="17:17" ht="14.25" customHeight="1">
      <c r="Q831" s="192">
        <v>0</v>
      </c>
    </row>
    <row r="832" spans="17:17" ht="14.25" customHeight="1">
      <c r="Q832" s="192">
        <v>0</v>
      </c>
    </row>
    <row r="833" spans="17:17" ht="14.25" customHeight="1">
      <c r="Q833" s="192">
        <v>0</v>
      </c>
    </row>
    <row r="834" spans="17:17" ht="14.25" customHeight="1">
      <c r="Q834" s="192">
        <v>0</v>
      </c>
    </row>
    <row r="835" spans="17:17" ht="14.25" customHeight="1">
      <c r="Q835" s="192">
        <v>0</v>
      </c>
    </row>
    <row r="836" spans="17:17" ht="14.25" customHeight="1">
      <c r="Q836" s="192">
        <v>0</v>
      </c>
    </row>
    <row r="837" spans="17:17" ht="14.25" customHeight="1">
      <c r="Q837" s="192">
        <v>0</v>
      </c>
    </row>
    <row r="838" spans="17:17" ht="14.25" customHeight="1">
      <c r="Q838" s="192">
        <v>0</v>
      </c>
    </row>
    <row r="839" spans="17:17" ht="14.25" customHeight="1">
      <c r="Q839" s="192">
        <v>0</v>
      </c>
    </row>
    <row r="840" spans="17:17" ht="14.25" customHeight="1">
      <c r="Q840" s="192">
        <v>0</v>
      </c>
    </row>
    <row r="841" spans="17:17" ht="14.25" customHeight="1">
      <c r="Q841" s="192">
        <v>0</v>
      </c>
    </row>
    <row r="842" spans="17:17" ht="14.25" customHeight="1">
      <c r="Q842" s="192">
        <v>0</v>
      </c>
    </row>
    <row r="843" spans="17:17" ht="14.25" customHeight="1">
      <c r="Q843" s="192">
        <v>0</v>
      </c>
    </row>
    <row r="844" spans="17:17" ht="14.25" customHeight="1">
      <c r="Q844" s="192">
        <v>0</v>
      </c>
    </row>
    <row r="845" spans="17:17" ht="14.25" customHeight="1">
      <c r="Q845" s="192">
        <v>0</v>
      </c>
    </row>
    <row r="846" spans="17:17" ht="14.25" customHeight="1">
      <c r="Q846" s="192">
        <v>0</v>
      </c>
    </row>
    <row r="847" spans="17:17" ht="14.25" customHeight="1">
      <c r="Q847" s="192">
        <v>0</v>
      </c>
    </row>
    <row r="848" spans="17:17" ht="14.25" customHeight="1">
      <c r="Q848" s="192">
        <v>0</v>
      </c>
    </row>
    <row r="849" spans="17:17" ht="14.25" customHeight="1">
      <c r="Q849" s="192">
        <v>0</v>
      </c>
    </row>
    <row r="850" spans="17:17" ht="14.25" customHeight="1">
      <c r="Q850" s="192">
        <v>0</v>
      </c>
    </row>
    <row r="851" spans="17:17" ht="14.25" customHeight="1">
      <c r="Q851" s="192">
        <v>0</v>
      </c>
    </row>
    <row r="852" spans="17:17" ht="14.25" customHeight="1">
      <c r="Q852" s="192">
        <v>0</v>
      </c>
    </row>
    <row r="853" spans="17:17" ht="14.25" customHeight="1">
      <c r="Q853" s="192">
        <v>0</v>
      </c>
    </row>
    <row r="854" spans="17:17" ht="14.25" customHeight="1">
      <c r="Q854" s="192">
        <v>0</v>
      </c>
    </row>
    <row r="855" spans="17:17" ht="14.25" customHeight="1">
      <c r="Q855" s="192">
        <v>0</v>
      </c>
    </row>
    <row r="856" spans="17:17" ht="14.25" customHeight="1">
      <c r="Q856" s="192">
        <v>0</v>
      </c>
    </row>
    <row r="857" spans="17:17" ht="14.25" customHeight="1">
      <c r="Q857" s="192">
        <v>0</v>
      </c>
    </row>
    <row r="858" spans="17:17" ht="14.25" customHeight="1">
      <c r="Q858" s="192">
        <v>0</v>
      </c>
    </row>
    <row r="859" spans="17:17" ht="14.25" customHeight="1">
      <c r="Q859" s="192">
        <v>0</v>
      </c>
    </row>
    <row r="860" spans="17:17" ht="14.25" customHeight="1">
      <c r="Q860" s="192">
        <v>0</v>
      </c>
    </row>
    <row r="861" spans="17:17" ht="14.25" customHeight="1">
      <c r="Q861" s="192">
        <v>0</v>
      </c>
    </row>
    <row r="862" spans="17:17" ht="14.25" customHeight="1">
      <c r="Q862" s="192">
        <v>0</v>
      </c>
    </row>
    <row r="863" spans="17:17" ht="14.25" customHeight="1">
      <c r="Q863" s="192">
        <v>0</v>
      </c>
    </row>
    <row r="864" spans="17:17" ht="14.25" customHeight="1">
      <c r="Q864" s="192">
        <v>0</v>
      </c>
    </row>
    <row r="865" spans="17:17" ht="14.25" customHeight="1">
      <c r="Q865" s="192">
        <v>0</v>
      </c>
    </row>
    <row r="866" spans="17:17" ht="14.25" customHeight="1">
      <c r="Q866" s="192">
        <v>0</v>
      </c>
    </row>
    <row r="867" spans="17:17" ht="14.25" customHeight="1">
      <c r="Q867" s="192">
        <v>0</v>
      </c>
    </row>
    <row r="868" spans="17:17" ht="14.25" customHeight="1">
      <c r="Q868" s="192">
        <v>0</v>
      </c>
    </row>
    <row r="869" spans="17:17" ht="14.25" customHeight="1">
      <c r="Q869" s="192">
        <v>0</v>
      </c>
    </row>
    <row r="870" spans="17:17" ht="14.25" customHeight="1">
      <c r="Q870" s="192">
        <v>0</v>
      </c>
    </row>
    <row r="871" spans="17:17" ht="14.25" customHeight="1">
      <c r="Q871" s="192">
        <v>0</v>
      </c>
    </row>
    <row r="872" spans="17:17" ht="14.25" customHeight="1">
      <c r="Q872" s="192">
        <v>0</v>
      </c>
    </row>
    <row r="873" spans="17:17" ht="14.25" customHeight="1">
      <c r="Q873" s="192">
        <v>0</v>
      </c>
    </row>
    <row r="874" spans="17:17" ht="14.25" customHeight="1">
      <c r="Q874" s="192">
        <v>0</v>
      </c>
    </row>
    <row r="875" spans="17:17" ht="14.25" customHeight="1">
      <c r="Q875" s="192">
        <v>0</v>
      </c>
    </row>
    <row r="876" spans="17:17" ht="14.25" customHeight="1">
      <c r="Q876" s="192">
        <v>0</v>
      </c>
    </row>
    <row r="877" spans="17:17" ht="14.25" customHeight="1">
      <c r="Q877" s="192">
        <v>0</v>
      </c>
    </row>
    <row r="878" spans="17:17" ht="14.25" customHeight="1">
      <c r="Q878" s="192">
        <v>0</v>
      </c>
    </row>
    <row r="879" spans="17:17" ht="14.25" customHeight="1">
      <c r="Q879" s="192">
        <v>0</v>
      </c>
    </row>
    <row r="880" spans="17:17" ht="14.25" customHeight="1">
      <c r="Q880" s="192">
        <v>0</v>
      </c>
    </row>
    <row r="881" spans="17:17" ht="14.25" customHeight="1">
      <c r="Q881" s="192">
        <v>0</v>
      </c>
    </row>
    <row r="882" spans="17:17" ht="14.25" customHeight="1">
      <c r="Q882" s="192">
        <v>0</v>
      </c>
    </row>
    <row r="883" spans="17:17" ht="14.25" customHeight="1">
      <c r="Q883" s="192">
        <v>0</v>
      </c>
    </row>
    <row r="884" spans="17:17" ht="14.25" customHeight="1">
      <c r="Q884" s="192">
        <v>0</v>
      </c>
    </row>
    <row r="885" spans="17:17" ht="14.25" customHeight="1">
      <c r="Q885" s="192">
        <v>0</v>
      </c>
    </row>
    <row r="886" spans="17:17" ht="14.25" customHeight="1">
      <c r="Q886" s="192">
        <v>0</v>
      </c>
    </row>
    <row r="887" spans="17:17" ht="14.25" customHeight="1">
      <c r="Q887" s="192">
        <v>0</v>
      </c>
    </row>
    <row r="888" spans="17:17" ht="14.25" customHeight="1">
      <c r="Q888" s="192">
        <v>0</v>
      </c>
    </row>
    <row r="889" spans="17:17" ht="14.25" customHeight="1">
      <c r="Q889" s="192">
        <v>0</v>
      </c>
    </row>
    <row r="890" spans="17:17" ht="14.25" customHeight="1">
      <c r="Q890" s="192">
        <v>0</v>
      </c>
    </row>
    <row r="891" spans="17:17" ht="14.25" customHeight="1">
      <c r="Q891" s="192">
        <v>0</v>
      </c>
    </row>
    <row r="892" spans="17:17" ht="14.25" customHeight="1">
      <c r="Q892" s="192">
        <v>0</v>
      </c>
    </row>
    <row r="893" spans="17:17" ht="14.25" customHeight="1">
      <c r="Q893" s="192">
        <v>0</v>
      </c>
    </row>
    <row r="894" spans="17:17" ht="14.25" customHeight="1">
      <c r="Q894" s="192">
        <v>0</v>
      </c>
    </row>
    <row r="895" spans="17:17" ht="14.25" customHeight="1">
      <c r="Q895" s="192">
        <v>0</v>
      </c>
    </row>
    <row r="896" spans="17:17" ht="14.25" customHeight="1">
      <c r="Q896" s="192">
        <v>0</v>
      </c>
    </row>
    <row r="897" spans="17:17" ht="14.25" customHeight="1">
      <c r="Q897" s="192">
        <v>0</v>
      </c>
    </row>
    <row r="898" spans="17:17" ht="14.25" customHeight="1">
      <c r="Q898" s="192">
        <v>0</v>
      </c>
    </row>
    <row r="899" spans="17:17" ht="14.25" customHeight="1">
      <c r="Q899" s="192">
        <v>0</v>
      </c>
    </row>
    <row r="900" spans="17:17" ht="14.25" customHeight="1">
      <c r="Q900" s="192">
        <v>0</v>
      </c>
    </row>
    <row r="901" spans="17:17" ht="14.25" customHeight="1">
      <c r="Q901" s="192">
        <v>0</v>
      </c>
    </row>
    <row r="902" spans="17:17" ht="14.25" customHeight="1">
      <c r="Q902" s="192">
        <v>0</v>
      </c>
    </row>
    <row r="903" spans="17:17" ht="14.25" customHeight="1">
      <c r="Q903" s="192">
        <v>0</v>
      </c>
    </row>
    <row r="904" spans="17:17" ht="14.25" customHeight="1">
      <c r="Q904" s="192">
        <v>0</v>
      </c>
    </row>
    <row r="905" spans="17:17" ht="14.25" customHeight="1">
      <c r="Q905" s="192">
        <v>0</v>
      </c>
    </row>
    <row r="906" spans="17:17" ht="14.25" customHeight="1">
      <c r="Q906" s="192">
        <v>0</v>
      </c>
    </row>
    <row r="907" spans="17:17" ht="14.25" customHeight="1">
      <c r="Q907" s="192">
        <v>0</v>
      </c>
    </row>
    <row r="908" spans="17:17" ht="14.25" customHeight="1">
      <c r="Q908" s="192">
        <v>0</v>
      </c>
    </row>
    <row r="909" spans="17:17" ht="14.25" customHeight="1">
      <c r="Q909" s="192">
        <v>0</v>
      </c>
    </row>
    <row r="910" spans="17:17" ht="14.25" customHeight="1">
      <c r="Q910" s="192">
        <v>0</v>
      </c>
    </row>
    <row r="911" spans="17:17" ht="14.25" customHeight="1">
      <c r="Q911" s="192">
        <v>0</v>
      </c>
    </row>
    <row r="912" spans="17:17" ht="14.25" customHeight="1">
      <c r="Q912" s="192">
        <v>0</v>
      </c>
    </row>
    <row r="913" spans="17:17" ht="14.25" customHeight="1">
      <c r="Q913" s="192">
        <v>0</v>
      </c>
    </row>
    <row r="914" spans="17:17" ht="14.25" customHeight="1">
      <c r="Q914" s="192">
        <v>0</v>
      </c>
    </row>
    <row r="915" spans="17:17" ht="14.25" customHeight="1">
      <c r="Q915" s="192">
        <v>0</v>
      </c>
    </row>
    <row r="916" spans="17:17" ht="14.25" customHeight="1">
      <c r="Q916" s="192">
        <v>0</v>
      </c>
    </row>
    <row r="917" spans="17:17" ht="14.25" customHeight="1">
      <c r="Q917" s="192">
        <v>0</v>
      </c>
    </row>
    <row r="918" spans="17:17" ht="14.25" customHeight="1">
      <c r="Q918" s="192">
        <v>0</v>
      </c>
    </row>
    <row r="919" spans="17:17" ht="14.25" customHeight="1">
      <c r="Q919" s="192">
        <v>0</v>
      </c>
    </row>
    <row r="920" spans="17:17" ht="14.25" customHeight="1">
      <c r="Q920" s="192">
        <v>0</v>
      </c>
    </row>
    <row r="921" spans="17:17" ht="14.25" customHeight="1">
      <c r="Q921" s="192">
        <v>0</v>
      </c>
    </row>
    <row r="922" spans="17:17" ht="14.25" customHeight="1">
      <c r="Q922" s="192">
        <v>0</v>
      </c>
    </row>
    <row r="923" spans="17:17" ht="14.25" customHeight="1">
      <c r="Q923" s="192">
        <v>0</v>
      </c>
    </row>
    <row r="924" spans="17:17" ht="14.25" customHeight="1">
      <c r="Q924" s="192">
        <v>0</v>
      </c>
    </row>
    <row r="925" spans="17:17" ht="14.25" customHeight="1">
      <c r="Q925" s="192">
        <v>0</v>
      </c>
    </row>
    <row r="926" spans="17:17" ht="14.25" customHeight="1">
      <c r="Q926" s="192">
        <v>0</v>
      </c>
    </row>
    <row r="927" spans="17:17" ht="14.25" customHeight="1">
      <c r="Q927" s="192">
        <v>0</v>
      </c>
    </row>
    <row r="928" spans="17:17" ht="14.25" customHeight="1">
      <c r="Q928" s="192">
        <v>0</v>
      </c>
    </row>
    <row r="929" spans="17:17" ht="14.25" customHeight="1">
      <c r="Q929" s="192">
        <v>0</v>
      </c>
    </row>
    <row r="930" spans="17:17" ht="14.25" customHeight="1">
      <c r="Q930" s="192">
        <v>0</v>
      </c>
    </row>
    <row r="931" spans="17:17" ht="14.25" customHeight="1">
      <c r="Q931" s="192">
        <v>0</v>
      </c>
    </row>
    <row r="932" spans="17:17" ht="14.25" customHeight="1">
      <c r="Q932" s="192">
        <v>0</v>
      </c>
    </row>
    <row r="933" spans="17:17" ht="14.25" customHeight="1">
      <c r="Q933" s="192">
        <v>0</v>
      </c>
    </row>
    <row r="934" spans="17:17" ht="14.25" customHeight="1">
      <c r="Q934" s="192">
        <v>0</v>
      </c>
    </row>
    <row r="935" spans="17:17" ht="14.25" customHeight="1">
      <c r="Q935" s="192">
        <v>0</v>
      </c>
    </row>
    <row r="936" spans="17:17" ht="14.25" customHeight="1">
      <c r="Q936" s="192">
        <v>0</v>
      </c>
    </row>
    <row r="937" spans="17:17" ht="14.25" customHeight="1">
      <c r="Q937" s="192">
        <v>0</v>
      </c>
    </row>
    <row r="938" spans="17:17" ht="14.25" customHeight="1">
      <c r="Q938" s="192">
        <v>0</v>
      </c>
    </row>
    <row r="939" spans="17:17" ht="14.25" customHeight="1">
      <c r="Q939" s="192">
        <v>0</v>
      </c>
    </row>
    <row r="940" spans="17:17" ht="14.25" customHeight="1">
      <c r="Q940" s="192">
        <v>0</v>
      </c>
    </row>
    <row r="941" spans="17:17" ht="14.25" customHeight="1">
      <c r="Q941" s="192">
        <v>0</v>
      </c>
    </row>
    <row r="942" spans="17:17" ht="14.25" customHeight="1">
      <c r="Q942" s="192">
        <v>0</v>
      </c>
    </row>
    <row r="943" spans="17:17" ht="14.25" customHeight="1">
      <c r="Q943" s="192">
        <v>0</v>
      </c>
    </row>
    <row r="944" spans="17:17" ht="14.25" customHeight="1">
      <c r="Q944" s="192">
        <v>0</v>
      </c>
    </row>
    <row r="945" spans="17:17" ht="14.25" customHeight="1">
      <c r="Q945" s="192">
        <v>0</v>
      </c>
    </row>
    <row r="946" spans="17:17" ht="14.25" customHeight="1">
      <c r="Q946" s="192">
        <v>0</v>
      </c>
    </row>
    <row r="947" spans="17:17" ht="14.25" customHeight="1">
      <c r="Q947" s="192">
        <v>0</v>
      </c>
    </row>
    <row r="948" spans="17:17" ht="14.25" customHeight="1">
      <c r="Q948" s="192">
        <v>0</v>
      </c>
    </row>
    <row r="949" spans="17:17" ht="14.25" customHeight="1">
      <c r="Q949" s="192">
        <v>0</v>
      </c>
    </row>
    <row r="950" spans="17:17" ht="14.25" customHeight="1">
      <c r="Q950" s="192">
        <v>0</v>
      </c>
    </row>
    <row r="951" spans="17:17" ht="14.25" customHeight="1">
      <c r="Q951" s="192">
        <v>0</v>
      </c>
    </row>
    <row r="952" spans="17:17" ht="14.25" customHeight="1">
      <c r="Q952" s="192">
        <v>0</v>
      </c>
    </row>
    <row r="953" spans="17:17" ht="14.25" customHeight="1">
      <c r="Q953" s="192">
        <v>0</v>
      </c>
    </row>
    <row r="954" spans="17:17" ht="14.25" customHeight="1">
      <c r="Q954" s="192">
        <v>0</v>
      </c>
    </row>
    <row r="955" spans="17:17" ht="14.25" customHeight="1">
      <c r="Q955" s="192">
        <v>0</v>
      </c>
    </row>
    <row r="956" spans="17:17" ht="14.25" customHeight="1">
      <c r="Q956" s="192">
        <v>0</v>
      </c>
    </row>
    <row r="957" spans="17:17" ht="14.25" customHeight="1">
      <c r="Q957" s="192">
        <v>0</v>
      </c>
    </row>
    <row r="958" spans="17:17" ht="14.25" customHeight="1">
      <c r="Q958" s="192">
        <v>0</v>
      </c>
    </row>
    <row r="959" spans="17:17" ht="14.25" customHeight="1">
      <c r="Q959" s="192">
        <v>0</v>
      </c>
    </row>
    <row r="960" spans="17:17" ht="14.25" customHeight="1">
      <c r="Q960" s="192">
        <v>0</v>
      </c>
    </row>
    <row r="961" spans="17:17" ht="14.25" customHeight="1">
      <c r="Q961" s="192">
        <v>0</v>
      </c>
    </row>
    <row r="962" spans="17:17" ht="14.25" customHeight="1">
      <c r="Q962" s="192">
        <v>0</v>
      </c>
    </row>
    <row r="963" spans="17:17" ht="14.25" customHeight="1">
      <c r="Q963" s="192">
        <v>0</v>
      </c>
    </row>
    <row r="964" spans="17:17" ht="14.25" customHeight="1">
      <c r="Q964" s="192">
        <v>0</v>
      </c>
    </row>
    <row r="965" spans="17:17" ht="14.25" customHeight="1">
      <c r="Q965" s="192">
        <v>0</v>
      </c>
    </row>
    <row r="966" spans="17:17" ht="14.25" customHeight="1">
      <c r="Q966" s="192">
        <v>0</v>
      </c>
    </row>
    <row r="967" spans="17:17" ht="14.25" customHeight="1">
      <c r="Q967" s="192">
        <v>0</v>
      </c>
    </row>
    <row r="968" spans="17:17" ht="14.25" customHeight="1">
      <c r="Q968" s="192">
        <v>0</v>
      </c>
    </row>
    <row r="969" spans="17:17" ht="14.25" customHeight="1">
      <c r="Q969" s="192">
        <v>0</v>
      </c>
    </row>
    <row r="970" spans="17:17" ht="14.25" customHeight="1">
      <c r="Q970" s="192">
        <v>0</v>
      </c>
    </row>
    <row r="971" spans="17:17" ht="14.25" customHeight="1">
      <c r="Q971" s="192">
        <v>0</v>
      </c>
    </row>
    <row r="972" spans="17:17" ht="14.25" customHeight="1">
      <c r="Q972" s="192">
        <v>0</v>
      </c>
    </row>
    <row r="973" spans="17:17" ht="14.25" customHeight="1">
      <c r="Q973" s="192">
        <v>0</v>
      </c>
    </row>
    <row r="974" spans="17:17" ht="14.25" customHeight="1">
      <c r="Q974" s="192">
        <v>0</v>
      </c>
    </row>
    <row r="975" spans="17:17" ht="14.25" customHeight="1">
      <c r="Q975" s="192">
        <v>0</v>
      </c>
    </row>
    <row r="976" spans="17:17" ht="14.25" customHeight="1">
      <c r="Q976" s="192">
        <v>0</v>
      </c>
    </row>
    <row r="977" spans="17:17" ht="14.25" customHeight="1">
      <c r="Q977" s="192">
        <v>0</v>
      </c>
    </row>
    <row r="978" spans="17:17" ht="14.25" customHeight="1">
      <c r="Q978" s="192">
        <v>0</v>
      </c>
    </row>
    <row r="979" spans="17:17" ht="14.25" customHeight="1">
      <c r="Q979" s="192">
        <v>0</v>
      </c>
    </row>
    <row r="980" spans="17:17" ht="14.25" customHeight="1">
      <c r="Q980" s="192">
        <v>0</v>
      </c>
    </row>
    <row r="981" spans="17:17" ht="14.25" customHeight="1">
      <c r="Q981" s="192">
        <v>0</v>
      </c>
    </row>
    <row r="982" spans="17:17" ht="14.25" customHeight="1">
      <c r="Q982" s="192">
        <v>0</v>
      </c>
    </row>
    <row r="983" spans="17:17" ht="14.25" customHeight="1">
      <c r="Q983" s="192">
        <v>0</v>
      </c>
    </row>
    <row r="984" spans="17:17" ht="14.25" customHeight="1">
      <c r="Q984" s="192">
        <v>0</v>
      </c>
    </row>
    <row r="985" spans="17:17" ht="14.25" customHeight="1">
      <c r="Q985" s="192">
        <v>0</v>
      </c>
    </row>
    <row r="986" spans="17:17" ht="14.25" customHeight="1">
      <c r="Q986" s="192">
        <v>0</v>
      </c>
    </row>
    <row r="987" spans="17:17" ht="14.25" customHeight="1">
      <c r="Q987" s="192">
        <v>0</v>
      </c>
    </row>
    <row r="988" spans="17:17" ht="14.25" customHeight="1">
      <c r="Q988" s="192">
        <v>0</v>
      </c>
    </row>
    <row r="989" spans="17:17" ht="14.25" customHeight="1">
      <c r="Q989" s="192">
        <v>0</v>
      </c>
    </row>
    <row r="990" spans="17:17" ht="14.25" customHeight="1">
      <c r="Q990" s="192">
        <v>0</v>
      </c>
    </row>
    <row r="991" spans="17:17" ht="14.25" customHeight="1">
      <c r="Q991" s="192">
        <v>0</v>
      </c>
    </row>
    <row r="992" spans="17:17" ht="14.25" customHeight="1">
      <c r="Q992" s="192">
        <v>0</v>
      </c>
    </row>
    <row r="993" spans="17:17" ht="14.25" customHeight="1">
      <c r="Q993" s="192">
        <v>0</v>
      </c>
    </row>
    <row r="994" spans="17:17" ht="14.25" customHeight="1">
      <c r="Q994" s="192">
        <v>0</v>
      </c>
    </row>
    <row r="995" spans="17:17" ht="14.25" customHeight="1">
      <c r="Q995" s="192">
        <v>0</v>
      </c>
    </row>
    <row r="996" spans="17:17" ht="14.25" customHeight="1">
      <c r="Q996" s="192">
        <v>0</v>
      </c>
    </row>
    <row r="997" spans="17:17" ht="14.25" customHeight="1">
      <c r="Q997" s="192">
        <v>0</v>
      </c>
    </row>
    <row r="998" spans="17:17" ht="14.25" customHeight="1">
      <c r="Q998" s="192">
        <v>0</v>
      </c>
    </row>
    <row r="999" spans="17:17" ht="14.25" customHeight="1">
      <c r="Q999" s="192">
        <v>0</v>
      </c>
    </row>
    <row r="1000" spans="17:17" ht="14.25" customHeight="1">
      <c r="Q1000" s="192">
        <v>0</v>
      </c>
    </row>
    <row r="1001" spans="17:17" ht="14.25" customHeight="1">
      <c r="Q1001" s="192">
        <v>0</v>
      </c>
    </row>
    <row r="1002" spans="17:17" ht="14.25" customHeight="1">
      <c r="Q1002" s="192">
        <v>0</v>
      </c>
    </row>
    <row r="1003" spans="17:17" ht="14.25" customHeight="1">
      <c r="Q1003" s="192">
        <v>0</v>
      </c>
    </row>
    <row r="1004" spans="17:17" ht="14.25" customHeight="1">
      <c r="Q1004" s="192">
        <v>0</v>
      </c>
    </row>
    <row r="1005" spans="17:17" ht="14.25" customHeight="1">
      <c r="Q1005" s="192">
        <v>0</v>
      </c>
    </row>
    <row r="1006" spans="17:17" ht="14.25" customHeight="1">
      <c r="Q1006" s="192">
        <v>0</v>
      </c>
    </row>
    <row r="1007" spans="17:17" ht="14.25" customHeight="1">
      <c r="Q1007" s="192">
        <v>0</v>
      </c>
    </row>
    <row r="1008" spans="17:17" ht="14.25" customHeight="1">
      <c r="Q1008" s="192">
        <v>0</v>
      </c>
    </row>
    <row r="1009" spans="17:17" ht="14.25" customHeight="1">
      <c r="Q1009" s="192">
        <v>0</v>
      </c>
    </row>
    <row r="1010" spans="17:17" ht="14.25" customHeight="1">
      <c r="Q1010" s="192">
        <v>0</v>
      </c>
    </row>
    <row r="1011" spans="17:17" ht="14.25" customHeight="1">
      <c r="Q1011" s="192">
        <v>0</v>
      </c>
    </row>
    <row r="1012" spans="17:17" ht="14.25" customHeight="1">
      <c r="Q1012" s="192">
        <v>0</v>
      </c>
    </row>
    <row r="1013" spans="17:17" ht="14.25" customHeight="1">
      <c r="Q1013" s="192">
        <v>0</v>
      </c>
    </row>
    <row r="1014" spans="17:17" ht="14.25" customHeight="1">
      <c r="Q1014" s="192">
        <v>0</v>
      </c>
    </row>
    <row r="1015" spans="17:17" ht="14.25" customHeight="1">
      <c r="Q1015" s="192">
        <v>0</v>
      </c>
    </row>
    <row r="1016" spans="17:17" ht="14.25" customHeight="1">
      <c r="Q1016" s="192">
        <v>0</v>
      </c>
    </row>
    <row r="1017" spans="17:17" ht="14.25" customHeight="1">
      <c r="Q1017" s="192">
        <v>0</v>
      </c>
    </row>
    <row r="1018" spans="17:17" ht="14.25" customHeight="1">
      <c r="Q1018" s="192">
        <v>0</v>
      </c>
    </row>
    <row r="1019" spans="17:17" ht="14.25" customHeight="1">
      <c r="Q1019" s="192">
        <v>0</v>
      </c>
    </row>
    <row r="1020" spans="17:17" ht="14.25" customHeight="1">
      <c r="Q1020" s="192">
        <v>0</v>
      </c>
    </row>
    <row r="1021" spans="17:17" ht="14.25" customHeight="1">
      <c r="Q1021" s="192">
        <v>0</v>
      </c>
    </row>
    <row r="1022" spans="17:17" ht="14.25" customHeight="1">
      <c r="Q1022" s="192">
        <v>0</v>
      </c>
    </row>
    <row r="1023" spans="17:17" ht="14.25" customHeight="1">
      <c r="Q1023" s="192">
        <v>0</v>
      </c>
    </row>
    <row r="1024" spans="17:17" ht="14.25" customHeight="1">
      <c r="Q1024" s="192">
        <v>0</v>
      </c>
    </row>
    <row r="1025" spans="17:17" ht="14.25" customHeight="1">
      <c r="Q1025" s="192">
        <v>0</v>
      </c>
    </row>
    <row r="1026" spans="17:17" ht="14.25" customHeight="1">
      <c r="Q1026" s="192">
        <v>0</v>
      </c>
    </row>
    <row r="1027" spans="17:17" ht="14.25" customHeight="1">
      <c r="Q1027" s="192">
        <v>0</v>
      </c>
    </row>
    <row r="1028" spans="17:17" ht="14.25" customHeight="1">
      <c r="Q1028" s="192">
        <v>0</v>
      </c>
    </row>
    <row r="1029" spans="17:17" ht="14.25" customHeight="1">
      <c r="Q1029" s="192">
        <v>0</v>
      </c>
    </row>
    <row r="1030" spans="17:17" ht="14.25" customHeight="1">
      <c r="Q1030" s="192">
        <v>0</v>
      </c>
    </row>
    <row r="1031" spans="17:17" ht="14.25" customHeight="1">
      <c r="Q1031" s="192">
        <v>0</v>
      </c>
    </row>
    <row r="1032" spans="17:17" ht="14.25" customHeight="1">
      <c r="Q1032" s="192">
        <v>0</v>
      </c>
    </row>
    <row r="1033" spans="17:17" ht="14.25" customHeight="1">
      <c r="Q1033" s="192">
        <v>0</v>
      </c>
    </row>
    <row r="1034" spans="17:17" ht="14.25" customHeight="1">
      <c r="Q1034" s="192">
        <v>0</v>
      </c>
    </row>
    <row r="1035" spans="17:17" ht="14.25" customHeight="1">
      <c r="Q1035" s="192">
        <v>0</v>
      </c>
    </row>
    <row r="1036" spans="17:17" ht="14.25" customHeight="1">
      <c r="Q1036" s="192">
        <v>0</v>
      </c>
    </row>
    <row r="1037" spans="17:17" ht="14.25" customHeight="1">
      <c r="Q1037" s="192">
        <v>0</v>
      </c>
    </row>
    <row r="1038" spans="17:17" ht="14.25" customHeight="1">
      <c r="Q1038" s="192">
        <v>0</v>
      </c>
    </row>
    <row r="1039" spans="17:17" ht="14.25" customHeight="1">
      <c r="Q1039" s="192">
        <v>0</v>
      </c>
    </row>
    <row r="1040" spans="17:17" ht="14.25" customHeight="1">
      <c r="Q1040" s="192">
        <v>0</v>
      </c>
    </row>
    <row r="1041" spans="17:17" ht="14.25" customHeight="1">
      <c r="Q1041" s="192">
        <v>0</v>
      </c>
    </row>
    <row r="1042" spans="17:17" ht="14.25" customHeight="1">
      <c r="Q1042" s="192">
        <v>0</v>
      </c>
    </row>
    <row r="1043" spans="17:17" ht="14.25" customHeight="1">
      <c r="Q1043" s="192">
        <v>0</v>
      </c>
    </row>
    <row r="1044" spans="17:17" ht="14.25" customHeight="1">
      <c r="Q1044" s="192">
        <v>0</v>
      </c>
    </row>
    <row r="1045" spans="17:17" ht="14.25" customHeight="1">
      <c r="Q1045" s="192">
        <v>0</v>
      </c>
    </row>
    <row r="1046" spans="17:17" ht="14.25" customHeight="1">
      <c r="Q1046" s="192">
        <v>0</v>
      </c>
    </row>
    <row r="1047" spans="17:17" ht="14.25" customHeight="1">
      <c r="Q1047" s="192">
        <v>0</v>
      </c>
    </row>
    <row r="1048" spans="17:17" ht="14.25" customHeight="1">
      <c r="Q1048" s="192">
        <v>0</v>
      </c>
    </row>
    <row r="1049" spans="17:17" ht="14.25" customHeight="1">
      <c r="Q1049" s="192">
        <v>0</v>
      </c>
    </row>
    <row r="1050" spans="17:17" ht="14.25" customHeight="1">
      <c r="Q1050" s="192">
        <v>0</v>
      </c>
    </row>
    <row r="1051" spans="17:17" ht="14.25" customHeight="1">
      <c r="Q1051" s="192">
        <v>0</v>
      </c>
    </row>
    <row r="1052" spans="17:17" ht="14.25" customHeight="1">
      <c r="Q1052" s="192">
        <v>0</v>
      </c>
    </row>
    <row r="1053" spans="17:17" ht="14.25" customHeight="1">
      <c r="Q1053" s="192">
        <v>0</v>
      </c>
    </row>
    <row r="1054" spans="17:17" ht="14.25" customHeight="1">
      <c r="Q1054" s="192">
        <v>0</v>
      </c>
    </row>
    <row r="1055" spans="17:17" ht="14.25" customHeight="1">
      <c r="Q1055" s="192">
        <v>0</v>
      </c>
    </row>
    <row r="1056" spans="17:17" ht="14.25" customHeight="1">
      <c r="Q1056" s="192">
        <v>0</v>
      </c>
    </row>
    <row r="1057" spans="17:17" ht="14.25" customHeight="1">
      <c r="Q1057" s="192">
        <v>0</v>
      </c>
    </row>
    <row r="1058" spans="17:17" ht="14.25" customHeight="1">
      <c r="Q1058" s="192">
        <v>0</v>
      </c>
    </row>
    <row r="1059" spans="17:17" ht="14.25" customHeight="1">
      <c r="Q1059" s="192">
        <v>0</v>
      </c>
    </row>
    <row r="1060" spans="17:17" ht="14.25" customHeight="1">
      <c r="Q1060" s="192">
        <v>0</v>
      </c>
    </row>
    <row r="1061" spans="17:17" ht="14.25" customHeight="1">
      <c r="Q1061" s="192">
        <v>0</v>
      </c>
    </row>
    <row r="1062" spans="17:17" ht="14.25" customHeight="1">
      <c r="Q1062" s="192">
        <v>0</v>
      </c>
    </row>
    <row r="1063" spans="17:17" ht="14.25" customHeight="1">
      <c r="Q1063" s="192">
        <v>0</v>
      </c>
    </row>
    <row r="1064" spans="17:17" ht="14.25" customHeight="1">
      <c r="Q1064" s="192">
        <v>0</v>
      </c>
    </row>
    <row r="1065" spans="17:17" ht="14.25" customHeight="1">
      <c r="Q1065" s="192">
        <v>0</v>
      </c>
    </row>
    <row r="1066" spans="17:17" ht="14.25" customHeight="1">
      <c r="Q1066" s="192">
        <v>0</v>
      </c>
    </row>
    <row r="1067" spans="17:17" ht="14.25" customHeight="1">
      <c r="Q1067" s="192">
        <v>0</v>
      </c>
    </row>
    <row r="1068" spans="17:17" ht="14.25" customHeight="1">
      <c r="Q1068" s="192">
        <v>0</v>
      </c>
    </row>
    <row r="1069" spans="17:17" ht="14.25" customHeight="1">
      <c r="Q1069" s="192">
        <v>0</v>
      </c>
    </row>
    <row r="1070" spans="17:17" ht="14.25" customHeight="1">
      <c r="Q1070" s="192">
        <v>0</v>
      </c>
    </row>
    <row r="1071" spans="17:17" ht="14.25" customHeight="1">
      <c r="Q1071" s="192">
        <v>0</v>
      </c>
    </row>
    <row r="1072" spans="17:17" ht="14.25" customHeight="1">
      <c r="Q1072" s="192">
        <v>0</v>
      </c>
    </row>
    <row r="1073" spans="17:17" ht="14.25" customHeight="1">
      <c r="Q1073" s="192">
        <v>0</v>
      </c>
    </row>
    <row r="1074" spans="17:17" ht="14.25" customHeight="1">
      <c r="Q1074" s="192">
        <v>0</v>
      </c>
    </row>
    <row r="1075" spans="17:17" ht="14.25" customHeight="1">
      <c r="Q1075" s="192">
        <v>0</v>
      </c>
    </row>
    <row r="1076" spans="17:17" ht="14.25" customHeight="1">
      <c r="Q1076" s="192">
        <v>0</v>
      </c>
    </row>
    <row r="1077" spans="17:17" ht="14.25" customHeight="1">
      <c r="Q1077" s="192">
        <v>0</v>
      </c>
    </row>
    <row r="1078" spans="17:17" ht="14.25" customHeight="1">
      <c r="Q1078" s="192">
        <v>0</v>
      </c>
    </row>
    <row r="1079" spans="17:17" ht="14.25" customHeight="1">
      <c r="Q1079" s="192">
        <v>0</v>
      </c>
    </row>
    <row r="1080" spans="17:17" ht="14.25" customHeight="1">
      <c r="Q1080" s="192">
        <v>0</v>
      </c>
    </row>
    <row r="1081" spans="17:17" ht="14.25" customHeight="1">
      <c r="Q1081" s="192">
        <v>0</v>
      </c>
    </row>
    <row r="1082" spans="17:17" ht="14.25" customHeight="1">
      <c r="Q1082" s="192">
        <v>0</v>
      </c>
    </row>
    <row r="1083" spans="17:17" ht="14.25" customHeight="1">
      <c r="Q1083" s="192">
        <v>0</v>
      </c>
    </row>
    <row r="1084" spans="17:17" ht="14.25" customHeight="1">
      <c r="Q1084" s="192">
        <v>0</v>
      </c>
    </row>
    <row r="1085" spans="17:17" ht="14.25" customHeight="1">
      <c r="Q1085" s="192">
        <v>0</v>
      </c>
    </row>
    <row r="1086" spans="17:17" ht="14.25" customHeight="1">
      <c r="Q1086" s="192">
        <v>0</v>
      </c>
    </row>
    <row r="1087" spans="17:17" ht="14.25" customHeight="1">
      <c r="Q1087" s="192">
        <v>0</v>
      </c>
    </row>
    <row r="1088" spans="17:17" ht="14.25" customHeight="1">
      <c r="Q1088" s="192">
        <v>0</v>
      </c>
    </row>
    <row r="1089" spans="17:17" ht="14.25" customHeight="1">
      <c r="Q1089" s="192">
        <v>0</v>
      </c>
    </row>
    <row r="1090" spans="17:17" ht="14.25" customHeight="1">
      <c r="Q1090" s="192">
        <v>0</v>
      </c>
    </row>
    <row r="1091" spans="17:17" ht="14.25" customHeight="1">
      <c r="Q1091" s="192">
        <v>0</v>
      </c>
    </row>
    <row r="1092" spans="17:17" ht="14.25" customHeight="1">
      <c r="Q1092" s="192">
        <v>0</v>
      </c>
    </row>
    <row r="1093" spans="17:17" ht="14.25" customHeight="1">
      <c r="Q1093" s="192">
        <v>0</v>
      </c>
    </row>
    <row r="1094" spans="17:17" ht="14.25" customHeight="1">
      <c r="Q1094" s="192">
        <v>0</v>
      </c>
    </row>
    <row r="1095" spans="17:17" ht="14.25" customHeight="1">
      <c r="Q1095" s="192">
        <v>0</v>
      </c>
    </row>
    <row r="1096" spans="17:17" ht="14.25" customHeight="1">
      <c r="Q1096" s="192">
        <v>0</v>
      </c>
    </row>
    <row r="1097" spans="17:17" ht="14.25" customHeight="1">
      <c r="Q1097" s="192">
        <v>0</v>
      </c>
    </row>
    <row r="1098" spans="17:17" ht="14.25" customHeight="1">
      <c r="Q1098" s="192">
        <v>0</v>
      </c>
    </row>
    <row r="1099" spans="17:17" ht="14.25" customHeight="1">
      <c r="Q1099" s="192">
        <v>0</v>
      </c>
    </row>
    <row r="1100" spans="17:17" ht="14.25" customHeight="1">
      <c r="Q1100" s="192">
        <v>0</v>
      </c>
    </row>
    <row r="1101" spans="17:17" ht="14.25" customHeight="1">
      <c r="Q1101" s="192">
        <v>0</v>
      </c>
    </row>
    <row r="1102" spans="17:17" ht="14.25" customHeight="1">
      <c r="Q1102" s="192">
        <v>0</v>
      </c>
    </row>
    <row r="1103" spans="17:17" ht="14.25" customHeight="1">
      <c r="Q1103" s="192">
        <v>0</v>
      </c>
    </row>
    <row r="1104" spans="17:17" ht="14.25" customHeight="1">
      <c r="Q1104" s="192">
        <v>0</v>
      </c>
    </row>
    <row r="1105" spans="17:17" ht="14.25" customHeight="1">
      <c r="Q1105" s="192">
        <v>0</v>
      </c>
    </row>
    <row r="1106" spans="17:17" ht="14.25" customHeight="1">
      <c r="Q1106" s="192">
        <v>0</v>
      </c>
    </row>
    <row r="1107" spans="17:17" ht="14.25" customHeight="1">
      <c r="Q1107" s="192">
        <v>0</v>
      </c>
    </row>
    <row r="1108" spans="17:17" ht="14.25" customHeight="1">
      <c r="Q1108" s="192">
        <v>0</v>
      </c>
    </row>
    <row r="1109" spans="17:17" ht="14.25" customHeight="1">
      <c r="Q1109" s="192">
        <v>0</v>
      </c>
    </row>
    <row r="1110" spans="17:17" ht="14.25" customHeight="1">
      <c r="Q1110" s="192">
        <v>0</v>
      </c>
    </row>
    <row r="1111" spans="17:17" ht="14.25" customHeight="1">
      <c r="Q1111" s="192">
        <v>0</v>
      </c>
    </row>
    <row r="1112" spans="17:17" ht="14.25" customHeight="1">
      <c r="Q1112" s="192">
        <v>0</v>
      </c>
    </row>
    <row r="1113" spans="17:17" ht="14.25" customHeight="1">
      <c r="Q1113" s="192">
        <v>0</v>
      </c>
    </row>
    <row r="1114" spans="17:17" ht="14.25" customHeight="1">
      <c r="Q1114" s="192">
        <v>0</v>
      </c>
    </row>
    <row r="1115" spans="17:17" ht="14.25" customHeight="1">
      <c r="Q1115" s="192">
        <v>0</v>
      </c>
    </row>
    <row r="1116" spans="17:17" ht="14.25" customHeight="1">
      <c r="Q1116" s="192">
        <v>0</v>
      </c>
    </row>
    <row r="1117" spans="17:17" ht="14.25" customHeight="1">
      <c r="Q1117" s="192">
        <v>0</v>
      </c>
    </row>
    <row r="1118" spans="17:17" ht="14.25" customHeight="1">
      <c r="Q1118" s="192">
        <v>0</v>
      </c>
    </row>
    <row r="1119" spans="17:17" ht="14.25" customHeight="1">
      <c r="Q1119" s="192">
        <v>0</v>
      </c>
    </row>
    <row r="1120" spans="17:17" ht="14.25" customHeight="1">
      <c r="Q1120" s="192">
        <v>0</v>
      </c>
    </row>
    <row r="1121" spans="17:17" ht="14.25" customHeight="1">
      <c r="Q1121" s="192">
        <v>0</v>
      </c>
    </row>
    <row r="1122" spans="17:17" ht="14.25" customHeight="1">
      <c r="Q1122" s="192">
        <v>0</v>
      </c>
    </row>
    <row r="1123" spans="17:17" ht="14.25" customHeight="1">
      <c r="Q1123" s="192">
        <v>0</v>
      </c>
    </row>
    <row r="1124" spans="17:17" ht="14.25" customHeight="1">
      <c r="Q1124" s="192">
        <v>0</v>
      </c>
    </row>
    <row r="1125" spans="17:17" ht="14.25" customHeight="1">
      <c r="Q1125" s="192">
        <v>0</v>
      </c>
    </row>
    <row r="1126" spans="17:17" ht="14.25" customHeight="1">
      <c r="Q1126" s="192">
        <v>0</v>
      </c>
    </row>
    <row r="1127" spans="17:17" ht="14.25" customHeight="1">
      <c r="Q1127" s="192">
        <v>0</v>
      </c>
    </row>
    <row r="1128" spans="17:17" ht="14.25" customHeight="1">
      <c r="Q1128" s="192">
        <v>0</v>
      </c>
    </row>
    <row r="1129" spans="17:17" ht="14.25" customHeight="1">
      <c r="Q1129" s="192">
        <v>0</v>
      </c>
    </row>
    <row r="1130" spans="17:17" ht="14.25" customHeight="1">
      <c r="Q1130" s="192">
        <v>0</v>
      </c>
    </row>
    <row r="1131" spans="17:17" ht="14.25" customHeight="1">
      <c r="Q1131" s="192">
        <v>0</v>
      </c>
    </row>
    <row r="1132" spans="17:17" ht="14.25" customHeight="1">
      <c r="Q1132" s="192">
        <v>0</v>
      </c>
    </row>
    <row r="1133" spans="17:17" ht="14.25" customHeight="1">
      <c r="Q1133" s="192">
        <v>0</v>
      </c>
    </row>
    <row r="1134" spans="17:17" ht="14.25" customHeight="1">
      <c r="Q1134" s="192">
        <v>0</v>
      </c>
    </row>
    <row r="1135" spans="17:17" ht="14.25" customHeight="1">
      <c r="Q1135" s="192">
        <v>0</v>
      </c>
    </row>
    <row r="1136" spans="17:17" ht="14.25" customHeight="1">
      <c r="Q1136" s="192">
        <v>0</v>
      </c>
    </row>
    <row r="1137" spans="17:17" ht="14.25" customHeight="1">
      <c r="Q1137" s="192">
        <v>0</v>
      </c>
    </row>
    <row r="1138" spans="17:17" ht="14.25" customHeight="1">
      <c r="Q1138" s="192">
        <v>0</v>
      </c>
    </row>
    <row r="1139" spans="17:17" ht="14.25" customHeight="1">
      <c r="Q1139" s="192">
        <v>0</v>
      </c>
    </row>
    <row r="1140" spans="17:17" ht="14.25" customHeight="1">
      <c r="Q1140" s="192">
        <v>0</v>
      </c>
    </row>
    <row r="1141" spans="17:17" ht="14.25" customHeight="1">
      <c r="Q1141" s="192">
        <v>0</v>
      </c>
    </row>
    <row r="1142" spans="17:17" ht="14.25" customHeight="1">
      <c r="Q1142" s="192">
        <v>0</v>
      </c>
    </row>
    <row r="1143" spans="17:17" ht="14.25" customHeight="1">
      <c r="Q1143" s="192">
        <v>0</v>
      </c>
    </row>
    <row r="1144" spans="17:17" ht="14.25" customHeight="1">
      <c r="Q1144" s="192">
        <v>0</v>
      </c>
    </row>
    <row r="1145" spans="17:17" ht="14.25" customHeight="1">
      <c r="Q1145" s="192">
        <v>0</v>
      </c>
    </row>
    <row r="1146" spans="17:17" ht="14.25" customHeight="1">
      <c r="Q1146" s="192">
        <v>0</v>
      </c>
    </row>
    <row r="1147" spans="17:17" ht="14.25" customHeight="1">
      <c r="Q1147" s="192">
        <v>0</v>
      </c>
    </row>
    <row r="1148" spans="17:17" ht="14.25" customHeight="1">
      <c r="Q1148" s="192">
        <v>0</v>
      </c>
    </row>
    <row r="1149" spans="17:17" ht="14.25" customHeight="1">
      <c r="Q1149" s="192">
        <v>0</v>
      </c>
    </row>
    <row r="1150" spans="17:17" ht="14.25" customHeight="1">
      <c r="Q1150" s="192">
        <v>0</v>
      </c>
    </row>
    <row r="1151" spans="17:17" ht="14.25" customHeight="1">
      <c r="Q1151" s="192">
        <v>0</v>
      </c>
    </row>
    <row r="1152" spans="17:17" ht="14.25" customHeight="1">
      <c r="Q1152" s="192">
        <v>0</v>
      </c>
    </row>
    <row r="1153" spans="17:17" ht="14.25" customHeight="1">
      <c r="Q1153" s="192">
        <v>0</v>
      </c>
    </row>
    <row r="1154" spans="17:17" ht="14.25" customHeight="1">
      <c r="Q1154" s="192">
        <v>0</v>
      </c>
    </row>
    <row r="1155" spans="17:17" ht="14.25" customHeight="1">
      <c r="Q1155" s="192">
        <v>0</v>
      </c>
    </row>
    <row r="1156" spans="17:17" ht="14.25" customHeight="1">
      <c r="Q1156" s="192">
        <v>0</v>
      </c>
    </row>
    <row r="1157" spans="17:17" ht="14.25" customHeight="1">
      <c r="Q1157" s="192">
        <v>0</v>
      </c>
    </row>
    <row r="1158" spans="17:17" ht="14.25" customHeight="1">
      <c r="Q1158" s="192">
        <v>0</v>
      </c>
    </row>
    <row r="1159" spans="17:17" ht="14.25" customHeight="1">
      <c r="Q1159" s="192">
        <v>0</v>
      </c>
    </row>
    <row r="1160" spans="17:17" ht="14.25" customHeight="1">
      <c r="Q1160" s="192">
        <v>0</v>
      </c>
    </row>
    <row r="1161" spans="17:17" ht="14.25" customHeight="1">
      <c r="Q1161" s="192">
        <v>0</v>
      </c>
    </row>
    <row r="1162" spans="17:17" ht="14.25" customHeight="1">
      <c r="Q1162" s="192">
        <v>0</v>
      </c>
    </row>
    <row r="1163" spans="17:17" ht="14.25" customHeight="1">
      <c r="Q1163" s="192">
        <v>0</v>
      </c>
    </row>
    <row r="1164" spans="17:17" ht="14.25" customHeight="1">
      <c r="Q1164" s="192">
        <v>0</v>
      </c>
    </row>
    <row r="1165" spans="17:17" ht="14.25" customHeight="1">
      <c r="Q1165" s="192">
        <v>0</v>
      </c>
    </row>
    <row r="1166" spans="17:17" ht="14.25" customHeight="1">
      <c r="Q1166" s="192">
        <v>0</v>
      </c>
    </row>
    <row r="1167" spans="17:17" ht="14.25" customHeight="1">
      <c r="Q1167" s="192">
        <v>0</v>
      </c>
    </row>
    <row r="1168" spans="17:17" ht="14.25" customHeight="1">
      <c r="Q1168" s="192">
        <v>0</v>
      </c>
    </row>
    <row r="1169" spans="17:17" ht="14.25" customHeight="1">
      <c r="Q1169" s="192">
        <v>0</v>
      </c>
    </row>
    <row r="1170" spans="17:17" ht="14.25" customHeight="1">
      <c r="Q1170" s="192">
        <v>0</v>
      </c>
    </row>
    <row r="1171" spans="17:17" ht="14.25" customHeight="1">
      <c r="Q1171" s="192">
        <v>0</v>
      </c>
    </row>
    <row r="1172" spans="17:17" ht="14.25" customHeight="1">
      <c r="Q1172" s="192">
        <v>0</v>
      </c>
    </row>
    <row r="1173" spans="17:17" ht="14.25" customHeight="1">
      <c r="Q1173" s="192">
        <v>0</v>
      </c>
    </row>
    <row r="1174" spans="17:17" ht="14.25" customHeight="1">
      <c r="Q1174" s="192">
        <v>0</v>
      </c>
    </row>
    <row r="1175" spans="17:17" ht="14.25" customHeight="1">
      <c r="Q1175" s="192">
        <v>0</v>
      </c>
    </row>
    <row r="1176" spans="17:17" ht="14.25" customHeight="1">
      <c r="Q1176" s="192">
        <v>0</v>
      </c>
    </row>
    <row r="1177" spans="17:17" ht="14.25" customHeight="1">
      <c r="Q1177" s="192">
        <v>0</v>
      </c>
    </row>
    <row r="1178" spans="17:17" ht="14.25" customHeight="1">
      <c r="Q1178" s="192">
        <v>0</v>
      </c>
    </row>
    <row r="1179" spans="17:17" ht="14.25" customHeight="1">
      <c r="Q1179" s="192">
        <v>0</v>
      </c>
    </row>
    <row r="1180" spans="17:17" ht="14.25" customHeight="1">
      <c r="Q1180" s="192">
        <v>0</v>
      </c>
    </row>
    <row r="1181" spans="17:17" ht="14.25" customHeight="1">
      <c r="Q1181" s="192">
        <v>0</v>
      </c>
    </row>
    <row r="1182" spans="17:17" ht="14.25" customHeight="1">
      <c r="Q1182" s="192">
        <v>0</v>
      </c>
    </row>
    <row r="1183" spans="17:17" ht="14.25" customHeight="1">
      <c r="Q1183" s="192">
        <v>0</v>
      </c>
    </row>
    <row r="1184" spans="17:17" ht="14.25" customHeight="1">
      <c r="Q1184" s="192">
        <v>0</v>
      </c>
    </row>
    <row r="1185" spans="17:17" ht="14.25" customHeight="1">
      <c r="Q1185" s="192">
        <v>0</v>
      </c>
    </row>
    <row r="1186" spans="17:17" ht="14.25" customHeight="1">
      <c r="Q1186" s="192">
        <v>0</v>
      </c>
    </row>
    <row r="1187" spans="17:17" ht="14.25" customHeight="1">
      <c r="Q1187" s="192">
        <v>0</v>
      </c>
    </row>
    <row r="1188" spans="17:17" ht="14.25" customHeight="1">
      <c r="Q1188" s="192">
        <v>0</v>
      </c>
    </row>
    <row r="1189" spans="17:17" ht="14.25" customHeight="1">
      <c r="Q1189" s="192">
        <v>0</v>
      </c>
    </row>
    <row r="1190" spans="17:17" ht="14.25" customHeight="1">
      <c r="Q1190" s="192">
        <v>0</v>
      </c>
    </row>
    <row r="1191" spans="17:17" ht="14.25" customHeight="1">
      <c r="Q1191" s="192">
        <v>0</v>
      </c>
    </row>
    <row r="1192" spans="17:17" ht="14.25" customHeight="1">
      <c r="Q1192" s="192">
        <v>0</v>
      </c>
    </row>
    <row r="1193" spans="17:17" ht="14.25" customHeight="1">
      <c r="Q1193" s="192">
        <v>0</v>
      </c>
    </row>
    <row r="1194" spans="17:17" ht="14.25" customHeight="1">
      <c r="Q1194" s="192">
        <v>0</v>
      </c>
    </row>
    <row r="1195" spans="17:17" ht="14.25" customHeight="1">
      <c r="Q1195" s="192">
        <v>0</v>
      </c>
    </row>
    <row r="1196" spans="17:17" ht="14.25" customHeight="1">
      <c r="Q1196" s="192">
        <v>0</v>
      </c>
    </row>
    <row r="1197" spans="17:17" ht="14.25" customHeight="1">
      <c r="Q1197" s="192">
        <v>0</v>
      </c>
    </row>
    <row r="1198" spans="17:17" ht="14.25" customHeight="1">
      <c r="Q1198" s="192">
        <v>0</v>
      </c>
    </row>
    <row r="1199" spans="17:17" ht="14.25" customHeight="1">
      <c r="Q1199" s="192">
        <v>0</v>
      </c>
    </row>
    <row r="1200" spans="17:17" ht="14.25" customHeight="1">
      <c r="Q1200" s="192">
        <v>0</v>
      </c>
    </row>
    <row r="1201" spans="17:17" ht="14.25" customHeight="1">
      <c r="Q1201" s="192">
        <v>0</v>
      </c>
    </row>
    <row r="1202" spans="17:17" ht="14.25" customHeight="1">
      <c r="Q1202" s="192">
        <v>0</v>
      </c>
    </row>
    <row r="1203" spans="17:17" ht="14.25" customHeight="1">
      <c r="Q1203" s="192">
        <v>0</v>
      </c>
    </row>
    <row r="1204" spans="17:17" ht="14.25" customHeight="1">
      <c r="Q1204" s="192">
        <v>0</v>
      </c>
    </row>
    <row r="1205" spans="17:17" ht="14.25" customHeight="1">
      <c r="Q1205" s="192">
        <v>0</v>
      </c>
    </row>
    <row r="1206" spans="17:17" ht="14.25" customHeight="1">
      <c r="Q1206" s="192">
        <v>0</v>
      </c>
    </row>
    <row r="1207" spans="17:17" ht="14.25" customHeight="1">
      <c r="Q1207" s="192">
        <v>0</v>
      </c>
    </row>
    <row r="1208" spans="17:17" ht="14.25" customHeight="1">
      <c r="Q1208" s="192">
        <v>0</v>
      </c>
    </row>
    <row r="1209" spans="17:17" ht="14.25" customHeight="1">
      <c r="Q1209" s="192">
        <v>0</v>
      </c>
    </row>
    <row r="1210" spans="17:17" ht="14.25" customHeight="1">
      <c r="Q1210" s="192">
        <v>0</v>
      </c>
    </row>
    <row r="1211" spans="17:17" ht="14.25" customHeight="1">
      <c r="Q1211" s="192">
        <v>0</v>
      </c>
    </row>
    <row r="1212" spans="17:17" ht="14.25" customHeight="1">
      <c r="Q1212" s="192">
        <v>0</v>
      </c>
    </row>
    <row r="1213" spans="17:17" ht="14.25" customHeight="1">
      <c r="Q1213" s="192">
        <v>0</v>
      </c>
    </row>
    <row r="1214" spans="17:17" ht="14.25" customHeight="1">
      <c r="Q1214" s="192">
        <v>0</v>
      </c>
    </row>
    <row r="1215" spans="17:17" ht="14.25" customHeight="1">
      <c r="Q1215" s="192">
        <v>0</v>
      </c>
    </row>
    <row r="1216" spans="17:17" ht="14.25" customHeight="1">
      <c r="Q1216" s="192">
        <v>0</v>
      </c>
    </row>
    <row r="1217" spans="17:17" ht="14.25" customHeight="1">
      <c r="Q1217" s="192">
        <v>0</v>
      </c>
    </row>
    <row r="1218" spans="17:17" ht="14.25" customHeight="1">
      <c r="Q1218" s="192">
        <v>0</v>
      </c>
    </row>
    <row r="1219" spans="17:17" ht="14.25" customHeight="1">
      <c r="Q1219" s="192">
        <v>0</v>
      </c>
    </row>
    <row r="1220" spans="17:17" ht="14.25" customHeight="1">
      <c r="Q1220" s="192">
        <v>0</v>
      </c>
    </row>
    <row r="1221" spans="17:17" ht="14.25" customHeight="1">
      <c r="Q1221" s="192">
        <v>0</v>
      </c>
    </row>
    <row r="1222" spans="17:17" ht="14.25" customHeight="1">
      <c r="Q1222" s="192">
        <v>0</v>
      </c>
    </row>
    <row r="1223" spans="17:17" ht="14.25" customHeight="1">
      <c r="Q1223" s="192">
        <v>0</v>
      </c>
    </row>
    <row r="1224" spans="17:17" ht="14.25" customHeight="1">
      <c r="Q1224" s="192">
        <v>0</v>
      </c>
    </row>
    <row r="1225" spans="17:17" ht="14.25" customHeight="1">
      <c r="Q1225" s="192">
        <v>0</v>
      </c>
    </row>
    <row r="1226" spans="17:17" ht="14.25" customHeight="1">
      <c r="Q1226" s="192">
        <v>0</v>
      </c>
    </row>
    <row r="1227" spans="17:17" ht="14.25" customHeight="1">
      <c r="Q1227" s="192">
        <v>0</v>
      </c>
    </row>
    <row r="1228" spans="17:17" ht="14.25" customHeight="1">
      <c r="Q1228" s="192">
        <v>0</v>
      </c>
    </row>
    <row r="1229" spans="17:17" ht="14.25" customHeight="1">
      <c r="Q1229" s="192">
        <v>0</v>
      </c>
    </row>
    <row r="1230" spans="17:17" ht="14.25" customHeight="1">
      <c r="Q1230" s="192">
        <v>0</v>
      </c>
    </row>
    <row r="1231" spans="17:17" ht="14.25" customHeight="1">
      <c r="Q1231" s="192">
        <v>0</v>
      </c>
    </row>
    <row r="1232" spans="17:17" ht="14.25" customHeight="1">
      <c r="Q1232" s="192">
        <v>0</v>
      </c>
    </row>
    <row r="1233" spans="17:17" ht="14.25" customHeight="1">
      <c r="Q1233" s="192">
        <v>0</v>
      </c>
    </row>
    <row r="1234" spans="17:17" ht="14.25" customHeight="1">
      <c r="Q1234" s="192">
        <v>0</v>
      </c>
    </row>
    <row r="1235" spans="17:17" ht="14.25" customHeight="1">
      <c r="Q1235" s="192">
        <v>0</v>
      </c>
    </row>
    <row r="1236" spans="17:17" ht="14.25" customHeight="1">
      <c r="Q1236" s="192">
        <v>0</v>
      </c>
    </row>
    <row r="1237" spans="17:17" ht="14.25" customHeight="1">
      <c r="Q1237" s="192">
        <v>0</v>
      </c>
    </row>
    <row r="1238" spans="17:17" ht="14.25" customHeight="1">
      <c r="Q1238" s="192">
        <v>0</v>
      </c>
    </row>
    <row r="1239" spans="17:17" ht="14.25" customHeight="1">
      <c r="Q1239" s="192">
        <v>0</v>
      </c>
    </row>
    <row r="1240" spans="17:17" ht="14.25" customHeight="1">
      <c r="Q1240" s="192">
        <v>0</v>
      </c>
    </row>
    <row r="1241" spans="17:17" ht="14.25" customHeight="1">
      <c r="Q1241" s="192">
        <v>0</v>
      </c>
    </row>
    <row r="1242" spans="17:17" ht="14.25" customHeight="1">
      <c r="Q1242" s="192">
        <v>0</v>
      </c>
    </row>
    <row r="1243" spans="17:17" ht="14.25" customHeight="1">
      <c r="Q1243" s="192">
        <v>0</v>
      </c>
    </row>
    <row r="1244" spans="17:17" ht="14.25" customHeight="1">
      <c r="Q1244" s="192">
        <v>0</v>
      </c>
    </row>
    <row r="1245" spans="17:17" ht="14.25" customHeight="1">
      <c r="Q1245" s="192">
        <v>0</v>
      </c>
    </row>
    <row r="1246" spans="17:17" ht="14.25" customHeight="1">
      <c r="Q1246" s="192">
        <v>0</v>
      </c>
    </row>
    <row r="1247" spans="17:17" ht="14.25" customHeight="1">
      <c r="Q1247" s="192">
        <v>0</v>
      </c>
    </row>
    <row r="1248" spans="17:17" ht="14.25" customHeight="1">
      <c r="Q1248" s="192">
        <v>0</v>
      </c>
    </row>
    <row r="1249" spans="17:17" ht="14.25" customHeight="1">
      <c r="Q1249" s="192">
        <v>0</v>
      </c>
    </row>
    <row r="1250" spans="17:17" ht="14.25" customHeight="1">
      <c r="Q1250" s="192">
        <v>0</v>
      </c>
    </row>
    <row r="1251" spans="17:17" ht="14.25" customHeight="1">
      <c r="Q1251" s="192">
        <v>0</v>
      </c>
    </row>
    <row r="1252" spans="17:17" ht="14.25" customHeight="1">
      <c r="Q1252" s="192">
        <v>0</v>
      </c>
    </row>
    <row r="1253" spans="17:17" ht="14.25" customHeight="1">
      <c r="Q1253" s="192">
        <v>0</v>
      </c>
    </row>
    <row r="1254" spans="17:17" ht="14.25" customHeight="1">
      <c r="Q1254" s="192">
        <v>0</v>
      </c>
    </row>
    <row r="1255" spans="17:17" ht="14.25" customHeight="1">
      <c r="Q1255" s="192">
        <v>0</v>
      </c>
    </row>
    <row r="1256" spans="17:17" ht="14.25" customHeight="1">
      <c r="Q1256" s="192">
        <v>0</v>
      </c>
    </row>
    <row r="1257" spans="17:17" ht="14.25" customHeight="1">
      <c r="Q1257" s="192">
        <v>0</v>
      </c>
    </row>
    <row r="1258" spans="17:17" ht="14.25" customHeight="1">
      <c r="Q1258" s="192">
        <v>0</v>
      </c>
    </row>
    <row r="1259" spans="17:17" ht="14.25" customHeight="1">
      <c r="Q1259" s="192">
        <v>0</v>
      </c>
    </row>
    <row r="1260" spans="17:17" ht="14.25" customHeight="1">
      <c r="Q1260" s="192">
        <v>0</v>
      </c>
    </row>
    <row r="1261" spans="17:17" ht="14.25" customHeight="1">
      <c r="Q1261" s="192">
        <v>0</v>
      </c>
    </row>
    <row r="1262" spans="17:17" ht="14.25" customHeight="1">
      <c r="Q1262" s="192">
        <v>0</v>
      </c>
    </row>
    <row r="1263" spans="17:17" ht="14.25" customHeight="1">
      <c r="Q1263" s="192">
        <v>0</v>
      </c>
    </row>
    <row r="1264" spans="17:17" ht="14.25" customHeight="1">
      <c r="Q1264" s="192">
        <v>0</v>
      </c>
    </row>
    <row r="1265" spans="17:17" ht="14.25" customHeight="1">
      <c r="Q1265" s="192">
        <v>0</v>
      </c>
    </row>
    <row r="1266" spans="17:17" ht="14.25" customHeight="1">
      <c r="Q1266" s="192">
        <v>0</v>
      </c>
    </row>
    <row r="1267" spans="17:17" ht="14.25" customHeight="1">
      <c r="Q1267" s="192">
        <v>0</v>
      </c>
    </row>
    <row r="1268" spans="17:17" ht="14.25" customHeight="1">
      <c r="Q1268" s="192">
        <v>0</v>
      </c>
    </row>
    <row r="1269" spans="17:17" ht="14.25" customHeight="1">
      <c r="Q1269" s="192">
        <v>0</v>
      </c>
    </row>
    <row r="1270" spans="17:17" ht="14.25" customHeight="1">
      <c r="Q1270" s="192">
        <v>0</v>
      </c>
    </row>
    <row r="1271" spans="17:17" ht="14.25" customHeight="1">
      <c r="Q1271" s="192">
        <v>0</v>
      </c>
    </row>
    <row r="1272" spans="17:17" ht="14.25" customHeight="1">
      <c r="Q1272" s="192">
        <v>0</v>
      </c>
    </row>
    <row r="1273" spans="17:17" ht="14.25" customHeight="1">
      <c r="Q1273" s="192">
        <v>0</v>
      </c>
    </row>
    <row r="1274" spans="17:17" ht="14.25" customHeight="1">
      <c r="Q1274" s="192">
        <v>0</v>
      </c>
    </row>
    <row r="1275" spans="17:17" ht="14.25" customHeight="1">
      <c r="Q1275" s="192">
        <v>0</v>
      </c>
    </row>
    <row r="1276" spans="17:17" ht="14.25" customHeight="1">
      <c r="Q1276" s="192">
        <v>0</v>
      </c>
    </row>
    <row r="1277" spans="17:17" ht="14.25" customHeight="1">
      <c r="Q1277" s="192">
        <v>0</v>
      </c>
    </row>
    <row r="1278" spans="17:17" ht="14.25" customHeight="1">
      <c r="Q1278" s="192">
        <v>0</v>
      </c>
    </row>
    <row r="1279" spans="17:17" ht="14.25" customHeight="1">
      <c r="Q1279" s="192">
        <v>0</v>
      </c>
    </row>
    <row r="1280" spans="17:17" ht="14.25" customHeight="1">
      <c r="Q1280" s="192">
        <v>0</v>
      </c>
    </row>
    <row r="1281" spans="17:17" ht="14.25" customHeight="1">
      <c r="Q1281" s="192">
        <v>0</v>
      </c>
    </row>
    <row r="1282" spans="17:17" ht="14.25" customHeight="1">
      <c r="Q1282" s="192">
        <v>0</v>
      </c>
    </row>
    <row r="1283" spans="17:17" ht="14.25" customHeight="1">
      <c r="Q1283" s="192">
        <v>0</v>
      </c>
    </row>
    <row r="1284" spans="17:17" ht="14.25" customHeight="1">
      <c r="Q1284" s="192">
        <v>0</v>
      </c>
    </row>
    <row r="1285" spans="17:17" ht="14.25" customHeight="1">
      <c r="Q1285" s="192">
        <v>0</v>
      </c>
    </row>
    <row r="1286" spans="17:17" ht="14.25" customHeight="1">
      <c r="Q1286" s="192">
        <v>0</v>
      </c>
    </row>
    <row r="1287" spans="17:17" ht="14.25" customHeight="1">
      <c r="Q1287" s="192">
        <v>0</v>
      </c>
    </row>
    <row r="1288" spans="17:17" ht="14.25" customHeight="1">
      <c r="Q1288" s="192">
        <v>0</v>
      </c>
    </row>
    <row r="1289" spans="17:17" ht="14.25" customHeight="1">
      <c r="Q1289" s="192">
        <v>0</v>
      </c>
    </row>
    <row r="1290" spans="17:17" ht="14.25" customHeight="1">
      <c r="Q1290" s="192">
        <v>0</v>
      </c>
    </row>
    <row r="1291" spans="17:17" ht="14.25" customHeight="1">
      <c r="Q1291" s="192">
        <v>0</v>
      </c>
    </row>
    <row r="1292" spans="17:17" ht="14.25" customHeight="1">
      <c r="Q1292" s="192">
        <v>0</v>
      </c>
    </row>
    <row r="1293" spans="17:17" ht="14.25" customHeight="1">
      <c r="Q1293" s="192">
        <v>0</v>
      </c>
    </row>
    <row r="1294" spans="17:17" ht="14.25" customHeight="1">
      <c r="Q1294" s="192">
        <v>0</v>
      </c>
    </row>
    <row r="1295" spans="17:17" ht="14.25" customHeight="1">
      <c r="Q1295" s="192">
        <v>0</v>
      </c>
    </row>
    <row r="1296" spans="17:17" ht="14.25" customHeight="1">
      <c r="Q1296" s="192">
        <v>0</v>
      </c>
    </row>
    <row r="1297" spans="17:17" ht="14.25" customHeight="1">
      <c r="Q1297" s="192">
        <v>0</v>
      </c>
    </row>
    <row r="1298" spans="17:17" ht="14.25" customHeight="1">
      <c r="Q1298" s="192">
        <v>0</v>
      </c>
    </row>
    <row r="1299" spans="17:17" ht="14.25" customHeight="1">
      <c r="Q1299" s="192">
        <v>0</v>
      </c>
    </row>
    <row r="1300" spans="17:17" ht="14.25" customHeight="1">
      <c r="Q1300" s="192">
        <v>0</v>
      </c>
    </row>
    <row r="1301" spans="17:17" ht="14.25" customHeight="1">
      <c r="Q1301" s="192">
        <v>0</v>
      </c>
    </row>
    <row r="1302" spans="17:17" ht="14.25" customHeight="1">
      <c r="Q1302" s="192">
        <v>0</v>
      </c>
    </row>
    <row r="1303" spans="17:17" ht="14.25" customHeight="1">
      <c r="Q1303" s="192">
        <v>0</v>
      </c>
    </row>
    <row r="1304" spans="17:17" ht="14.25" customHeight="1">
      <c r="Q1304" s="192">
        <v>0</v>
      </c>
    </row>
    <row r="1305" spans="17:17" ht="14.25" customHeight="1">
      <c r="Q1305" s="192">
        <v>0</v>
      </c>
    </row>
    <row r="1306" spans="17:17" ht="14.25" customHeight="1">
      <c r="Q1306" s="192">
        <v>0</v>
      </c>
    </row>
    <row r="1307" spans="17:17" ht="14.25" customHeight="1">
      <c r="Q1307" s="192">
        <v>0</v>
      </c>
    </row>
    <row r="1308" spans="17:17" ht="14.25" customHeight="1">
      <c r="Q1308" s="192">
        <v>0</v>
      </c>
    </row>
    <row r="1309" spans="17:17" ht="14.25" customHeight="1">
      <c r="Q1309" s="192">
        <v>0</v>
      </c>
    </row>
    <row r="1310" spans="17:17" ht="14.25" customHeight="1">
      <c r="Q1310" s="192">
        <v>0</v>
      </c>
    </row>
    <row r="1311" spans="17:17" ht="14.25" customHeight="1">
      <c r="Q1311" s="192">
        <v>0</v>
      </c>
    </row>
    <row r="1312" spans="17:17" ht="14.25" customHeight="1">
      <c r="Q1312" s="192">
        <v>0</v>
      </c>
    </row>
    <row r="1313" spans="17:17" ht="14.25" customHeight="1">
      <c r="Q1313" s="192">
        <v>0</v>
      </c>
    </row>
    <row r="1314" spans="17:17" ht="14.25" customHeight="1">
      <c r="Q1314" s="192">
        <v>0</v>
      </c>
    </row>
    <row r="1315" spans="17:17" ht="14.25" customHeight="1">
      <c r="Q1315" s="192">
        <v>0</v>
      </c>
    </row>
    <row r="1316" spans="17:17" ht="14.25" customHeight="1">
      <c r="Q1316" s="192">
        <v>0</v>
      </c>
    </row>
    <row r="1317" spans="17:17" ht="14.25" customHeight="1">
      <c r="Q1317" s="192">
        <v>0</v>
      </c>
    </row>
    <row r="1318" spans="17:17" ht="14.25" customHeight="1">
      <c r="Q1318" s="192">
        <v>0</v>
      </c>
    </row>
    <row r="1319" spans="17:17" ht="14.25" customHeight="1">
      <c r="Q1319" s="192">
        <v>0</v>
      </c>
    </row>
    <row r="1320" spans="17:17" ht="14.25" customHeight="1">
      <c r="Q1320" s="192">
        <v>0</v>
      </c>
    </row>
    <row r="1321" spans="17:17" ht="14.25" customHeight="1">
      <c r="Q1321" s="192">
        <v>0</v>
      </c>
    </row>
    <row r="1322" spans="17:17" ht="14.25" customHeight="1">
      <c r="Q1322" s="192">
        <v>0</v>
      </c>
    </row>
    <row r="1323" spans="17:17" ht="14.25" customHeight="1">
      <c r="Q1323" s="192">
        <v>0</v>
      </c>
    </row>
    <row r="1324" spans="17:17" ht="14.25" customHeight="1">
      <c r="Q1324" s="192">
        <v>0</v>
      </c>
    </row>
    <row r="1325" spans="17:17" ht="14.25" customHeight="1">
      <c r="Q1325" s="192">
        <v>0</v>
      </c>
    </row>
    <row r="1326" spans="17:17" ht="14.25" customHeight="1">
      <c r="Q1326" s="192">
        <v>0</v>
      </c>
    </row>
    <row r="1327" spans="17:17" ht="14.25" customHeight="1">
      <c r="Q1327" s="192">
        <v>0</v>
      </c>
    </row>
    <row r="1328" spans="17:17" ht="14.25" customHeight="1">
      <c r="Q1328" s="192">
        <v>0</v>
      </c>
    </row>
    <row r="1329" spans="17:17" ht="14.25" customHeight="1">
      <c r="Q1329" s="192">
        <v>0</v>
      </c>
    </row>
    <row r="1330" spans="17:17" ht="14.25" customHeight="1">
      <c r="Q1330" s="192">
        <v>0</v>
      </c>
    </row>
    <row r="1331" spans="17:17" ht="14.25" customHeight="1">
      <c r="Q1331" s="192">
        <v>0</v>
      </c>
    </row>
    <row r="1332" spans="17:17" ht="14.25" customHeight="1">
      <c r="Q1332" s="192">
        <v>0</v>
      </c>
    </row>
    <row r="1333" spans="17:17" ht="14.25" customHeight="1">
      <c r="Q1333" s="192">
        <v>0</v>
      </c>
    </row>
    <row r="1334" spans="17:17" ht="14.25" customHeight="1">
      <c r="Q1334" s="192">
        <v>0</v>
      </c>
    </row>
    <row r="1335" spans="17:17" ht="14.25" customHeight="1">
      <c r="Q1335" s="192">
        <v>0</v>
      </c>
    </row>
    <row r="1336" spans="17:17" ht="14.25" customHeight="1">
      <c r="Q1336" s="192">
        <v>0</v>
      </c>
    </row>
    <row r="1337" spans="17:17" ht="14.25" customHeight="1">
      <c r="Q1337" s="192">
        <v>0</v>
      </c>
    </row>
    <row r="1338" spans="17:17" ht="14.25" customHeight="1">
      <c r="Q1338" s="192">
        <v>0</v>
      </c>
    </row>
    <row r="1339" spans="17:17" ht="14.25" customHeight="1">
      <c r="Q1339" s="192">
        <v>0</v>
      </c>
    </row>
    <row r="1340" spans="17:17" ht="14.25" customHeight="1">
      <c r="Q1340" s="192">
        <v>0</v>
      </c>
    </row>
    <row r="1341" spans="17:17" ht="14.25" customHeight="1">
      <c r="Q1341" s="192">
        <v>0</v>
      </c>
    </row>
    <row r="1342" spans="17:17" ht="14.25" customHeight="1">
      <c r="Q1342" s="192">
        <v>0</v>
      </c>
    </row>
    <row r="1343" spans="17:17" ht="14.25" customHeight="1">
      <c r="Q1343" s="192">
        <v>0</v>
      </c>
    </row>
    <row r="1344" spans="17:17" ht="14.25" customHeight="1">
      <c r="Q1344" s="192">
        <v>0</v>
      </c>
    </row>
    <row r="1345" spans="17:17" ht="14.25" customHeight="1">
      <c r="Q1345" s="192">
        <v>0</v>
      </c>
    </row>
    <row r="1346" spans="17:17" ht="14.25" customHeight="1">
      <c r="Q1346" s="192">
        <v>0</v>
      </c>
    </row>
    <row r="1347" spans="17:17" ht="14.25" customHeight="1">
      <c r="Q1347" s="192">
        <v>0</v>
      </c>
    </row>
    <row r="1348" spans="17:17" ht="14.25" customHeight="1">
      <c r="Q1348" s="192">
        <v>0</v>
      </c>
    </row>
    <row r="1349" spans="17:17" ht="14.25" customHeight="1">
      <c r="Q1349" s="192">
        <v>0</v>
      </c>
    </row>
    <row r="1350" spans="17:17" ht="14.25" customHeight="1">
      <c r="Q1350" s="192">
        <v>0</v>
      </c>
    </row>
    <row r="1351" spans="17:17" ht="14.25" customHeight="1">
      <c r="Q1351" s="192">
        <v>0</v>
      </c>
    </row>
    <row r="1352" spans="17:17" ht="14.25" customHeight="1">
      <c r="Q1352" s="192">
        <v>0</v>
      </c>
    </row>
    <row r="1353" spans="17:17" ht="14.25" customHeight="1">
      <c r="Q1353" s="192">
        <v>0</v>
      </c>
    </row>
    <row r="1354" spans="17:17" ht="14.25" customHeight="1">
      <c r="Q1354" s="192">
        <v>0</v>
      </c>
    </row>
    <row r="1355" spans="17:17" ht="14.25" customHeight="1">
      <c r="Q1355" s="192">
        <v>0</v>
      </c>
    </row>
    <row r="1356" spans="17:17" ht="14.25" customHeight="1">
      <c r="Q1356" s="192">
        <v>0</v>
      </c>
    </row>
    <row r="1357" spans="17:17" ht="14.25" customHeight="1">
      <c r="Q1357" s="192">
        <v>0</v>
      </c>
    </row>
    <row r="1358" spans="17:17" ht="14.25" customHeight="1">
      <c r="Q1358" s="192">
        <v>0</v>
      </c>
    </row>
    <row r="1359" spans="17:17" ht="14.25" customHeight="1">
      <c r="Q1359" s="192">
        <v>0</v>
      </c>
    </row>
    <row r="1360" spans="17:17" ht="14.25" customHeight="1">
      <c r="Q1360" s="192">
        <v>0</v>
      </c>
    </row>
    <row r="1361" spans="17:17" ht="14.25" customHeight="1">
      <c r="Q1361" s="192">
        <v>0</v>
      </c>
    </row>
    <row r="1362" spans="17:17" ht="14.25" customHeight="1">
      <c r="Q1362" s="192">
        <v>0</v>
      </c>
    </row>
    <row r="1363" spans="17:17" ht="14.25" customHeight="1">
      <c r="Q1363" s="192">
        <v>0</v>
      </c>
    </row>
    <row r="1364" spans="17:17" ht="14.25" customHeight="1">
      <c r="Q1364" s="192">
        <v>0</v>
      </c>
    </row>
    <row r="1365" spans="17:17" ht="14.25" customHeight="1">
      <c r="Q1365" s="192">
        <v>0</v>
      </c>
    </row>
    <row r="1366" spans="17:17" ht="14.25" customHeight="1">
      <c r="Q1366" s="192">
        <v>0</v>
      </c>
    </row>
    <row r="1367" spans="17:17" ht="14.25" customHeight="1">
      <c r="Q1367" s="192">
        <v>0</v>
      </c>
    </row>
    <row r="1368" spans="17:17" ht="14.25" customHeight="1">
      <c r="Q1368" s="192">
        <v>0</v>
      </c>
    </row>
    <row r="1369" spans="17:17" ht="14.25" customHeight="1">
      <c r="Q1369" s="192">
        <v>0</v>
      </c>
    </row>
    <row r="1370" spans="17:17" ht="14.25" customHeight="1">
      <c r="Q1370" s="192">
        <v>0</v>
      </c>
    </row>
    <row r="1371" spans="17:17" ht="14.25" customHeight="1">
      <c r="Q1371" s="192">
        <v>0</v>
      </c>
    </row>
    <row r="1372" spans="17:17" ht="14.25" customHeight="1">
      <c r="Q1372" s="192">
        <v>0</v>
      </c>
    </row>
    <row r="1373" spans="17:17" ht="14.25" customHeight="1">
      <c r="Q1373" s="192">
        <v>0</v>
      </c>
    </row>
    <row r="1374" spans="17:17" ht="14.25" customHeight="1">
      <c r="Q1374" s="192">
        <v>0</v>
      </c>
    </row>
    <row r="1375" spans="17:17" ht="14.25" customHeight="1">
      <c r="Q1375" s="192">
        <v>0</v>
      </c>
    </row>
    <row r="1376" spans="17:17" ht="14.25" customHeight="1">
      <c r="Q1376" s="192">
        <v>0</v>
      </c>
    </row>
    <row r="1377" spans="17:17" ht="14.25" customHeight="1">
      <c r="Q1377" s="192">
        <v>0</v>
      </c>
    </row>
    <row r="1378" spans="17:17" ht="14.25" customHeight="1">
      <c r="Q1378" s="192">
        <v>0</v>
      </c>
    </row>
    <row r="1379" spans="17:17" ht="14.25" customHeight="1">
      <c r="Q1379" s="192">
        <v>0</v>
      </c>
    </row>
    <row r="1380" spans="17:17" ht="14.25" customHeight="1">
      <c r="Q1380" s="192">
        <v>0</v>
      </c>
    </row>
    <row r="1381" spans="17:17" ht="14.25" customHeight="1">
      <c r="Q1381" s="192">
        <v>0</v>
      </c>
    </row>
    <row r="1382" spans="17:17" ht="14.25" customHeight="1">
      <c r="Q1382" s="192">
        <v>0</v>
      </c>
    </row>
    <row r="1383" spans="17:17" ht="14.25" customHeight="1">
      <c r="Q1383" s="192">
        <v>0</v>
      </c>
    </row>
    <row r="1384" spans="17:17" ht="14.25" customHeight="1">
      <c r="Q1384" s="192">
        <v>0</v>
      </c>
    </row>
    <row r="1385" spans="17:17" ht="14.25" customHeight="1">
      <c r="Q1385" s="192">
        <v>0</v>
      </c>
    </row>
    <row r="1386" spans="17:17" ht="14.25" customHeight="1">
      <c r="Q1386" s="192">
        <v>0</v>
      </c>
    </row>
    <row r="1387" spans="17:17" ht="14.25" customHeight="1">
      <c r="Q1387" s="192">
        <v>0</v>
      </c>
    </row>
    <row r="1388" spans="17:17" ht="14.25" customHeight="1">
      <c r="Q1388" s="192">
        <v>0</v>
      </c>
    </row>
    <row r="1389" spans="17:17" ht="14.25" customHeight="1">
      <c r="Q1389" s="192">
        <v>0</v>
      </c>
    </row>
    <row r="1390" spans="17:17" ht="14.25" customHeight="1">
      <c r="Q1390" s="192">
        <v>0</v>
      </c>
    </row>
    <row r="1391" spans="17:17" ht="14.25" customHeight="1">
      <c r="Q1391" s="192">
        <v>0</v>
      </c>
    </row>
    <row r="1392" spans="17:17" ht="14.25" customHeight="1">
      <c r="Q1392" s="192">
        <v>0</v>
      </c>
    </row>
    <row r="1393" spans="17:17" ht="14.25" customHeight="1">
      <c r="Q1393" s="192">
        <v>0</v>
      </c>
    </row>
    <row r="1394" spans="17:17" ht="14.25" customHeight="1">
      <c r="Q1394" s="192">
        <v>0</v>
      </c>
    </row>
    <row r="1395" spans="17:17" ht="14.25" customHeight="1">
      <c r="Q1395" s="192">
        <v>0</v>
      </c>
    </row>
    <row r="1396" spans="17:17" ht="14.25" customHeight="1">
      <c r="Q1396" s="192">
        <v>0</v>
      </c>
    </row>
    <row r="1397" spans="17:17" ht="14.25" customHeight="1">
      <c r="Q1397" s="192">
        <v>0</v>
      </c>
    </row>
    <row r="1398" spans="17:17" ht="14.25" customHeight="1">
      <c r="Q1398" s="192">
        <v>0</v>
      </c>
    </row>
    <row r="1399" spans="17:17" ht="14.25" customHeight="1">
      <c r="Q1399" s="192">
        <v>0</v>
      </c>
    </row>
    <row r="1400" spans="17:17" ht="14.25" customHeight="1">
      <c r="Q1400" s="192">
        <v>0</v>
      </c>
    </row>
    <row r="1401" spans="17:17" ht="14.25" customHeight="1">
      <c r="Q1401" s="192">
        <v>0</v>
      </c>
    </row>
    <row r="1402" spans="17:17" ht="14.25" customHeight="1">
      <c r="Q1402" s="192">
        <v>0</v>
      </c>
    </row>
    <row r="1403" spans="17:17" ht="14.25" customHeight="1">
      <c r="Q1403" s="192">
        <v>0</v>
      </c>
    </row>
    <row r="1404" spans="17:17" ht="14.25" customHeight="1">
      <c r="Q1404" s="192">
        <v>0</v>
      </c>
    </row>
    <row r="1405" spans="17:17" ht="14.25" customHeight="1">
      <c r="Q1405" s="192">
        <v>0</v>
      </c>
    </row>
    <row r="1406" spans="17:17" ht="14.25" customHeight="1">
      <c r="Q1406" s="192">
        <v>0</v>
      </c>
    </row>
    <row r="1407" spans="17:17" ht="14.25" customHeight="1">
      <c r="Q1407" s="192">
        <v>0</v>
      </c>
    </row>
    <row r="1408" spans="17:17" ht="14.25" customHeight="1">
      <c r="Q1408" s="192">
        <v>0</v>
      </c>
    </row>
    <row r="1409" spans="17:17" ht="14.25" customHeight="1">
      <c r="Q1409" s="192">
        <v>0</v>
      </c>
    </row>
    <row r="1410" spans="17:17" ht="14.25" customHeight="1">
      <c r="Q1410" s="192">
        <v>0</v>
      </c>
    </row>
    <row r="1411" spans="17:17" ht="14.25" customHeight="1">
      <c r="Q1411" s="192">
        <v>0</v>
      </c>
    </row>
    <row r="1412" spans="17:17" ht="14.25" customHeight="1">
      <c r="Q1412" s="192">
        <v>0</v>
      </c>
    </row>
    <row r="1413" spans="17:17" ht="14.25" customHeight="1">
      <c r="Q1413" s="192">
        <v>0</v>
      </c>
    </row>
    <row r="1414" spans="17:17" ht="14.25" customHeight="1">
      <c r="Q1414" s="192">
        <v>0</v>
      </c>
    </row>
    <row r="1415" spans="17:17" ht="14.25" customHeight="1">
      <c r="Q1415" s="192">
        <v>0</v>
      </c>
    </row>
    <row r="1416" spans="17:17" ht="14.25" customHeight="1">
      <c r="Q1416" s="192">
        <v>0</v>
      </c>
    </row>
    <row r="1417" spans="17:17" ht="14.25" customHeight="1">
      <c r="Q1417" s="192">
        <v>0</v>
      </c>
    </row>
    <row r="1418" spans="17:17" ht="14.25" customHeight="1">
      <c r="Q1418" s="192">
        <v>0</v>
      </c>
    </row>
    <row r="1419" spans="17:17" ht="14.25" customHeight="1">
      <c r="Q1419" s="192">
        <v>0</v>
      </c>
    </row>
    <row r="1420" spans="17:17" ht="14.25" customHeight="1">
      <c r="Q1420" s="192">
        <v>0</v>
      </c>
    </row>
    <row r="1421" spans="17:17" ht="14.25" customHeight="1">
      <c r="Q1421" s="192">
        <v>0</v>
      </c>
    </row>
    <row r="1422" spans="17:17" ht="14.25" customHeight="1">
      <c r="Q1422" s="192">
        <v>0</v>
      </c>
    </row>
    <row r="1423" spans="17:17" ht="14.25" customHeight="1">
      <c r="Q1423" s="192">
        <v>0</v>
      </c>
    </row>
    <row r="1424" spans="17:17" ht="14.25" customHeight="1">
      <c r="Q1424" s="192">
        <v>0</v>
      </c>
    </row>
    <row r="1425" spans="17:17" ht="14.25" customHeight="1">
      <c r="Q1425" s="192">
        <v>0</v>
      </c>
    </row>
    <row r="1426" spans="17:17" ht="14.25" customHeight="1">
      <c r="Q1426" s="192">
        <v>0</v>
      </c>
    </row>
    <row r="1427" spans="17:17" ht="14.25" customHeight="1">
      <c r="Q1427" s="192">
        <v>0</v>
      </c>
    </row>
    <row r="1428" spans="17:17" ht="14.25" customHeight="1">
      <c r="Q1428" s="192">
        <v>0</v>
      </c>
    </row>
    <row r="1429" spans="17:17" ht="14.25" customHeight="1">
      <c r="Q1429" s="192">
        <v>0</v>
      </c>
    </row>
    <row r="1430" spans="17:17" ht="14.25" customHeight="1">
      <c r="Q1430" s="192">
        <v>0</v>
      </c>
    </row>
    <row r="1431" spans="17:17" ht="14.25" customHeight="1">
      <c r="Q1431" s="192">
        <v>0</v>
      </c>
    </row>
    <row r="1432" spans="17:17" ht="14.25" customHeight="1">
      <c r="Q1432" s="192">
        <v>0</v>
      </c>
    </row>
    <row r="1433" spans="17:17" ht="14.25" customHeight="1">
      <c r="Q1433" s="192">
        <v>0</v>
      </c>
    </row>
    <row r="1434" spans="17:17" ht="14.25" customHeight="1">
      <c r="Q1434" s="192">
        <v>0</v>
      </c>
    </row>
    <row r="1435" spans="17:17" ht="14.25" customHeight="1">
      <c r="Q1435" s="192">
        <v>0</v>
      </c>
    </row>
    <row r="1436" spans="17:17" ht="14.25" customHeight="1">
      <c r="Q1436" s="192">
        <v>0</v>
      </c>
    </row>
    <row r="1437" spans="17:17" ht="14.25" customHeight="1">
      <c r="Q1437" s="192">
        <v>0</v>
      </c>
    </row>
    <row r="1438" spans="17:17" ht="14.25" customHeight="1">
      <c r="Q1438" s="192">
        <v>0</v>
      </c>
    </row>
    <row r="1439" spans="17:17" ht="14.25" customHeight="1">
      <c r="Q1439" s="192">
        <v>0</v>
      </c>
    </row>
    <row r="1440" spans="17:17" ht="14.25" customHeight="1">
      <c r="Q1440" s="192">
        <v>0</v>
      </c>
    </row>
    <row r="1441" spans="17:17" ht="14.25" customHeight="1">
      <c r="Q1441" s="192">
        <v>0</v>
      </c>
    </row>
    <row r="1442" spans="17:17" ht="14.25" customHeight="1">
      <c r="Q1442" s="192">
        <v>0</v>
      </c>
    </row>
    <row r="1443" spans="17:17" ht="14.25" customHeight="1">
      <c r="Q1443" s="192">
        <v>0</v>
      </c>
    </row>
    <row r="1444" spans="17:17" ht="14.25" customHeight="1">
      <c r="Q1444" s="192">
        <v>0</v>
      </c>
    </row>
    <row r="1445" spans="17:17" ht="14.25" customHeight="1">
      <c r="Q1445" s="192">
        <v>0</v>
      </c>
    </row>
    <row r="1446" spans="17:17" ht="14.25" customHeight="1">
      <c r="Q1446" s="192">
        <v>0</v>
      </c>
    </row>
    <row r="1447" spans="17:17" ht="14.25" customHeight="1">
      <c r="Q1447" s="192">
        <v>0</v>
      </c>
    </row>
    <row r="1448" spans="17:17" ht="14.25" customHeight="1">
      <c r="Q1448" s="192">
        <v>0</v>
      </c>
    </row>
    <row r="1449" spans="17:17" ht="14.25" customHeight="1">
      <c r="Q1449" s="192">
        <v>0</v>
      </c>
    </row>
    <row r="1450" spans="17:17" ht="14.25" customHeight="1">
      <c r="Q1450" s="192">
        <v>0</v>
      </c>
    </row>
    <row r="1451" spans="17:17" ht="14.25" customHeight="1">
      <c r="Q1451" s="192">
        <v>0</v>
      </c>
    </row>
    <row r="1452" spans="17:17" ht="14.25" customHeight="1">
      <c r="Q1452" s="192">
        <v>0</v>
      </c>
    </row>
    <row r="1453" spans="17:17" ht="14.25" customHeight="1">
      <c r="Q1453" s="192">
        <v>0</v>
      </c>
    </row>
    <row r="1454" spans="17:17" ht="14.25" customHeight="1">
      <c r="Q1454" s="192">
        <v>0</v>
      </c>
    </row>
    <row r="1455" spans="17:17" ht="14.25" customHeight="1">
      <c r="Q1455" s="192">
        <v>0</v>
      </c>
    </row>
    <row r="1456" spans="17:17" ht="14.25" customHeight="1">
      <c r="Q1456" s="192">
        <v>0</v>
      </c>
    </row>
    <row r="1457" spans="17:17" ht="14.25" customHeight="1">
      <c r="Q1457" s="192">
        <v>0</v>
      </c>
    </row>
    <row r="1458" spans="17:17" ht="14.25" customHeight="1">
      <c r="Q1458" s="192">
        <v>0</v>
      </c>
    </row>
    <row r="1459" spans="17:17" ht="14.25" customHeight="1">
      <c r="Q1459" s="192">
        <v>0</v>
      </c>
    </row>
    <row r="1460" spans="17:17" ht="14.25" customHeight="1">
      <c r="Q1460" s="192">
        <v>0</v>
      </c>
    </row>
    <row r="1461" spans="17:17" ht="14.25" customHeight="1">
      <c r="Q1461" s="192">
        <v>0</v>
      </c>
    </row>
    <row r="1462" spans="17:17" ht="14.25" customHeight="1">
      <c r="Q1462" s="192">
        <v>0</v>
      </c>
    </row>
    <row r="1463" spans="17:17" ht="14.25" customHeight="1">
      <c r="Q1463" s="192">
        <v>0</v>
      </c>
    </row>
    <row r="1464" spans="17:17" ht="14.25" customHeight="1">
      <c r="Q1464" s="192">
        <v>0</v>
      </c>
    </row>
    <row r="1465" spans="17:17" ht="14.25" customHeight="1">
      <c r="Q1465" s="192">
        <v>0</v>
      </c>
    </row>
    <row r="1466" spans="17:17" ht="14.25" customHeight="1">
      <c r="Q1466" s="192">
        <v>0</v>
      </c>
    </row>
    <row r="1467" spans="17:17" ht="14.25" customHeight="1">
      <c r="Q1467" s="192">
        <v>0</v>
      </c>
    </row>
    <row r="1468" spans="17:17" ht="14.25" customHeight="1">
      <c r="Q1468" s="192">
        <v>0</v>
      </c>
    </row>
    <row r="1469" spans="17:17" ht="14.25" customHeight="1">
      <c r="Q1469" s="192">
        <v>0</v>
      </c>
    </row>
    <row r="1470" spans="17:17" ht="14.25" customHeight="1">
      <c r="Q1470" s="192">
        <v>0</v>
      </c>
    </row>
    <row r="1471" spans="17:17" ht="14.25" customHeight="1">
      <c r="Q1471" s="192">
        <v>0</v>
      </c>
    </row>
    <row r="1472" spans="17:17" ht="14.25" customHeight="1">
      <c r="Q1472" s="192">
        <v>0</v>
      </c>
    </row>
    <row r="1473" spans="17:17" ht="14.25" customHeight="1">
      <c r="Q1473" s="192">
        <v>0</v>
      </c>
    </row>
    <row r="1474" spans="17:17" ht="14.25" customHeight="1">
      <c r="Q1474" s="192">
        <v>0</v>
      </c>
    </row>
    <row r="1475" spans="17:17" ht="14.25" customHeight="1">
      <c r="Q1475" s="192">
        <v>0</v>
      </c>
    </row>
    <row r="1476" spans="17:17" ht="14.25" customHeight="1">
      <c r="Q1476" s="192">
        <v>0</v>
      </c>
    </row>
    <row r="1477" spans="17:17" ht="14.25" customHeight="1">
      <c r="Q1477" s="192">
        <v>0</v>
      </c>
    </row>
    <row r="1478" spans="17:17" ht="14.25" customHeight="1">
      <c r="Q1478" s="192">
        <v>0</v>
      </c>
    </row>
    <row r="1479" spans="17:17" ht="14.25" customHeight="1">
      <c r="Q1479" s="192">
        <v>0</v>
      </c>
    </row>
    <row r="1480" spans="17:17" ht="14.25" customHeight="1">
      <c r="Q1480" s="192">
        <v>0</v>
      </c>
    </row>
    <row r="1481" spans="17:17" ht="14.25" customHeight="1">
      <c r="Q1481" s="192">
        <v>0</v>
      </c>
    </row>
    <row r="1482" spans="17:17" ht="14.25" customHeight="1">
      <c r="Q1482" s="192">
        <v>0</v>
      </c>
    </row>
    <row r="1483" spans="17:17" ht="14.25" customHeight="1">
      <c r="Q1483" s="192">
        <v>0</v>
      </c>
    </row>
    <row r="1484" spans="17:17" ht="14.25" customHeight="1">
      <c r="Q1484" s="192">
        <v>0</v>
      </c>
    </row>
    <row r="1485" spans="17:17" ht="14.25" customHeight="1">
      <c r="Q1485" s="192">
        <v>0</v>
      </c>
    </row>
    <row r="1486" spans="17:17" ht="14.25" customHeight="1">
      <c r="Q1486" s="192">
        <v>0</v>
      </c>
    </row>
    <row r="1487" spans="17:17" ht="14.25" customHeight="1">
      <c r="Q1487" s="192">
        <v>0</v>
      </c>
    </row>
    <row r="1488" spans="17:17" ht="14.25" customHeight="1">
      <c r="Q1488" s="192">
        <v>0</v>
      </c>
    </row>
    <row r="1489" spans="17:17" ht="14.25" customHeight="1">
      <c r="Q1489" s="192">
        <v>0</v>
      </c>
    </row>
    <row r="1490" spans="17:17" ht="14.25" customHeight="1">
      <c r="Q1490" s="192">
        <v>0</v>
      </c>
    </row>
    <row r="1491" spans="17:17" ht="14.25" customHeight="1">
      <c r="Q1491" s="192">
        <v>0</v>
      </c>
    </row>
    <row r="1492" spans="17:17" ht="14.25" customHeight="1">
      <c r="Q1492" s="192">
        <v>0</v>
      </c>
    </row>
    <row r="1493" spans="17:17" ht="14.25" customHeight="1">
      <c r="Q1493" s="192">
        <v>0</v>
      </c>
    </row>
    <row r="1494" spans="17:17" ht="14.25" customHeight="1">
      <c r="Q1494" s="192">
        <v>0</v>
      </c>
    </row>
    <row r="1495" spans="17:17" ht="14.25" customHeight="1">
      <c r="Q1495" s="192">
        <v>0</v>
      </c>
    </row>
    <row r="1496" spans="17:17" ht="14.25" customHeight="1">
      <c r="Q1496" s="192">
        <v>0</v>
      </c>
    </row>
    <row r="1497" spans="17:17" ht="14.25" customHeight="1">
      <c r="Q1497" s="192">
        <v>0</v>
      </c>
    </row>
    <row r="1498" spans="17:17" ht="14.25" customHeight="1">
      <c r="Q1498" s="192">
        <v>0</v>
      </c>
    </row>
    <row r="1499" spans="17:17" ht="14.25" customHeight="1">
      <c r="Q1499" s="192">
        <v>0</v>
      </c>
    </row>
    <row r="1500" spans="17:17" ht="14.25" customHeight="1">
      <c r="Q1500" s="192">
        <v>0</v>
      </c>
    </row>
    <row r="1501" spans="17:17" ht="14.25" customHeight="1">
      <c r="Q1501" s="192">
        <v>0</v>
      </c>
    </row>
    <row r="1502" spans="17:17" ht="14.25" customHeight="1">
      <c r="Q1502" s="192">
        <v>0</v>
      </c>
    </row>
    <row r="1503" spans="17:17" ht="14.25" customHeight="1">
      <c r="Q1503" s="192">
        <v>0</v>
      </c>
    </row>
    <row r="1504" spans="17:17" ht="14.25" customHeight="1">
      <c r="Q1504" s="192">
        <v>0</v>
      </c>
    </row>
    <row r="1505" spans="17:17" ht="14.25" customHeight="1">
      <c r="Q1505" s="192">
        <v>0</v>
      </c>
    </row>
    <row r="1506" spans="17:17" ht="14.25" customHeight="1">
      <c r="Q1506" s="192">
        <v>0</v>
      </c>
    </row>
    <row r="1507" spans="17:17" ht="14.25" customHeight="1">
      <c r="Q1507" s="192">
        <v>0</v>
      </c>
    </row>
    <row r="1508" spans="17:17" ht="14.25" customHeight="1">
      <c r="Q1508" s="192">
        <v>0</v>
      </c>
    </row>
    <row r="1509" spans="17:17" ht="14.25" customHeight="1">
      <c r="Q1509" s="192">
        <v>0</v>
      </c>
    </row>
    <row r="1510" spans="17:17" ht="14.25" customHeight="1">
      <c r="Q1510" s="192">
        <v>0</v>
      </c>
    </row>
    <row r="1511" spans="17:17" ht="14.25" customHeight="1">
      <c r="Q1511" s="192">
        <v>0</v>
      </c>
    </row>
    <row r="1512" spans="17:17" ht="14.25" customHeight="1">
      <c r="Q1512" s="192">
        <v>0</v>
      </c>
    </row>
    <row r="1513" spans="17:17" ht="14.25" customHeight="1">
      <c r="Q1513" s="192">
        <v>0</v>
      </c>
    </row>
    <row r="1514" spans="17:17" ht="14.25" customHeight="1">
      <c r="Q1514" s="192">
        <v>0</v>
      </c>
    </row>
    <row r="1515" spans="17:17" ht="14.25" customHeight="1">
      <c r="Q1515" s="192">
        <v>0</v>
      </c>
    </row>
    <row r="1516" spans="17:17" ht="14.25" customHeight="1">
      <c r="Q1516" s="192">
        <v>0</v>
      </c>
    </row>
    <row r="1517" spans="17:17" ht="14.25" customHeight="1">
      <c r="Q1517" s="192">
        <v>0</v>
      </c>
    </row>
    <row r="1518" spans="17:17" ht="14.25" customHeight="1">
      <c r="Q1518" s="192">
        <v>0</v>
      </c>
    </row>
    <row r="1519" spans="17:17" ht="14.25" customHeight="1">
      <c r="Q1519" s="192">
        <v>0</v>
      </c>
    </row>
    <row r="1520" spans="17:17" ht="14.25" customHeight="1">
      <c r="Q1520" s="192">
        <v>0</v>
      </c>
    </row>
    <row r="1521" spans="17:17" ht="14.25" customHeight="1">
      <c r="Q1521" s="192">
        <v>0</v>
      </c>
    </row>
    <row r="1522" spans="17:17" ht="14.25" customHeight="1">
      <c r="Q1522" s="192">
        <v>0</v>
      </c>
    </row>
    <row r="1523" spans="17:17" ht="14.25" customHeight="1">
      <c r="Q1523" s="192">
        <v>0</v>
      </c>
    </row>
    <row r="1524" spans="17:17" ht="14.25" customHeight="1">
      <c r="Q1524" s="192">
        <v>0</v>
      </c>
    </row>
    <row r="1525" spans="17:17" ht="14.25" customHeight="1">
      <c r="Q1525" s="192">
        <v>0</v>
      </c>
    </row>
    <row r="1526" spans="17:17" ht="14.25" customHeight="1">
      <c r="Q1526" s="192">
        <v>0</v>
      </c>
    </row>
    <row r="1527" spans="17:17" ht="14.25" customHeight="1">
      <c r="Q1527" s="192">
        <v>0</v>
      </c>
    </row>
    <row r="1528" spans="17:17" ht="14.25" customHeight="1">
      <c r="Q1528" s="192">
        <v>0</v>
      </c>
    </row>
    <row r="1529" spans="17:17" ht="14.25" customHeight="1">
      <c r="Q1529" s="192">
        <v>0</v>
      </c>
    </row>
    <row r="1530" spans="17:17" ht="14.25" customHeight="1">
      <c r="Q1530" s="192">
        <v>0</v>
      </c>
    </row>
    <row r="1531" spans="17:17" ht="14.25" customHeight="1">
      <c r="Q1531" s="192">
        <v>0</v>
      </c>
    </row>
    <row r="1532" spans="17:17" ht="14.25" customHeight="1">
      <c r="Q1532" s="192">
        <v>0</v>
      </c>
    </row>
    <row r="1533" spans="17:17" ht="14.25" customHeight="1">
      <c r="Q1533" s="192">
        <v>0</v>
      </c>
    </row>
    <row r="1534" spans="17:17" ht="14.25" customHeight="1">
      <c r="Q1534" s="192">
        <v>0</v>
      </c>
    </row>
    <row r="1535" spans="17:17" ht="14.25" customHeight="1">
      <c r="Q1535" s="192">
        <v>0</v>
      </c>
    </row>
    <row r="1536" spans="17:17" ht="14.25" customHeight="1">
      <c r="Q1536" s="192">
        <v>0</v>
      </c>
    </row>
    <row r="1537" spans="17:17" ht="14.25" customHeight="1">
      <c r="Q1537" s="192">
        <v>0</v>
      </c>
    </row>
    <row r="1538" spans="17:17" ht="14.25" customHeight="1">
      <c r="Q1538" s="192">
        <v>0</v>
      </c>
    </row>
    <row r="1539" spans="17:17" ht="14.25" customHeight="1">
      <c r="Q1539" s="192">
        <v>0</v>
      </c>
    </row>
    <row r="1540" spans="17:17" ht="14.25" customHeight="1">
      <c r="Q1540" s="192">
        <v>0</v>
      </c>
    </row>
    <row r="1541" spans="17:17" ht="14.25" customHeight="1">
      <c r="Q1541" s="192">
        <v>0</v>
      </c>
    </row>
    <row r="1542" spans="17:17" ht="14.25" customHeight="1">
      <c r="Q1542" s="192">
        <v>0</v>
      </c>
    </row>
    <row r="1543" spans="17:17" ht="14.25" customHeight="1">
      <c r="Q1543" s="192">
        <v>0</v>
      </c>
    </row>
    <row r="1544" spans="17:17" ht="14.25" customHeight="1">
      <c r="Q1544" s="192">
        <v>0</v>
      </c>
    </row>
    <row r="1545" spans="17:17" ht="14.25" customHeight="1">
      <c r="Q1545" s="192">
        <v>0</v>
      </c>
    </row>
    <row r="1546" spans="17:17" ht="14.25" customHeight="1">
      <c r="Q1546" s="192">
        <v>0</v>
      </c>
    </row>
    <row r="1547" spans="17:17" ht="14.25" customHeight="1">
      <c r="Q1547" s="192">
        <v>0</v>
      </c>
    </row>
    <row r="1548" spans="17:17" ht="14.25" customHeight="1">
      <c r="Q1548" s="192">
        <v>0</v>
      </c>
    </row>
    <row r="1549" spans="17:17" ht="14.25" customHeight="1">
      <c r="Q1549" s="192">
        <v>0</v>
      </c>
    </row>
    <row r="1550" spans="17:17" ht="14.25" customHeight="1">
      <c r="Q1550" s="192">
        <v>0</v>
      </c>
    </row>
    <row r="1551" spans="17:17" ht="14.25" customHeight="1">
      <c r="Q1551" s="192">
        <v>0</v>
      </c>
    </row>
    <row r="1552" spans="17:17" ht="14.25" customHeight="1">
      <c r="Q1552" s="192">
        <v>0</v>
      </c>
    </row>
    <row r="1553" spans="17:17" ht="14.25" customHeight="1">
      <c r="Q1553" s="192">
        <v>0</v>
      </c>
    </row>
    <row r="1554" spans="17:17" ht="14.25" customHeight="1">
      <c r="Q1554" s="192">
        <v>0</v>
      </c>
    </row>
    <row r="1555" spans="17:17" ht="14.25" customHeight="1">
      <c r="Q1555" s="192">
        <v>0</v>
      </c>
    </row>
    <row r="1556" spans="17:17" ht="14.25" customHeight="1">
      <c r="Q1556" s="192">
        <v>0</v>
      </c>
    </row>
    <row r="1557" spans="17:17" ht="14.25" customHeight="1">
      <c r="Q1557" s="192">
        <v>0</v>
      </c>
    </row>
    <row r="1558" spans="17:17" ht="14.25" customHeight="1">
      <c r="Q1558" s="192">
        <v>0</v>
      </c>
    </row>
    <row r="1559" spans="17:17" ht="14.25" customHeight="1">
      <c r="Q1559" s="192">
        <v>0</v>
      </c>
    </row>
    <row r="1560" spans="17:17" ht="14.25" customHeight="1">
      <c r="Q1560" s="192">
        <v>0</v>
      </c>
    </row>
    <row r="1561" spans="17:17" ht="14.25" customHeight="1">
      <c r="Q1561" s="192">
        <v>0</v>
      </c>
    </row>
    <row r="1562" spans="17:17" ht="14.25" customHeight="1">
      <c r="Q1562" s="192">
        <v>0</v>
      </c>
    </row>
    <row r="1563" spans="17:17" ht="14.25" customHeight="1">
      <c r="Q1563" s="192">
        <v>0</v>
      </c>
    </row>
    <row r="1564" spans="17:17" ht="14.25" customHeight="1">
      <c r="Q1564" s="192">
        <v>0</v>
      </c>
    </row>
    <row r="1565" spans="17:17" ht="14.25" customHeight="1">
      <c r="Q1565" s="192">
        <v>0</v>
      </c>
    </row>
    <row r="1566" spans="17:17" ht="14.25" customHeight="1">
      <c r="Q1566" s="192">
        <v>0</v>
      </c>
    </row>
    <row r="1567" spans="17:17" ht="14.25" customHeight="1">
      <c r="Q1567" s="192">
        <v>0</v>
      </c>
    </row>
    <row r="1568" spans="17:17" ht="14.25" customHeight="1">
      <c r="Q1568" s="192">
        <v>0</v>
      </c>
    </row>
    <row r="1569" spans="17:17" ht="14.25" customHeight="1">
      <c r="Q1569" s="192">
        <v>0</v>
      </c>
    </row>
    <row r="1570" spans="17:17" ht="14.25" customHeight="1">
      <c r="Q1570" s="192">
        <v>0</v>
      </c>
    </row>
    <row r="1571" spans="17:17" ht="14.25" customHeight="1">
      <c r="Q1571" s="192">
        <v>0</v>
      </c>
    </row>
    <row r="1572" spans="17:17" ht="14.25" customHeight="1">
      <c r="Q1572" s="192">
        <v>0</v>
      </c>
    </row>
    <row r="1573" spans="17:17" ht="14.25" customHeight="1">
      <c r="Q1573" s="192">
        <v>0</v>
      </c>
    </row>
    <row r="1574" spans="17:17" ht="14.25" customHeight="1">
      <c r="Q1574" s="192">
        <v>0</v>
      </c>
    </row>
    <row r="1575" spans="17:17" ht="14.25" customHeight="1">
      <c r="Q1575" s="192">
        <v>0</v>
      </c>
    </row>
    <row r="1576" spans="17:17" ht="14.25" customHeight="1">
      <c r="Q1576" s="192">
        <v>0</v>
      </c>
    </row>
    <row r="1577" spans="17:17" ht="14.25" customHeight="1">
      <c r="Q1577" s="192">
        <v>0</v>
      </c>
    </row>
    <row r="1578" spans="17:17" ht="14.25" customHeight="1">
      <c r="Q1578" s="192">
        <v>0</v>
      </c>
    </row>
    <row r="1579" spans="17:17" ht="14.25" customHeight="1">
      <c r="Q1579" s="192">
        <v>0</v>
      </c>
    </row>
    <row r="1580" spans="17:17" ht="14.25" customHeight="1">
      <c r="Q1580" s="192">
        <v>0</v>
      </c>
    </row>
    <row r="1581" spans="17:17" ht="14.25" customHeight="1">
      <c r="Q1581" s="192">
        <v>0</v>
      </c>
    </row>
    <row r="1582" spans="17:17" ht="14.25" customHeight="1">
      <c r="Q1582" s="192">
        <v>0</v>
      </c>
    </row>
    <row r="1583" spans="17:17" ht="14.25" customHeight="1">
      <c r="Q1583" s="192">
        <v>0</v>
      </c>
    </row>
    <row r="1584" spans="17:17" ht="14.25" customHeight="1">
      <c r="Q1584" s="192">
        <v>0</v>
      </c>
    </row>
    <row r="1585" spans="17:17" ht="14.25" customHeight="1">
      <c r="Q1585" s="192">
        <v>0</v>
      </c>
    </row>
    <row r="1586" spans="17:17" ht="14.25" customHeight="1">
      <c r="Q1586" s="192">
        <v>0</v>
      </c>
    </row>
    <row r="1587" spans="17:17" ht="14.25" customHeight="1">
      <c r="Q1587" s="192">
        <v>0</v>
      </c>
    </row>
    <row r="1588" spans="17:17" ht="14.25" customHeight="1">
      <c r="Q1588" s="192">
        <v>0</v>
      </c>
    </row>
    <row r="1589" spans="17:17" ht="14.25" customHeight="1">
      <c r="Q1589" s="192">
        <v>0</v>
      </c>
    </row>
    <row r="1590" spans="17:17" ht="14.25" customHeight="1">
      <c r="Q1590" s="192">
        <v>0</v>
      </c>
    </row>
    <row r="1591" spans="17:17" ht="14.25" customHeight="1">
      <c r="Q1591" s="192">
        <v>0</v>
      </c>
    </row>
    <row r="1592" spans="17:17" ht="14.25" customHeight="1">
      <c r="Q1592" s="192">
        <v>0</v>
      </c>
    </row>
    <row r="1593" spans="17:17" ht="14.25" customHeight="1">
      <c r="Q1593" s="192">
        <v>0</v>
      </c>
    </row>
    <row r="1594" spans="17:17" ht="14.25" customHeight="1">
      <c r="Q1594" s="192">
        <v>0</v>
      </c>
    </row>
    <row r="1595" spans="17:17" ht="14.25" customHeight="1">
      <c r="Q1595" s="192">
        <v>0</v>
      </c>
    </row>
    <row r="1596" spans="17:17" ht="14.25" customHeight="1">
      <c r="Q1596" s="192">
        <v>0</v>
      </c>
    </row>
    <row r="1597" spans="17:17" ht="14.25" customHeight="1">
      <c r="Q1597" s="192">
        <v>0</v>
      </c>
    </row>
    <row r="1598" spans="17:17" ht="14.25" customHeight="1">
      <c r="Q1598" s="192">
        <v>0</v>
      </c>
    </row>
    <row r="1599" spans="17:17" ht="14.25" customHeight="1">
      <c r="Q1599" s="192">
        <v>0</v>
      </c>
    </row>
    <row r="1600" spans="17:17" ht="14.25" customHeight="1">
      <c r="Q1600" s="192">
        <v>0</v>
      </c>
    </row>
    <row r="1601" spans="17:17" ht="14.25" customHeight="1">
      <c r="Q1601" s="192">
        <v>0</v>
      </c>
    </row>
    <row r="1602" spans="17:17" ht="14.25" customHeight="1">
      <c r="Q1602" s="192">
        <v>0</v>
      </c>
    </row>
    <row r="1603" spans="17:17" ht="14.25" customHeight="1">
      <c r="Q1603" s="192">
        <v>0</v>
      </c>
    </row>
    <row r="1604" spans="17:17" ht="14.25" customHeight="1">
      <c r="Q1604" s="192">
        <v>0</v>
      </c>
    </row>
    <row r="1605" spans="17:17" ht="14.25" customHeight="1">
      <c r="Q1605" s="192">
        <v>0</v>
      </c>
    </row>
    <row r="1606" spans="17:17" ht="14.25" customHeight="1">
      <c r="Q1606" s="192">
        <v>0</v>
      </c>
    </row>
    <row r="1607" spans="17:17" ht="14.25" customHeight="1">
      <c r="Q1607" s="192">
        <v>0</v>
      </c>
    </row>
    <row r="1608" spans="17:17" ht="14.25" customHeight="1">
      <c r="Q1608" s="192">
        <v>0</v>
      </c>
    </row>
    <row r="1609" spans="17:17" ht="14.25" customHeight="1">
      <c r="Q1609" s="192">
        <v>0</v>
      </c>
    </row>
    <row r="1610" spans="17:17" ht="14.25" customHeight="1">
      <c r="Q1610" s="192">
        <v>0</v>
      </c>
    </row>
    <row r="1611" spans="17:17" ht="14.25" customHeight="1">
      <c r="Q1611" s="192">
        <v>0</v>
      </c>
    </row>
    <row r="1612" spans="17:17" ht="14.25" customHeight="1">
      <c r="Q1612" s="192">
        <v>0</v>
      </c>
    </row>
    <row r="1613" spans="17:17" ht="14.25" customHeight="1">
      <c r="Q1613" s="192">
        <v>0</v>
      </c>
    </row>
    <row r="1614" spans="17:17" ht="14.25" customHeight="1">
      <c r="Q1614" s="192">
        <v>0</v>
      </c>
    </row>
    <row r="1615" spans="17:17" ht="14.25" customHeight="1">
      <c r="Q1615" s="192">
        <v>0</v>
      </c>
    </row>
    <row r="1616" spans="17:17" ht="14.25" customHeight="1">
      <c r="Q1616" s="192">
        <v>0</v>
      </c>
    </row>
    <row r="1617" spans="17:17" ht="14.25" customHeight="1">
      <c r="Q1617" s="192">
        <v>0</v>
      </c>
    </row>
    <row r="1618" spans="17:17" ht="14.25" customHeight="1">
      <c r="Q1618" s="192">
        <v>0</v>
      </c>
    </row>
    <row r="1619" spans="17:17" ht="14.25" customHeight="1">
      <c r="Q1619" s="192">
        <v>0</v>
      </c>
    </row>
    <row r="1620" spans="17:17" ht="14.25" customHeight="1">
      <c r="Q1620" s="192">
        <v>0</v>
      </c>
    </row>
    <row r="1621" spans="17:17" ht="14.25" customHeight="1">
      <c r="Q1621" s="192">
        <v>0</v>
      </c>
    </row>
    <row r="1622" spans="17:17" ht="14.25" customHeight="1">
      <c r="Q1622" s="192">
        <v>0</v>
      </c>
    </row>
    <row r="1623" spans="17:17" ht="14.25" customHeight="1">
      <c r="Q1623" s="192">
        <v>0</v>
      </c>
    </row>
    <row r="1624" spans="17:17" ht="14.25" customHeight="1">
      <c r="Q1624" s="192">
        <v>0</v>
      </c>
    </row>
    <row r="1625" spans="17:17" ht="14.25" customHeight="1">
      <c r="Q1625" s="192">
        <v>0</v>
      </c>
    </row>
    <row r="1626" spans="17:17" ht="14.25" customHeight="1">
      <c r="Q1626" s="192">
        <v>0</v>
      </c>
    </row>
    <row r="1627" spans="17:17" ht="14.25" customHeight="1">
      <c r="Q1627" s="192">
        <v>0</v>
      </c>
    </row>
    <row r="1628" spans="17:17" ht="14.25" customHeight="1">
      <c r="Q1628" s="192">
        <v>0</v>
      </c>
    </row>
    <row r="1629" spans="17:17" ht="14.25" customHeight="1">
      <c r="Q1629" s="192">
        <v>0</v>
      </c>
    </row>
    <row r="1630" spans="17:17" ht="14.25" customHeight="1">
      <c r="Q1630" s="192">
        <v>0</v>
      </c>
    </row>
    <row r="1631" spans="17:17" ht="14.25" customHeight="1">
      <c r="Q1631" s="192">
        <v>0</v>
      </c>
    </row>
    <row r="1632" spans="17:17" ht="14.25" customHeight="1">
      <c r="Q1632" s="192">
        <v>0</v>
      </c>
    </row>
    <row r="1633" spans="17:17" ht="14.25" customHeight="1">
      <c r="Q1633" s="192">
        <v>0</v>
      </c>
    </row>
    <row r="1634" spans="17:17" ht="14.25" customHeight="1">
      <c r="Q1634" s="192">
        <v>0</v>
      </c>
    </row>
    <row r="1635" spans="17:17" ht="14.25" customHeight="1">
      <c r="Q1635" s="192">
        <v>0</v>
      </c>
    </row>
    <row r="1636" spans="17:17" ht="14.25" customHeight="1">
      <c r="Q1636" s="192">
        <v>0</v>
      </c>
    </row>
    <row r="1637" spans="17:17" ht="14.25" customHeight="1">
      <c r="Q1637" s="192">
        <v>0</v>
      </c>
    </row>
    <row r="1638" spans="17:17" ht="14.25" customHeight="1">
      <c r="Q1638" s="192">
        <v>0</v>
      </c>
    </row>
    <row r="1639" spans="17:17" ht="14.25" customHeight="1">
      <c r="Q1639" s="192">
        <v>0</v>
      </c>
    </row>
    <row r="1640" spans="17:17" ht="14.25" customHeight="1">
      <c r="Q1640" s="192">
        <v>0</v>
      </c>
    </row>
    <row r="1641" spans="17:17" ht="14.25" customHeight="1">
      <c r="Q1641" s="192">
        <v>0</v>
      </c>
    </row>
    <row r="1642" spans="17:17" ht="14.25" customHeight="1">
      <c r="Q1642" s="192">
        <v>0</v>
      </c>
    </row>
    <row r="1643" spans="17:17" ht="14.25" customHeight="1">
      <c r="Q1643" s="192">
        <v>0</v>
      </c>
    </row>
    <row r="1644" spans="17:17" ht="14.25" customHeight="1">
      <c r="Q1644" s="192">
        <v>0</v>
      </c>
    </row>
    <row r="1645" spans="17:17" ht="14.25" customHeight="1">
      <c r="Q1645" s="192">
        <v>0</v>
      </c>
    </row>
    <row r="1646" spans="17:17" ht="14.25" customHeight="1">
      <c r="Q1646" s="192">
        <v>0</v>
      </c>
    </row>
    <row r="1647" spans="17:17" ht="14.25" customHeight="1">
      <c r="Q1647" s="192">
        <v>0</v>
      </c>
    </row>
    <row r="1648" spans="17:17" ht="14.25" customHeight="1">
      <c r="Q1648" s="192">
        <v>0</v>
      </c>
    </row>
    <row r="1649" spans="17:17" ht="14.25" customHeight="1">
      <c r="Q1649" s="192">
        <v>0</v>
      </c>
    </row>
    <row r="1650" spans="17:17" ht="14.25" customHeight="1">
      <c r="Q1650" s="192">
        <v>0</v>
      </c>
    </row>
    <row r="1651" spans="17:17" ht="14.25" customHeight="1">
      <c r="Q1651" s="192">
        <v>0</v>
      </c>
    </row>
    <row r="1652" spans="17:17" ht="14.25" customHeight="1">
      <c r="Q1652" s="192">
        <v>0</v>
      </c>
    </row>
    <row r="1653" spans="17:17" ht="14.25" customHeight="1">
      <c r="Q1653" s="192">
        <v>0</v>
      </c>
    </row>
    <row r="1654" spans="17:17" ht="14.25" customHeight="1">
      <c r="Q1654" s="192">
        <v>0</v>
      </c>
    </row>
    <row r="1655" spans="17:17" ht="14.25" customHeight="1">
      <c r="Q1655" s="192">
        <v>0</v>
      </c>
    </row>
    <row r="1656" spans="17:17" ht="14.25" customHeight="1">
      <c r="Q1656" s="192">
        <v>0</v>
      </c>
    </row>
    <row r="1657" spans="17:17" ht="14.25" customHeight="1">
      <c r="Q1657" s="192">
        <v>0</v>
      </c>
    </row>
    <row r="1658" spans="17:17" ht="14.25" customHeight="1">
      <c r="Q1658" s="192">
        <v>0</v>
      </c>
    </row>
    <row r="1659" spans="17:17" ht="14.25" customHeight="1">
      <c r="Q1659" s="192">
        <v>0</v>
      </c>
    </row>
    <row r="1660" spans="17:17" ht="14.25" customHeight="1">
      <c r="Q1660" s="192">
        <v>0</v>
      </c>
    </row>
    <row r="1661" spans="17:17" ht="14.25" customHeight="1">
      <c r="Q1661" s="192">
        <v>0</v>
      </c>
    </row>
    <row r="1662" spans="17:17" ht="14.25" customHeight="1">
      <c r="Q1662" s="192">
        <v>0</v>
      </c>
    </row>
    <row r="1663" spans="17:17" ht="14.25" customHeight="1">
      <c r="Q1663" s="192">
        <v>0</v>
      </c>
    </row>
    <row r="1664" spans="17:17" ht="14.25" customHeight="1">
      <c r="Q1664" s="192">
        <v>0</v>
      </c>
    </row>
    <row r="1665" spans="17:17" ht="14.25" customHeight="1">
      <c r="Q1665" s="192">
        <v>0</v>
      </c>
    </row>
    <row r="1666" spans="17:17" ht="14.25" customHeight="1">
      <c r="Q1666" s="192">
        <v>0</v>
      </c>
    </row>
    <row r="1667" spans="17:17" ht="14.25" customHeight="1">
      <c r="Q1667" s="192">
        <v>0</v>
      </c>
    </row>
    <row r="1668" spans="17:17" ht="14.25" customHeight="1">
      <c r="Q1668" s="192">
        <v>0</v>
      </c>
    </row>
    <row r="1669" spans="17:17" ht="14.25" customHeight="1">
      <c r="Q1669" s="192">
        <v>0</v>
      </c>
    </row>
    <row r="1670" spans="17:17" ht="14.25" customHeight="1">
      <c r="Q1670" s="192">
        <v>0</v>
      </c>
    </row>
    <row r="1671" spans="17:17" ht="14.25" customHeight="1">
      <c r="Q1671" s="192">
        <v>0</v>
      </c>
    </row>
    <row r="1672" spans="17:17" ht="14.25" customHeight="1">
      <c r="Q1672" s="192">
        <v>0</v>
      </c>
    </row>
    <row r="1673" spans="17:17" ht="14.25" customHeight="1">
      <c r="Q1673" s="192">
        <v>0</v>
      </c>
    </row>
    <row r="1674" spans="17:17" ht="14.25" customHeight="1">
      <c r="Q1674" s="192">
        <v>0</v>
      </c>
    </row>
    <row r="1675" spans="17:17" ht="14.25" customHeight="1">
      <c r="Q1675" s="192">
        <v>0</v>
      </c>
    </row>
    <row r="1676" spans="17:17" ht="14.25" customHeight="1">
      <c r="Q1676" s="192">
        <v>0</v>
      </c>
    </row>
    <row r="1677" spans="17:17" ht="14.25" customHeight="1">
      <c r="Q1677" s="192">
        <v>0</v>
      </c>
    </row>
    <row r="1678" spans="17:17" ht="14.25" customHeight="1">
      <c r="Q1678" s="192">
        <v>0</v>
      </c>
    </row>
    <row r="1679" spans="17:17" ht="14.25" customHeight="1">
      <c r="Q1679" s="192">
        <v>0</v>
      </c>
    </row>
    <row r="1680" spans="17:17" ht="14.25" customHeight="1">
      <c r="Q1680" s="192">
        <v>0</v>
      </c>
    </row>
    <row r="1681" spans="17:17" ht="14.25" customHeight="1">
      <c r="Q1681" s="192">
        <v>0</v>
      </c>
    </row>
    <row r="1682" spans="17:17" ht="14.25" customHeight="1">
      <c r="Q1682" s="192">
        <v>0</v>
      </c>
    </row>
    <row r="1683" spans="17:17" ht="14.25" customHeight="1">
      <c r="Q1683" s="192">
        <v>0</v>
      </c>
    </row>
    <row r="1684" spans="17:17" ht="14.25" customHeight="1">
      <c r="Q1684" s="192">
        <v>0</v>
      </c>
    </row>
    <row r="1685" spans="17:17" ht="14.25" customHeight="1">
      <c r="Q1685" s="192">
        <v>0</v>
      </c>
    </row>
    <row r="1686" spans="17:17" ht="14.25" customHeight="1">
      <c r="Q1686" s="192">
        <v>0</v>
      </c>
    </row>
    <row r="1687" spans="17:17" ht="14.25" customHeight="1">
      <c r="Q1687" s="192">
        <v>0</v>
      </c>
    </row>
    <row r="1688" spans="17:17" ht="14.25" customHeight="1">
      <c r="Q1688" s="192">
        <v>0</v>
      </c>
    </row>
    <row r="1689" spans="17:17" ht="14.25" customHeight="1">
      <c r="Q1689" s="192">
        <v>0</v>
      </c>
    </row>
    <row r="1690" spans="17:17" ht="14.25" customHeight="1">
      <c r="Q1690" s="192">
        <v>0</v>
      </c>
    </row>
    <row r="1691" spans="17:17" ht="14.25" customHeight="1">
      <c r="Q1691" s="192">
        <v>0</v>
      </c>
    </row>
    <row r="1692" spans="17:17" ht="14.25" customHeight="1">
      <c r="Q1692" s="192">
        <v>0</v>
      </c>
    </row>
    <row r="1693" spans="17:17" ht="14.25" customHeight="1">
      <c r="Q1693" s="192">
        <v>0</v>
      </c>
    </row>
    <row r="1694" spans="17:17" ht="14.25" customHeight="1">
      <c r="Q1694" s="192">
        <v>0</v>
      </c>
    </row>
    <row r="1695" spans="17:17" ht="14.25" customHeight="1">
      <c r="Q1695" s="192">
        <v>0</v>
      </c>
    </row>
    <row r="1696" spans="17:17" ht="14.25" customHeight="1">
      <c r="Q1696" s="192">
        <v>0</v>
      </c>
    </row>
    <row r="1697" spans="17:17" ht="14.25" customHeight="1">
      <c r="Q1697" s="192">
        <v>0</v>
      </c>
    </row>
    <row r="1698" spans="17:17" ht="14.25" customHeight="1">
      <c r="Q1698" s="192">
        <v>0</v>
      </c>
    </row>
    <row r="1699" spans="17:17" ht="14.25" customHeight="1">
      <c r="Q1699" s="192">
        <v>0</v>
      </c>
    </row>
    <row r="1700" spans="17:17" ht="14.25" customHeight="1">
      <c r="Q1700" s="192">
        <v>0</v>
      </c>
    </row>
    <row r="1701" spans="17:17" ht="14.25" customHeight="1">
      <c r="Q1701" s="192">
        <v>0</v>
      </c>
    </row>
    <row r="1702" spans="17:17" ht="14.25" customHeight="1">
      <c r="Q1702" s="192">
        <v>0</v>
      </c>
    </row>
    <row r="1703" spans="17:17" ht="14.25" customHeight="1">
      <c r="Q1703" s="192">
        <v>0</v>
      </c>
    </row>
    <row r="1704" spans="17:17" ht="14.25" customHeight="1">
      <c r="Q1704" s="192">
        <v>0</v>
      </c>
    </row>
    <row r="1705" spans="17:17" ht="14.25" customHeight="1">
      <c r="Q1705" s="192">
        <v>0</v>
      </c>
    </row>
    <row r="1706" spans="17:17" ht="14.25" customHeight="1">
      <c r="Q1706" s="192">
        <v>0</v>
      </c>
    </row>
    <row r="1707" spans="17:17" ht="14.25" customHeight="1">
      <c r="Q1707" s="192">
        <v>0</v>
      </c>
    </row>
    <row r="1708" spans="17:17" ht="14.25" customHeight="1">
      <c r="Q1708" s="192">
        <v>0</v>
      </c>
    </row>
    <row r="1709" spans="17:17" ht="14.25" customHeight="1">
      <c r="Q1709" s="192">
        <v>0</v>
      </c>
    </row>
    <row r="1710" spans="17:17" ht="14.25" customHeight="1">
      <c r="Q1710" s="192">
        <v>0</v>
      </c>
    </row>
    <row r="1711" spans="17:17" ht="14.25" customHeight="1">
      <c r="Q1711" s="192">
        <v>0</v>
      </c>
    </row>
    <row r="1712" spans="17:17" ht="14.25" customHeight="1">
      <c r="Q1712" s="192">
        <v>0</v>
      </c>
    </row>
    <row r="1713" spans="17:17" ht="14.25" customHeight="1">
      <c r="Q1713" s="192">
        <v>0</v>
      </c>
    </row>
    <row r="1714" spans="17:17" ht="14.25" customHeight="1">
      <c r="Q1714" s="192">
        <v>0</v>
      </c>
    </row>
    <row r="1715" spans="17:17" ht="14.25" customHeight="1">
      <c r="Q1715" s="192">
        <v>0</v>
      </c>
    </row>
    <row r="1716" spans="17:17" ht="14.25" customHeight="1">
      <c r="Q1716" s="192">
        <v>0</v>
      </c>
    </row>
    <row r="1717" spans="17:17" ht="14.25" customHeight="1">
      <c r="Q1717" s="192">
        <v>0</v>
      </c>
    </row>
    <row r="1718" spans="17:17" ht="14.25" customHeight="1">
      <c r="Q1718" s="192">
        <v>0</v>
      </c>
    </row>
    <row r="1719" spans="17:17" ht="14.25" customHeight="1">
      <c r="Q1719" s="192">
        <v>0</v>
      </c>
    </row>
    <row r="1720" spans="17:17" ht="14.25" customHeight="1">
      <c r="Q1720" s="192">
        <v>0</v>
      </c>
    </row>
    <row r="1721" spans="17:17" ht="14.25" customHeight="1">
      <c r="Q1721" s="192">
        <v>0</v>
      </c>
    </row>
    <row r="1722" spans="17:17" ht="14.25" customHeight="1">
      <c r="Q1722" s="192">
        <v>0</v>
      </c>
    </row>
    <row r="1723" spans="17:17" ht="14.25" customHeight="1">
      <c r="Q1723" s="192">
        <v>0</v>
      </c>
    </row>
    <row r="1724" spans="17:17" ht="14.25" customHeight="1">
      <c r="Q1724" s="192">
        <v>0</v>
      </c>
    </row>
    <row r="1725" spans="17:17" ht="14.25" customHeight="1">
      <c r="Q1725" s="192">
        <v>0</v>
      </c>
    </row>
    <row r="1726" spans="17:17" ht="14.25" customHeight="1">
      <c r="Q1726" s="192">
        <v>0</v>
      </c>
    </row>
    <row r="1727" spans="17:17" ht="14.25" customHeight="1">
      <c r="Q1727" s="192">
        <v>0</v>
      </c>
    </row>
    <row r="1728" spans="17:17" ht="14.25" customHeight="1">
      <c r="Q1728" s="192">
        <v>0</v>
      </c>
    </row>
    <row r="1729" spans="17:17" ht="14.25" customHeight="1">
      <c r="Q1729" s="192">
        <v>0</v>
      </c>
    </row>
    <row r="1730" spans="17:17" ht="14.25" customHeight="1">
      <c r="Q1730" s="192">
        <v>0</v>
      </c>
    </row>
    <row r="1731" spans="17:17" ht="14.25" customHeight="1">
      <c r="Q1731" s="192">
        <v>0</v>
      </c>
    </row>
    <row r="1732" spans="17:17" ht="14.25" customHeight="1">
      <c r="Q1732" s="192">
        <v>0</v>
      </c>
    </row>
    <row r="1733" spans="17:17" ht="14.25" customHeight="1">
      <c r="Q1733" s="192">
        <v>0</v>
      </c>
    </row>
    <row r="1734" spans="17:17" ht="14.25" customHeight="1">
      <c r="Q1734" s="192">
        <v>0</v>
      </c>
    </row>
    <row r="1735" spans="17:17" ht="14.25" customHeight="1">
      <c r="Q1735" s="192">
        <v>0</v>
      </c>
    </row>
    <row r="1736" spans="17:17" ht="14.25" customHeight="1">
      <c r="Q1736" s="192">
        <v>0</v>
      </c>
    </row>
    <row r="1737" spans="17:17" ht="14.25" customHeight="1">
      <c r="Q1737" s="192">
        <v>0</v>
      </c>
    </row>
    <row r="1738" spans="17:17" ht="14.25" customHeight="1">
      <c r="Q1738" s="192">
        <v>0</v>
      </c>
    </row>
    <row r="1739" spans="17:17" ht="14.25" customHeight="1">
      <c r="Q1739" s="192">
        <v>0</v>
      </c>
    </row>
    <row r="1740" spans="17:17" ht="14.25" customHeight="1">
      <c r="Q1740" s="192">
        <v>0</v>
      </c>
    </row>
    <row r="1741" spans="17:17" ht="14.25" customHeight="1">
      <c r="Q1741" s="192">
        <v>0</v>
      </c>
    </row>
    <row r="1742" spans="17:17" ht="14.25" customHeight="1">
      <c r="Q1742" s="192">
        <v>0</v>
      </c>
    </row>
    <row r="1743" spans="17:17" ht="14.25" customHeight="1">
      <c r="Q1743" s="192">
        <v>0</v>
      </c>
    </row>
    <row r="1744" spans="17:17" ht="14.25" customHeight="1">
      <c r="Q1744" s="192">
        <v>0</v>
      </c>
    </row>
    <row r="1745" spans="17:17" ht="14.25" customHeight="1">
      <c r="Q1745" s="192">
        <v>0</v>
      </c>
    </row>
    <row r="1746" spans="17:17" ht="14.25" customHeight="1">
      <c r="Q1746" s="192">
        <v>0</v>
      </c>
    </row>
    <row r="1747" spans="17:17" ht="14.25" customHeight="1">
      <c r="Q1747" s="192">
        <v>0</v>
      </c>
    </row>
    <row r="1748" spans="17:17" ht="14.25" customHeight="1">
      <c r="Q1748" s="192">
        <v>0</v>
      </c>
    </row>
    <row r="1749" spans="17:17" ht="14.25" customHeight="1">
      <c r="Q1749" s="192">
        <v>0</v>
      </c>
    </row>
    <row r="1750" spans="17:17" ht="14.25" customHeight="1">
      <c r="Q1750" s="192">
        <v>0</v>
      </c>
    </row>
    <row r="1751" spans="17:17" ht="14.25" customHeight="1">
      <c r="Q1751" s="192">
        <v>0</v>
      </c>
    </row>
    <row r="1752" spans="17:17" ht="14.25" customHeight="1">
      <c r="Q1752" s="192">
        <v>0</v>
      </c>
    </row>
    <row r="1753" spans="17:17" ht="14.25" customHeight="1">
      <c r="Q1753" s="192">
        <v>0</v>
      </c>
    </row>
    <row r="1754" spans="17:17" ht="14.25" customHeight="1">
      <c r="Q1754" s="192">
        <v>0</v>
      </c>
    </row>
    <row r="1755" spans="17:17" ht="14.25" customHeight="1">
      <c r="Q1755" s="192">
        <v>0</v>
      </c>
    </row>
    <row r="1756" spans="17:17" ht="14.25" customHeight="1">
      <c r="Q1756" s="192">
        <v>0</v>
      </c>
    </row>
    <row r="1757" spans="17:17" ht="14.25" customHeight="1">
      <c r="Q1757" s="192">
        <v>0</v>
      </c>
    </row>
    <row r="1758" spans="17:17" ht="14.25" customHeight="1">
      <c r="Q1758" s="192">
        <v>0</v>
      </c>
    </row>
    <row r="1759" spans="17:17" ht="14.25" customHeight="1">
      <c r="Q1759" s="192">
        <v>0</v>
      </c>
    </row>
    <row r="1760" spans="17:17" ht="14.25" customHeight="1">
      <c r="Q1760" s="192">
        <v>0</v>
      </c>
    </row>
    <row r="1761" spans="17:17" ht="14.25" customHeight="1">
      <c r="Q1761" s="192">
        <v>0</v>
      </c>
    </row>
    <row r="1762" spans="17:17" ht="14.25" customHeight="1">
      <c r="Q1762" s="192">
        <v>0</v>
      </c>
    </row>
    <row r="1763" spans="17:17" ht="14.25" customHeight="1">
      <c r="Q1763" s="192">
        <v>0</v>
      </c>
    </row>
    <row r="1764" spans="17:17" ht="14.25" customHeight="1">
      <c r="Q1764" s="192">
        <v>0</v>
      </c>
    </row>
    <row r="1765" spans="17:17" ht="14.25" customHeight="1">
      <c r="Q1765" s="192">
        <v>0</v>
      </c>
    </row>
    <row r="1766" spans="17:17" ht="14.25" customHeight="1">
      <c r="Q1766" s="192">
        <v>0</v>
      </c>
    </row>
    <row r="1767" spans="17:17" ht="14.25" customHeight="1">
      <c r="Q1767" s="192">
        <v>0</v>
      </c>
    </row>
    <row r="1768" spans="17:17" ht="14.25" customHeight="1">
      <c r="Q1768" s="192">
        <v>0</v>
      </c>
    </row>
    <row r="1769" spans="17:17" ht="14.25" customHeight="1">
      <c r="Q1769" s="192">
        <v>0</v>
      </c>
    </row>
    <row r="1770" spans="17:17" ht="14.25" customHeight="1">
      <c r="Q1770" s="192">
        <v>0</v>
      </c>
    </row>
    <row r="1771" spans="17:17" ht="14.25" customHeight="1">
      <c r="Q1771" s="192">
        <v>0</v>
      </c>
    </row>
    <row r="1772" spans="17:17" ht="14.25" customHeight="1">
      <c r="Q1772" s="192">
        <v>0</v>
      </c>
    </row>
    <row r="1773" spans="17:17" ht="14.25" customHeight="1">
      <c r="Q1773" s="192">
        <v>0</v>
      </c>
    </row>
    <row r="1774" spans="17:17" ht="14.25" customHeight="1">
      <c r="Q1774" s="192">
        <v>0</v>
      </c>
    </row>
    <row r="1775" spans="17:17" ht="14.25" customHeight="1">
      <c r="Q1775" s="192">
        <v>0</v>
      </c>
    </row>
    <row r="1776" spans="17:17" ht="14.25" customHeight="1">
      <c r="Q1776" s="192">
        <v>0</v>
      </c>
    </row>
    <row r="1777" spans="17:17" ht="14.25" customHeight="1">
      <c r="Q1777" s="192">
        <v>0</v>
      </c>
    </row>
    <row r="1778" spans="17:17" ht="14.25" customHeight="1">
      <c r="Q1778" s="192">
        <v>0</v>
      </c>
    </row>
    <row r="1779" spans="17:17" ht="14.25" customHeight="1">
      <c r="Q1779" s="192">
        <v>0</v>
      </c>
    </row>
    <row r="1780" spans="17:17" ht="14.25" customHeight="1">
      <c r="Q1780" s="192">
        <v>0</v>
      </c>
    </row>
    <row r="1781" spans="17:17" ht="14.25" customHeight="1">
      <c r="Q1781" s="192">
        <v>0</v>
      </c>
    </row>
    <row r="1782" spans="17:17" ht="14.25" customHeight="1">
      <c r="Q1782" s="192">
        <v>0</v>
      </c>
    </row>
    <row r="1783" spans="17:17" ht="14.25" customHeight="1">
      <c r="Q1783" s="192">
        <v>0</v>
      </c>
    </row>
    <row r="1784" spans="17:17" ht="14.25" customHeight="1">
      <c r="Q1784" s="192">
        <v>0</v>
      </c>
    </row>
    <row r="1785" spans="17:17" ht="14.25" customHeight="1">
      <c r="Q1785" s="192">
        <v>0</v>
      </c>
    </row>
    <row r="1786" spans="17:17" ht="14.25" customHeight="1">
      <c r="Q1786" s="192">
        <v>0</v>
      </c>
    </row>
    <row r="1787" spans="17:17" ht="14.25" customHeight="1">
      <c r="Q1787" s="192">
        <v>0</v>
      </c>
    </row>
    <row r="1788" spans="17:17" ht="14.25" customHeight="1">
      <c r="Q1788" s="192">
        <v>0</v>
      </c>
    </row>
    <row r="1789" spans="17:17" ht="14.25" customHeight="1">
      <c r="Q1789" s="192">
        <v>0</v>
      </c>
    </row>
    <row r="1790" spans="17:17" ht="14.25" customHeight="1">
      <c r="Q1790" s="192">
        <v>0</v>
      </c>
    </row>
    <row r="1791" spans="17:17" ht="14.25" customHeight="1">
      <c r="Q1791" s="192">
        <v>0</v>
      </c>
    </row>
    <row r="1792" spans="17:17" ht="14.25" customHeight="1">
      <c r="Q1792" s="192">
        <v>0</v>
      </c>
    </row>
    <row r="1793" spans="17:17" ht="14.25" customHeight="1">
      <c r="Q1793" s="192">
        <v>0</v>
      </c>
    </row>
    <row r="1794" spans="17:17" ht="14.25" customHeight="1">
      <c r="Q1794" s="192">
        <v>0</v>
      </c>
    </row>
    <row r="1795" spans="17:17" ht="14.25" customHeight="1">
      <c r="Q1795" s="192">
        <v>0</v>
      </c>
    </row>
    <row r="1796" spans="17:17" ht="14.25" customHeight="1">
      <c r="Q1796" s="192">
        <v>0</v>
      </c>
    </row>
    <row r="1797" spans="17:17" ht="14.25" customHeight="1">
      <c r="Q1797" s="192">
        <v>0</v>
      </c>
    </row>
    <row r="1798" spans="17:17" ht="14.25" customHeight="1">
      <c r="Q1798" s="192">
        <v>0</v>
      </c>
    </row>
    <row r="1799" spans="17:17" ht="14.25" customHeight="1">
      <c r="Q1799" s="192">
        <v>0</v>
      </c>
    </row>
    <row r="1800" spans="17:17" ht="14.25" customHeight="1">
      <c r="Q1800" s="192">
        <v>0</v>
      </c>
    </row>
    <row r="1801" spans="17:17" ht="14.25" customHeight="1">
      <c r="Q1801" s="192">
        <v>0</v>
      </c>
    </row>
    <row r="1802" spans="17:17" ht="14.25" customHeight="1">
      <c r="Q1802" s="192">
        <v>0</v>
      </c>
    </row>
    <row r="1803" spans="17:17" ht="14.25" customHeight="1">
      <c r="Q1803" s="192">
        <v>0</v>
      </c>
    </row>
    <row r="1804" spans="17:17" ht="14.25" customHeight="1">
      <c r="Q1804" s="192">
        <v>0</v>
      </c>
    </row>
    <row r="1805" spans="17:17" ht="14.25" customHeight="1">
      <c r="Q1805" s="192">
        <v>0</v>
      </c>
    </row>
    <row r="1806" spans="17:17" ht="14.25" customHeight="1">
      <c r="Q1806" s="192">
        <v>0</v>
      </c>
    </row>
    <row r="1807" spans="17:17" ht="14.25" customHeight="1">
      <c r="Q1807" s="192">
        <v>0</v>
      </c>
    </row>
    <row r="1808" spans="17:17" ht="14.25" customHeight="1">
      <c r="Q1808" s="192">
        <v>0</v>
      </c>
    </row>
    <row r="1809" spans="17:17" ht="14.25" customHeight="1">
      <c r="Q1809" s="192">
        <v>0</v>
      </c>
    </row>
    <row r="1810" spans="17:17" ht="14.25" customHeight="1">
      <c r="Q1810" s="192">
        <v>0</v>
      </c>
    </row>
    <row r="1811" spans="17:17" ht="14.25" customHeight="1">
      <c r="Q1811" s="192">
        <v>0</v>
      </c>
    </row>
    <row r="1812" spans="17:17" ht="14.25" customHeight="1">
      <c r="Q1812" s="192">
        <v>0</v>
      </c>
    </row>
    <row r="1813" spans="17:17" ht="14.25" customHeight="1">
      <c r="Q1813" s="192">
        <v>0</v>
      </c>
    </row>
    <row r="1814" spans="17:17" ht="14.25" customHeight="1">
      <c r="Q1814" s="192">
        <v>0</v>
      </c>
    </row>
    <row r="1815" spans="17:17" ht="14.25" customHeight="1">
      <c r="Q1815" s="192">
        <v>0</v>
      </c>
    </row>
    <row r="1816" spans="17:17" ht="14.25" customHeight="1">
      <c r="Q1816" s="192">
        <v>0</v>
      </c>
    </row>
    <row r="1817" spans="17:17" ht="14.25" customHeight="1">
      <c r="Q1817" s="192">
        <v>0</v>
      </c>
    </row>
    <row r="1818" spans="17:17" ht="14.25" customHeight="1">
      <c r="Q1818" s="192">
        <v>0</v>
      </c>
    </row>
    <row r="1819" spans="17:17" ht="14.25" customHeight="1">
      <c r="Q1819" s="192">
        <v>0</v>
      </c>
    </row>
    <row r="1820" spans="17:17" ht="14.25" customHeight="1">
      <c r="Q1820" s="192">
        <v>0</v>
      </c>
    </row>
    <row r="1821" spans="17:17" ht="14.25" customHeight="1">
      <c r="Q1821" s="192">
        <v>0</v>
      </c>
    </row>
    <row r="1822" spans="17:17" ht="14.25" customHeight="1">
      <c r="Q1822" s="192">
        <v>0</v>
      </c>
    </row>
    <row r="1823" spans="17:17" ht="14.25" customHeight="1">
      <c r="Q1823" s="192">
        <v>0</v>
      </c>
    </row>
    <row r="1824" spans="17:17" ht="14.25" customHeight="1">
      <c r="Q1824" s="192">
        <v>0</v>
      </c>
    </row>
    <row r="1825" spans="17:17" ht="14.25" customHeight="1">
      <c r="Q1825" s="192">
        <v>0</v>
      </c>
    </row>
    <row r="1826" spans="17:17" ht="14.25" customHeight="1">
      <c r="Q1826" s="192">
        <v>0</v>
      </c>
    </row>
    <row r="1827" spans="17:17" ht="14.25" customHeight="1">
      <c r="Q1827" s="192">
        <v>0</v>
      </c>
    </row>
    <row r="1828" spans="17:17" ht="14.25" customHeight="1">
      <c r="Q1828" s="192">
        <v>0</v>
      </c>
    </row>
    <row r="1829" spans="17:17" ht="14.25" customHeight="1">
      <c r="Q1829" s="192">
        <v>0</v>
      </c>
    </row>
    <row r="1830" spans="17:17" ht="14.25" customHeight="1">
      <c r="Q1830" s="192">
        <v>0</v>
      </c>
    </row>
    <row r="1831" spans="17:17" ht="14.25" customHeight="1">
      <c r="Q1831" s="192">
        <v>0</v>
      </c>
    </row>
    <row r="1832" spans="17:17" ht="14.25" customHeight="1">
      <c r="Q1832" s="192">
        <v>0</v>
      </c>
    </row>
    <row r="1833" spans="17:17" ht="14.25" customHeight="1">
      <c r="Q1833" s="192">
        <v>0</v>
      </c>
    </row>
    <row r="1834" spans="17:17" ht="14.25" customHeight="1">
      <c r="Q1834" s="192">
        <v>0</v>
      </c>
    </row>
    <row r="1835" spans="17:17" ht="14.25" customHeight="1">
      <c r="Q1835" s="192">
        <v>0</v>
      </c>
    </row>
    <row r="1836" spans="17:17" ht="14.25" customHeight="1">
      <c r="Q1836" s="192">
        <v>0</v>
      </c>
    </row>
    <row r="1837" spans="17:17" ht="14.25" customHeight="1">
      <c r="Q1837" s="192">
        <v>0</v>
      </c>
    </row>
    <row r="1838" spans="17:17" ht="14.25" customHeight="1">
      <c r="Q1838" s="192">
        <v>0</v>
      </c>
    </row>
    <row r="1839" spans="17:17" ht="14.25" customHeight="1">
      <c r="Q1839" s="192">
        <v>0</v>
      </c>
    </row>
    <row r="1840" spans="17:17" ht="14.25" customHeight="1">
      <c r="Q1840" s="192">
        <v>0</v>
      </c>
    </row>
    <row r="1841" spans="17:17" ht="14.25" customHeight="1">
      <c r="Q1841" s="192">
        <v>0</v>
      </c>
    </row>
    <row r="1842" spans="17:17" ht="14.25" customHeight="1">
      <c r="Q1842" s="192">
        <v>0</v>
      </c>
    </row>
    <row r="1843" spans="17:17" ht="14.25" customHeight="1">
      <c r="Q1843" s="192">
        <v>0</v>
      </c>
    </row>
    <row r="1844" spans="17:17" ht="14.25" customHeight="1">
      <c r="Q1844" s="192">
        <v>0</v>
      </c>
    </row>
    <row r="1845" spans="17:17" ht="14.25" customHeight="1">
      <c r="Q1845" s="192">
        <v>0</v>
      </c>
    </row>
    <row r="1846" spans="17:17" ht="14.25" customHeight="1">
      <c r="Q1846" s="192">
        <v>0</v>
      </c>
    </row>
    <row r="1847" spans="17:17" ht="14.25" customHeight="1">
      <c r="Q1847" s="192">
        <v>0</v>
      </c>
    </row>
    <row r="1848" spans="17:17" ht="14.25" customHeight="1">
      <c r="Q1848" s="192">
        <v>0</v>
      </c>
    </row>
    <row r="1849" spans="17:17" ht="14.25" customHeight="1">
      <c r="Q1849" s="192">
        <v>0</v>
      </c>
    </row>
    <row r="1850" spans="17:17" ht="14.25" customHeight="1">
      <c r="Q1850" s="192">
        <v>0</v>
      </c>
    </row>
    <row r="1851" spans="17:17" ht="14.25" customHeight="1">
      <c r="Q1851" s="192">
        <v>0</v>
      </c>
    </row>
    <row r="1852" spans="17:17" ht="14.25" customHeight="1">
      <c r="Q1852" s="192">
        <v>0</v>
      </c>
    </row>
    <row r="1853" spans="17:17" ht="14.25" customHeight="1">
      <c r="Q1853" s="192">
        <v>0</v>
      </c>
    </row>
    <row r="1854" spans="17:17" ht="14.25" customHeight="1">
      <c r="Q1854" s="192">
        <v>0</v>
      </c>
    </row>
    <row r="1855" spans="17:17" ht="14.25" customHeight="1">
      <c r="Q1855" s="192">
        <v>0</v>
      </c>
    </row>
    <row r="1856" spans="17:17" ht="14.25" customHeight="1">
      <c r="Q1856" s="192">
        <v>0</v>
      </c>
    </row>
    <row r="1857" spans="17:17" ht="14.25" customHeight="1">
      <c r="Q1857" s="192">
        <v>0</v>
      </c>
    </row>
    <row r="1858" spans="17:17" ht="14.25" customHeight="1">
      <c r="Q1858" s="192">
        <v>0</v>
      </c>
    </row>
    <row r="1859" spans="17:17" ht="14.25" customHeight="1">
      <c r="Q1859" s="192">
        <v>0</v>
      </c>
    </row>
    <row r="1860" spans="17:17" ht="14.25" customHeight="1">
      <c r="Q1860" s="192">
        <v>0</v>
      </c>
    </row>
    <row r="1861" spans="17:17" ht="14.25" customHeight="1">
      <c r="Q1861" s="192">
        <v>0</v>
      </c>
    </row>
    <row r="1862" spans="17:17" ht="14.25" customHeight="1">
      <c r="Q1862" s="192">
        <v>0</v>
      </c>
    </row>
    <row r="1863" spans="17:17" ht="14.25" customHeight="1">
      <c r="Q1863" s="192">
        <v>0</v>
      </c>
    </row>
    <row r="1864" spans="17:17" ht="14.25" customHeight="1">
      <c r="Q1864" s="192">
        <v>0</v>
      </c>
    </row>
    <row r="1865" spans="17:17" ht="14.25" customHeight="1">
      <c r="Q1865" s="192">
        <v>0</v>
      </c>
    </row>
    <row r="1866" spans="17:17" ht="14.25" customHeight="1">
      <c r="Q1866" s="192">
        <v>0</v>
      </c>
    </row>
    <row r="1867" spans="17:17" ht="14.25" customHeight="1">
      <c r="Q1867" s="192">
        <v>0</v>
      </c>
    </row>
    <row r="1868" spans="17:17" ht="14.25" customHeight="1">
      <c r="Q1868" s="192">
        <v>0</v>
      </c>
    </row>
    <row r="1869" spans="17:17" ht="14.25" customHeight="1">
      <c r="Q1869" s="192">
        <v>0</v>
      </c>
    </row>
    <row r="1870" spans="17:17" ht="14.25" customHeight="1">
      <c r="Q1870" s="192">
        <v>0</v>
      </c>
    </row>
    <row r="1871" spans="17:17" ht="14.25" customHeight="1">
      <c r="Q1871" s="192">
        <v>0</v>
      </c>
    </row>
    <row r="1872" spans="17:17" ht="14.25" customHeight="1">
      <c r="Q1872" s="192">
        <v>0</v>
      </c>
    </row>
    <row r="1873" spans="17:17" ht="14.25" customHeight="1">
      <c r="Q1873" s="192">
        <v>0</v>
      </c>
    </row>
    <row r="1874" spans="17:17" ht="14.25" customHeight="1">
      <c r="Q1874" s="192">
        <v>0</v>
      </c>
    </row>
    <row r="1875" spans="17:17" ht="14.25" customHeight="1">
      <c r="Q1875" s="192">
        <v>0</v>
      </c>
    </row>
    <row r="1876" spans="17:17" ht="14.25" customHeight="1">
      <c r="Q1876" s="192">
        <v>0</v>
      </c>
    </row>
    <row r="1877" spans="17:17" ht="14.25" customHeight="1">
      <c r="Q1877" s="192">
        <v>0</v>
      </c>
    </row>
    <row r="1878" spans="17:17" ht="14.25" customHeight="1">
      <c r="Q1878" s="192">
        <v>0</v>
      </c>
    </row>
    <row r="1879" spans="17:17" ht="14.25" customHeight="1">
      <c r="Q1879" s="192">
        <v>0</v>
      </c>
    </row>
    <row r="1880" spans="17:17" ht="14.25" customHeight="1">
      <c r="Q1880" s="192">
        <v>0</v>
      </c>
    </row>
    <row r="1881" spans="17:17" ht="14.25" customHeight="1">
      <c r="Q1881" s="192">
        <v>0</v>
      </c>
    </row>
    <row r="1882" spans="17:17" ht="14.25" customHeight="1">
      <c r="Q1882" s="192">
        <v>0</v>
      </c>
    </row>
    <row r="1883" spans="17:17" ht="14.25" customHeight="1">
      <c r="Q1883" s="192">
        <v>0</v>
      </c>
    </row>
    <row r="1884" spans="17:17" ht="14.25" customHeight="1">
      <c r="Q1884" s="192">
        <v>0</v>
      </c>
    </row>
    <row r="1885" spans="17:17" ht="14.25" customHeight="1">
      <c r="Q1885" s="192">
        <v>0</v>
      </c>
    </row>
    <row r="1886" spans="17:17" ht="14.25" customHeight="1">
      <c r="Q1886" s="192">
        <v>0</v>
      </c>
    </row>
    <row r="1887" spans="17:17" ht="14.25" customHeight="1">
      <c r="Q1887" s="192">
        <v>0</v>
      </c>
    </row>
    <row r="1888" spans="17:17" ht="14.25" customHeight="1">
      <c r="Q1888" s="192">
        <v>0</v>
      </c>
    </row>
    <row r="1889" spans="17:17" ht="14.25" customHeight="1">
      <c r="Q1889" s="192">
        <v>0</v>
      </c>
    </row>
    <row r="1890" spans="17:17" ht="14.25" customHeight="1">
      <c r="Q1890" s="192">
        <v>0</v>
      </c>
    </row>
    <row r="1891" spans="17:17" ht="14.25" customHeight="1">
      <c r="Q1891" s="192">
        <v>0</v>
      </c>
    </row>
    <row r="1892" spans="17:17" ht="14.25" customHeight="1">
      <c r="Q1892" s="192">
        <v>0</v>
      </c>
    </row>
    <row r="1893" spans="17:17" ht="14.25" customHeight="1">
      <c r="Q1893" s="192">
        <v>0</v>
      </c>
    </row>
    <row r="1894" spans="17:17" ht="14.25" customHeight="1">
      <c r="Q1894" s="192">
        <v>0</v>
      </c>
    </row>
    <row r="1895" spans="17:17" ht="14.25" customHeight="1">
      <c r="Q1895" s="192">
        <v>0</v>
      </c>
    </row>
    <row r="1896" spans="17:17" ht="14.25" customHeight="1">
      <c r="Q1896" s="192">
        <v>0</v>
      </c>
    </row>
    <row r="1897" spans="17:17" ht="14.25" customHeight="1">
      <c r="Q1897" s="192">
        <v>0</v>
      </c>
    </row>
    <row r="1898" spans="17:17" ht="14.25" customHeight="1">
      <c r="Q1898" s="192">
        <v>0</v>
      </c>
    </row>
    <row r="1899" spans="17:17" ht="14.25" customHeight="1">
      <c r="Q1899" s="192">
        <v>0</v>
      </c>
    </row>
    <row r="1900" spans="17:17" ht="14.25" customHeight="1">
      <c r="Q1900" s="192">
        <v>0</v>
      </c>
    </row>
    <row r="1901" spans="17:17" ht="14.25" customHeight="1">
      <c r="Q1901" s="192">
        <v>0</v>
      </c>
    </row>
    <row r="1902" spans="17:17" ht="14.25" customHeight="1">
      <c r="Q1902" s="192">
        <v>0</v>
      </c>
    </row>
    <row r="1903" spans="17:17" ht="14.25" customHeight="1">
      <c r="Q1903" s="192">
        <v>0</v>
      </c>
    </row>
    <row r="1904" spans="17:17" ht="14.25" customHeight="1">
      <c r="Q1904" s="192">
        <v>0</v>
      </c>
    </row>
    <row r="1905" spans="17:17" ht="14.25" customHeight="1">
      <c r="Q1905" s="192">
        <v>0</v>
      </c>
    </row>
    <row r="1906" spans="17:17" ht="14.25" customHeight="1">
      <c r="Q1906" s="192">
        <v>0</v>
      </c>
    </row>
    <row r="1907" spans="17:17" ht="14.25" customHeight="1">
      <c r="Q1907" s="192">
        <v>0</v>
      </c>
    </row>
    <row r="1908" spans="17:17" ht="14.25" customHeight="1">
      <c r="Q1908" s="192">
        <v>0</v>
      </c>
    </row>
    <row r="1909" spans="17:17" ht="14.25" customHeight="1">
      <c r="Q1909" s="192">
        <v>0</v>
      </c>
    </row>
    <row r="1910" spans="17:17" ht="14.25" customHeight="1">
      <c r="Q1910" s="192">
        <v>0</v>
      </c>
    </row>
    <row r="1911" spans="17:17" ht="14.25" customHeight="1">
      <c r="Q1911" s="192">
        <v>0</v>
      </c>
    </row>
    <row r="1912" spans="17:17" ht="14.25" customHeight="1">
      <c r="Q1912" s="192">
        <v>0</v>
      </c>
    </row>
    <row r="1913" spans="17:17" ht="14.25" customHeight="1">
      <c r="Q1913" s="192">
        <v>0</v>
      </c>
    </row>
    <row r="1914" spans="17:17" ht="14.25" customHeight="1">
      <c r="Q1914" s="192">
        <v>0</v>
      </c>
    </row>
    <row r="1915" spans="17:17" ht="14.25" customHeight="1">
      <c r="Q1915" s="192">
        <v>0</v>
      </c>
    </row>
    <row r="1916" spans="17:17" ht="14.25" customHeight="1">
      <c r="Q1916" s="192">
        <v>0</v>
      </c>
    </row>
    <row r="1917" spans="17:17" ht="14.25" customHeight="1">
      <c r="Q1917" s="192">
        <v>0</v>
      </c>
    </row>
    <row r="1918" spans="17:17" ht="14.25" customHeight="1">
      <c r="Q1918" s="192">
        <v>0</v>
      </c>
    </row>
    <row r="1919" spans="17:17" ht="14.25" customHeight="1">
      <c r="Q1919" s="192">
        <v>0</v>
      </c>
    </row>
    <row r="1920" spans="17:17" ht="14.25" customHeight="1">
      <c r="Q1920" s="192">
        <v>0</v>
      </c>
    </row>
    <row r="1921" spans="17:17" ht="14.25" customHeight="1">
      <c r="Q1921" s="192">
        <v>0</v>
      </c>
    </row>
    <row r="1922" spans="17:17" ht="14.25" customHeight="1">
      <c r="Q1922" s="192">
        <v>0</v>
      </c>
    </row>
    <row r="1923" spans="17:17" ht="14.25" customHeight="1">
      <c r="Q1923" s="192">
        <v>0</v>
      </c>
    </row>
    <row r="1924" spans="17:17" ht="14.25" customHeight="1">
      <c r="Q1924" s="192">
        <v>0</v>
      </c>
    </row>
    <row r="1925" spans="17:17" ht="14.25" customHeight="1">
      <c r="Q1925" s="192">
        <v>0</v>
      </c>
    </row>
    <row r="1926" spans="17:17" ht="14.25" customHeight="1">
      <c r="Q1926" s="192">
        <v>0</v>
      </c>
    </row>
    <row r="1927" spans="17:17" ht="14.25" customHeight="1">
      <c r="Q1927" s="192">
        <v>0</v>
      </c>
    </row>
    <row r="1928" spans="17:17" ht="14.25" customHeight="1">
      <c r="Q1928" s="192">
        <v>0</v>
      </c>
    </row>
    <row r="1929" spans="17:17" ht="14.25" customHeight="1">
      <c r="Q1929" s="192">
        <v>0</v>
      </c>
    </row>
    <row r="1930" spans="17:17" ht="14.25" customHeight="1">
      <c r="Q1930" s="192">
        <v>0</v>
      </c>
    </row>
    <row r="1931" spans="17:17" ht="14.25" customHeight="1">
      <c r="Q1931" s="192">
        <v>0</v>
      </c>
    </row>
    <row r="1932" spans="17:17" ht="14.25" customHeight="1">
      <c r="Q1932" s="192">
        <v>0</v>
      </c>
    </row>
    <row r="1933" spans="17:17" ht="14.25" customHeight="1">
      <c r="Q1933" s="192">
        <v>0</v>
      </c>
    </row>
    <row r="1934" spans="17:17" ht="14.25" customHeight="1">
      <c r="Q1934" s="192">
        <v>0</v>
      </c>
    </row>
    <row r="1935" spans="17:17" ht="14.25" customHeight="1">
      <c r="Q1935" s="192">
        <v>0</v>
      </c>
    </row>
    <row r="1936" spans="17:17" ht="14.25" customHeight="1">
      <c r="Q1936" s="192">
        <v>0</v>
      </c>
    </row>
    <row r="1937" spans="17:17" ht="14.25" customHeight="1">
      <c r="Q1937" s="192">
        <v>0</v>
      </c>
    </row>
    <row r="1938" spans="17:17" ht="14.25" customHeight="1">
      <c r="Q1938" s="192">
        <v>0</v>
      </c>
    </row>
    <row r="1939" spans="17:17" ht="14.25" customHeight="1">
      <c r="Q1939" s="192">
        <v>0</v>
      </c>
    </row>
    <row r="1940" spans="17:17" ht="14.25" customHeight="1">
      <c r="Q1940" s="192">
        <v>0</v>
      </c>
    </row>
    <row r="1941" spans="17:17" ht="14.25" customHeight="1">
      <c r="Q1941" s="192">
        <v>0</v>
      </c>
    </row>
    <row r="1942" spans="17:17" ht="14.25" customHeight="1">
      <c r="Q1942" s="192">
        <v>0</v>
      </c>
    </row>
    <row r="1943" spans="17:17" ht="14.25" customHeight="1">
      <c r="Q1943" s="192">
        <v>0</v>
      </c>
    </row>
    <row r="1944" spans="17:17" ht="14.25" customHeight="1">
      <c r="Q1944" s="192">
        <v>0</v>
      </c>
    </row>
    <row r="1945" spans="17:17" ht="14.25" customHeight="1">
      <c r="Q1945" s="192">
        <v>0</v>
      </c>
    </row>
    <row r="1946" spans="17:17" ht="14.25" customHeight="1">
      <c r="Q1946" s="192">
        <v>0</v>
      </c>
    </row>
    <row r="1947" spans="17:17" ht="14.25" customHeight="1">
      <c r="Q1947" s="192">
        <v>0</v>
      </c>
    </row>
    <row r="1948" spans="17:17" ht="14.25" customHeight="1">
      <c r="Q1948" s="192">
        <v>0</v>
      </c>
    </row>
    <row r="1949" spans="17:17" ht="14.25" customHeight="1">
      <c r="Q1949" s="192">
        <v>0</v>
      </c>
    </row>
    <row r="1950" spans="17:17" ht="14.25" customHeight="1">
      <c r="Q1950" s="192">
        <v>0</v>
      </c>
    </row>
    <row r="1951" spans="17:17" ht="14.25" customHeight="1">
      <c r="Q1951" s="192">
        <v>0</v>
      </c>
    </row>
    <row r="1952" spans="17:17" ht="14.25" customHeight="1">
      <c r="Q1952" s="192">
        <v>0</v>
      </c>
    </row>
    <row r="1953" spans="17:17" ht="14.25" customHeight="1">
      <c r="Q1953" s="192">
        <v>0</v>
      </c>
    </row>
    <row r="1954" spans="17:17" ht="14.25" customHeight="1">
      <c r="Q1954" s="192">
        <v>0</v>
      </c>
    </row>
    <row r="1955" spans="17:17" ht="14.25" customHeight="1">
      <c r="Q1955" s="192">
        <v>0</v>
      </c>
    </row>
    <row r="1956" spans="17:17" ht="14.25" customHeight="1">
      <c r="Q1956" s="192">
        <v>0</v>
      </c>
    </row>
    <row r="1957" spans="17:17" ht="14.25" customHeight="1">
      <c r="Q1957" s="192">
        <v>0</v>
      </c>
    </row>
    <row r="1958" spans="17:17" ht="14.25" customHeight="1">
      <c r="Q1958" s="192">
        <v>0</v>
      </c>
    </row>
    <row r="1959" spans="17:17" ht="14.25" customHeight="1">
      <c r="Q1959" s="192">
        <v>0</v>
      </c>
    </row>
    <row r="1960" spans="17:17" ht="14.25" customHeight="1">
      <c r="Q1960" s="192">
        <v>0</v>
      </c>
    </row>
    <row r="1961" spans="17:17" ht="14.25" customHeight="1">
      <c r="Q1961" s="192">
        <v>0</v>
      </c>
    </row>
    <row r="1962" spans="17:17" ht="14.25" customHeight="1">
      <c r="Q1962" s="192">
        <v>0</v>
      </c>
    </row>
    <row r="1963" spans="17:17" ht="14.25" customHeight="1">
      <c r="Q1963" s="192">
        <v>0</v>
      </c>
    </row>
    <row r="1964" spans="17:17" ht="14.25" customHeight="1">
      <c r="Q1964" s="192">
        <v>0</v>
      </c>
    </row>
    <row r="1965" spans="17:17" ht="14.25" customHeight="1">
      <c r="Q1965" s="192">
        <v>0</v>
      </c>
    </row>
    <row r="1966" spans="17:17" ht="14.25" customHeight="1">
      <c r="Q1966" s="192">
        <v>0</v>
      </c>
    </row>
    <row r="1967" spans="17:17" ht="14.25" customHeight="1">
      <c r="Q1967" s="192">
        <v>0</v>
      </c>
    </row>
    <row r="1968" spans="17:17" ht="14.25" customHeight="1">
      <c r="Q1968" s="192">
        <v>0</v>
      </c>
    </row>
    <row r="1969" spans="17:17" ht="14.25" customHeight="1">
      <c r="Q1969" s="192">
        <v>0</v>
      </c>
    </row>
    <row r="1970" spans="17:17" ht="14.25" customHeight="1">
      <c r="Q1970" s="192">
        <v>0</v>
      </c>
    </row>
    <row r="1971" spans="17:17" ht="14.25" customHeight="1">
      <c r="Q1971" s="192">
        <v>0</v>
      </c>
    </row>
    <row r="1972" spans="17:17" ht="14.25" customHeight="1">
      <c r="Q1972" s="192">
        <v>0</v>
      </c>
    </row>
    <row r="1973" spans="17:17" ht="14.25" customHeight="1">
      <c r="Q1973" s="192">
        <v>0</v>
      </c>
    </row>
    <row r="1974" spans="17:17" ht="14.25" customHeight="1">
      <c r="Q1974" s="192">
        <v>0</v>
      </c>
    </row>
    <row r="1975" spans="17:17" ht="14.25" customHeight="1">
      <c r="Q1975" s="192">
        <v>0</v>
      </c>
    </row>
    <row r="1976" spans="17:17" ht="14.25" customHeight="1">
      <c r="Q1976" s="192">
        <v>0</v>
      </c>
    </row>
    <row r="1977" spans="17:17" ht="14.25" customHeight="1">
      <c r="Q1977" s="192">
        <v>0</v>
      </c>
    </row>
    <row r="1978" spans="17:17" ht="14.25" customHeight="1">
      <c r="Q1978" s="192">
        <v>0</v>
      </c>
    </row>
    <row r="1979" spans="17:17" ht="14.25" customHeight="1">
      <c r="Q1979" s="192">
        <v>0</v>
      </c>
    </row>
    <row r="1980" spans="17:17" ht="14.25" customHeight="1">
      <c r="Q1980" s="192">
        <v>0</v>
      </c>
    </row>
    <row r="1981" spans="17:17" ht="14.25" customHeight="1">
      <c r="Q1981" s="192">
        <v>0</v>
      </c>
    </row>
    <row r="1982" spans="17:17" ht="14.25" customHeight="1">
      <c r="Q1982" s="192">
        <v>0</v>
      </c>
    </row>
    <row r="1983" spans="17:17" ht="14.25" customHeight="1">
      <c r="Q1983" s="192">
        <v>0</v>
      </c>
    </row>
    <row r="1984" spans="17:17" ht="14.25" customHeight="1">
      <c r="Q1984" s="192">
        <v>0</v>
      </c>
    </row>
    <row r="1985" spans="17:17" ht="14.25" customHeight="1">
      <c r="Q1985" s="192">
        <v>0</v>
      </c>
    </row>
    <row r="1986" spans="17:17" ht="14.25" customHeight="1">
      <c r="Q1986" s="192">
        <v>0</v>
      </c>
    </row>
    <row r="1987" spans="17:17" ht="14.25" customHeight="1">
      <c r="Q1987" s="192">
        <v>0</v>
      </c>
    </row>
    <row r="1988" spans="17:17" ht="14.25" customHeight="1">
      <c r="Q1988" s="192">
        <v>0</v>
      </c>
    </row>
    <row r="1989" spans="17:17" ht="14.25" customHeight="1">
      <c r="Q1989" s="192">
        <v>0</v>
      </c>
    </row>
    <row r="1990" spans="17:17" ht="14.25" customHeight="1">
      <c r="Q1990" s="192">
        <v>0</v>
      </c>
    </row>
    <row r="1991" spans="17:17" ht="14.25" customHeight="1">
      <c r="Q1991" s="192">
        <v>0</v>
      </c>
    </row>
    <row r="1992" spans="17:17" ht="14.25" customHeight="1">
      <c r="Q1992" s="192">
        <v>0</v>
      </c>
    </row>
    <row r="1993" spans="17:17" ht="14.25" customHeight="1">
      <c r="Q1993" s="192">
        <v>0</v>
      </c>
    </row>
    <row r="1994" spans="17:17" ht="14.25" customHeight="1">
      <c r="Q1994" s="192">
        <v>0</v>
      </c>
    </row>
    <row r="1995" spans="17:17" ht="14.25" customHeight="1">
      <c r="Q1995" s="192">
        <v>0</v>
      </c>
    </row>
    <row r="1996" spans="17:17" ht="14.25" customHeight="1">
      <c r="Q1996" s="192">
        <v>0</v>
      </c>
    </row>
    <row r="1997" spans="17:17" ht="14.25" customHeight="1">
      <c r="Q1997" s="192">
        <v>0</v>
      </c>
    </row>
    <row r="1998" spans="17:17" ht="14.25" customHeight="1">
      <c r="Q1998" s="192">
        <v>0</v>
      </c>
    </row>
    <row r="1999" spans="17:17" ht="14.25" customHeight="1">
      <c r="Q1999" s="192">
        <v>0</v>
      </c>
    </row>
    <row r="2000" spans="17:17" ht="14.25" customHeight="1">
      <c r="Q2000" s="192">
        <v>0</v>
      </c>
    </row>
    <row r="2001" spans="17:17" ht="14.25" customHeight="1">
      <c r="Q2001" s="192">
        <v>0</v>
      </c>
    </row>
    <row r="2002" spans="17:17" ht="14.25" customHeight="1">
      <c r="Q2002" s="192">
        <v>0</v>
      </c>
    </row>
    <row r="2003" spans="17:17" ht="14.25" customHeight="1">
      <c r="Q2003" s="192">
        <v>0</v>
      </c>
    </row>
    <row r="2004" spans="17:17" ht="14.25" customHeight="1">
      <c r="Q2004" s="192">
        <v>0</v>
      </c>
    </row>
    <row r="2005" spans="17:17" ht="14.25" customHeight="1">
      <c r="Q2005" s="192">
        <v>0</v>
      </c>
    </row>
    <row r="2006" spans="17:17" ht="14.25" customHeight="1">
      <c r="Q2006" s="192">
        <v>0</v>
      </c>
    </row>
    <row r="2007" spans="17:17" ht="14.25" customHeight="1">
      <c r="Q2007" s="192">
        <v>0</v>
      </c>
    </row>
    <row r="2008" spans="17:17" ht="14.25" customHeight="1">
      <c r="Q2008" s="192">
        <v>0</v>
      </c>
    </row>
    <row r="2009" spans="17:17" ht="14.25" customHeight="1">
      <c r="Q2009" s="192">
        <v>0</v>
      </c>
    </row>
    <row r="2010" spans="17:17" ht="14.25" customHeight="1">
      <c r="Q2010" s="192">
        <v>0</v>
      </c>
    </row>
    <row r="2011" spans="17:17" ht="14.25" customHeight="1">
      <c r="Q2011" s="192">
        <v>0</v>
      </c>
    </row>
    <row r="2012" spans="17:17" ht="14.25" customHeight="1">
      <c r="Q2012" s="192">
        <v>0</v>
      </c>
    </row>
    <row r="2013" spans="17:17" ht="14.25" customHeight="1">
      <c r="Q2013" s="192">
        <v>0</v>
      </c>
    </row>
    <row r="2014" spans="17:17" ht="14.25" customHeight="1">
      <c r="Q2014" s="192">
        <v>0</v>
      </c>
    </row>
    <row r="2015" spans="17:17" ht="14.25" customHeight="1">
      <c r="Q2015" s="192">
        <v>0</v>
      </c>
    </row>
    <row r="2016" spans="17:17" ht="14.25" customHeight="1">
      <c r="Q2016" s="192">
        <v>0</v>
      </c>
    </row>
    <row r="2017" spans="17:17" ht="14.25" customHeight="1">
      <c r="Q2017" s="192">
        <v>0</v>
      </c>
    </row>
    <row r="2018" spans="17:17" ht="14.25" customHeight="1">
      <c r="Q2018" s="192">
        <v>0</v>
      </c>
    </row>
    <row r="2019" spans="17:17" ht="14.25" customHeight="1">
      <c r="Q2019" s="192">
        <v>0</v>
      </c>
    </row>
    <row r="2020" spans="17:17" ht="14.25" customHeight="1">
      <c r="Q2020" s="192">
        <v>0</v>
      </c>
    </row>
    <row r="2021" spans="17:17" ht="14.25" customHeight="1">
      <c r="Q2021" s="192">
        <v>0</v>
      </c>
    </row>
    <row r="2022" spans="17:17" ht="14.25" customHeight="1">
      <c r="Q2022" s="192">
        <v>0</v>
      </c>
    </row>
    <row r="2023" spans="17:17" ht="14.25" customHeight="1">
      <c r="Q2023" s="192">
        <v>0</v>
      </c>
    </row>
    <row r="2024" spans="17:17" ht="14.25" customHeight="1">
      <c r="Q2024" s="192">
        <v>0</v>
      </c>
    </row>
    <row r="2025" spans="17:17" ht="14.25" customHeight="1">
      <c r="Q2025" s="192">
        <v>0</v>
      </c>
    </row>
    <row r="2026" spans="17:17" ht="14.25" customHeight="1">
      <c r="Q2026" s="192">
        <v>0</v>
      </c>
    </row>
    <row r="2027" spans="17:17" ht="14.25" customHeight="1">
      <c r="Q2027" s="192">
        <v>0</v>
      </c>
    </row>
    <row r="2028" spans="17:17" ht="14.25" customHeight="1">
      <c r="Q2028" s="192">
        <v>0</v>
      </c>
    </row>
    <row r="2029" spans="17:17" ht="14.25" customHeight="1">
      <c r="Q2029" s="192">
        <v>0</v>
      </c>
    </row>
    <row r="2030" spans="17:17" ht="14.25" customHeight="1">
      <c r="Q2030" s="192">
        <v>0</v>
      </c>
    </row>
    <row r="2031" spans="17:17" ht="14.25" customHeight="1">
      <c r="Q2031" s="192">
        <v>0</v>
      </c>
    </row>
    <row r="2032" spans="17:17" ht="14.25" customHeight="1">
      <c r="Q2032" s="192">
        <v>0</v>
      </c>
    </row>
    <row r="2033" spans="17:17" ht="14.25" customHeight="1">
      <c r="Q2033" s="192">
        <v>0</v>
      </c>
    </row>
    <row r="2034" spans="17:17" ht="14.25" customHeight="1">
      <c r="Q2034" s="192">
        <v>0</v>
      </c>
    </row>
    <row r="2035" spans="17:17" ht="14.25" customHeight="1">
      <c r="Q2035" s="192">
        <v>0</v>
      </c>
    </row>
    <row r="2036" spans="17:17" ht="14.25" customHeight="1">
      <c r="Q2036" s="192">
        <v>0</v>
      </c>
    </row>
    <row r="2037" spans="17:17" ht="14.25" customHeight="1">
      <c r="Q2037" s="192">
        <v>0</v>
      </c>
    </row>
    <row r="2038" spans="17:17" ht="14.25" customHeight="1">
      <c r="Q2038" s="192">
        <v>0</v>
      </c>
    </row>
    <row r="2039" spans="17:17" ht="14.25" customHeight="1">
      <c r="Q2039" s="192">
        <v>0</v>
      </c>
    </row>
    <row r="2040" spans="17:17" ht="14.25" customHeight="1">
      <c r="Q2040" s="192">
        <v>0</v>
      </c>
    </row>
    <row r="2041" spans="17:17" ht="14.25" customHeight="1">
      <c r="Q2041" s="192">
        <v>0</v>
      </c>
    </row>
    <row r="2042" spans="17:17" ht="14.25" customHeight="1">
      <c r="Q2042" s="192">
        <v>0</v>
      </c>
    </row>
    <row r="2043" spans="17:17" ht="14.25" customHeight="1">
      <c r="Q2043" s="192">
        <v>0</v>
      </c>
    </row>
    <row r="2044" spans="17:17" ht="14.25" customHeight="1">
      <c r="Q2044" s="192">
        <v>0</v>
      </c>
    </row>
    <row r="2045" spans="17:17" ht="14.25" customHeight="1">
      <c r="Q2045" s="192">
        <v>0</v>
      </c>
    </row>
    <row r="2046" spans="17:17" ht="14.25" customHeight="1">
      <c r="Q2046" s="192">
        <v>0</v>
      </c>
    </row>
    <row r="2047" spans="17:17" ht="14.25" customHeight="1">
      <c r="Q2047" s="192">
        <v>0</v>
      </c>
    </row>
    <row r="2048" spans="17:17" ht="14.25" customHeight="1">
      <c r="Q2048" s="192">
        <v>0</v>
      </c>
    </row>
    <row r="2049" spans="17:17" ht="14.25" customHeight="1">
      <c r="Q2049" s="192">
        <v>0</v>
      </c>
    </row>
    <row r="2050" spans="17:17" ht="14.25" customHeight="1">
      <c r="Q2050" s="192">
        <v>0</v>
      </c>
    </row>
    <row r="2051" spans="17:17" ht="14.25" customHeight="1">
      <c r="Q2051" s="192">
        <v>0</v>
      </c>
    </row>
    <row r="2052" spans="17:17" ht="14.25" customHeight="1">
      <c r="Q2052" s="192">
        <v>0</v>
      </c>
    </row>
    <row r="2053" spans="17:17" ht="14.25" customHeight="1">
      <c r="Q2053" s="192">
        <v>0</v>
      </c>
    </row>
    <row r="2054" spans="17:17" ht="14.25" customHeight="1">
      <c r="Q2054" s="192">
        <v>0</v>
      </c>
    </row>
    <row r="2055" spans="17:17" ht="14.25" customHeight="1">
      <c r="Q2055" s="192">
        <v>0</v>
      </c>
    </row>
    <row r="2056" spans="17:17" ht="14.25" customHeight="1">
      <c r="Q2056" s="192">
        <v>0</v>
      </c>
    </row>
    <row r="2057" spans="17:17" ht="14.25" customHeight="1">
      <c r="Q2057" s="192">
        <v>0</v>
      </c>
    </row>
    <row r="2058" spans="17:17" ht="14.25" customHeight="1">
      <c r="Q2058" s="192">
        <v>0</v>
      </c>
    </row>
    <row r="2059" spans="17:17" ht="14.25" customHeight="1">
      <c r="Q2059" s="192">
        <v>0</v>
      </c>
    </row>
    <row r="2060" spans="17:17" ht="14.25" customHeight="1">
      <c r="Q2060" s="192">
        <v>0</v>
      </c>
    </row>
    <row r="2061" spans="17:17" ht="14.25" customHeight="1">
      <c r="Q2061" s="192">
        <v>0</v>
      </c>
    </row>
    <row r="2062" spans="17:17" ht="14.25" customHeight="1">
      <c r="Q2062" s="192">
        <v>0</v>
      </c>
    </row>
    <row r="2063" spans="17:17" ht="14.25" customHeight="1">
      <c r="Q2063" s="192">
        <v>0</v>
      </c>
    </row>
    <row r="2064" spans="17:17" ht="14.25" customHeight="1">
      <c r="Q2064" s="192">
        <v>0</v>
      </c>
    </row>
    <row r="2065" spans="17:17" ht="14.25" customHeight="1">
      <c r="Q2065" s="192">
        <v>0</v>
      </c>
    </row>
    <row r="2066" spans="17:17" ht="14.25" customHeight="1">
      <c r="Q2066" s="192">
        <v>0</v>
      </c>
    </row>
    <row r="2067" spans="17:17" ht="14.25" customHeight="1">
      <c r="Q2067" s="192">
        <v>0</v>
      </c>
    </row>
    <row r="2068" spans="17:17" ht="14.25" customHeight="1">
      <c r="Q2068" s="192">
        <v>0</v>
      </c>
    </row>
    <row r="2069" spans="17:17" ht="14.25" customHeight="1">
      <c r="Q2069" s="192">
        <v>0</v>
      </c>
    </row>
    <row r="2070" spans="17:17" ht="14.25" customHeight="1">
      <c r="Q2070" s="192">
        <v>0</v>
      </c>
    </row>
    <row r="2071" spans="17:17" ht="14.25" customHeight="1">
      <c r="Q2071" s="192">
        <v>0</v>
      </c>
    </row>
    <row r="2072" spans="17:17" ht="14.25" customHeight="1">
      <c r="Q2072" s="192">
        <v>0</v>
      </c>
    </row>
    <row r="2073" spans="17:17" ht="14.25" customHeight="1">
      <c r="Q2073" s="192">
        <v>0</v>
      </c>
    </row>
    <row r="2074" spans="17:17" ht="14.25" customHeight="1">
      <c r="Q2074" s="192">
        <v>0</v>
      </c>
    </row>
    <row r="2075" spans="17:17" ht="14.25" customHeight="1">
      <c r="Q2075" s="192">
        <v>0</v>
      </c>
    </row>
    <row r="2076" spans="17:17" ht="14.25" customHeight="1">
      <c r="Q2076" s="192">
        <v>0</v>
      </c>
    </row>
    <row r="2077" spans="17:17" ht="14.25" customHeight="1">
      <c r="Q2077" s="192">
        <v>0</v>
      </c>
    </row>
    <row r="2078" spans="17:17" ht="14.25" customHeight="1">
      <c r="Q2078" s="192">
        <v>0</v>
      </c>
    </row>
    <row r="2079" spans="17:17" ht="14.25" customHeight="1">
      <c r="Q2079" s="192">
        <v>0</v>
      </c>
    </row>
    <row r="2080" spans="17:17" ht="14.25" customHeight="1">
      <c r="Q2080" s="192">
        <v>0</v>
      </c>
    </row>
    <row r="2081" spans="17:17" ht="14.25" customHeight="1">
      <c r="Q2081" s="192">
        <v>0</v>
      </c>
    </row>
    <row r="2082" spans="17:17" ht="14.25" customHeight="1">
      <c r="Q2082" s="192">
        <v>0</v>
      </c>
    </row>
    <row r="2083" spans="17:17" ht="14.25" customHeight="1">
      <c r="Q2083" s="192">
        <v>0</v>
      </c>
    </row>
    <row r="2084" spans="17:17" ht="14.25" customHeight="1">
      <c r="Q2084" s="192">
        <v>0</v>
      </c>
    </row>
    <row r="2085" spans="17:17" ht="14.25" customHeight="1">
      <c r="Q2085" s="192">
        <v>0</v>
      </c>
    </row>
    <row r="2086" spans="17:17" ht="14.25" customHeight="1">
      <c r="Q2086" s="192">
        <v>0</v>
      </c>
    </row>
    <row r="2087" spans="17:17" ht="14.25" customHeight="1">
      <c r="Q2087" s="192">
        <v>0</v>
      </c>
    </row>
    <row r="2088" spans="17:17" ht="14.25" customHeight="1">
      <c r="Q2088" s="192">
        <v>0</v>
      </c>
    </row>
    <row r="2089" spans="17:17" ht="14.25" customHeight="1">
      <c r="Q2089" s="192">
        <v>0</v>
      </c>
    </row>
    <row r="2090" spans="17:17" ht="14.25" customHeight="1">
      <c r="Q2090" s="192">
        <v>0</v>
      </c>
    </row>
    <row r="2091" spans="17:17" ht="14.25" customHeight="1">
      <c r="Q2091" s="192">
        <v>0</v>
      </c>
    </row>
    <row r="2092" spans="17:17" ht="14.25" customHeight="1">
      <c r="Q2092" s="192">
        <v>0</v>
      </c>
    </row>
    <row r="2093" spans="17:17" ht="14.25" customHeight="1">
      <c r="Q2093" s="192">
        <v>0</v>
      </c>
    </row>
    <row r="2094" spans="17:17" ht="14.25" customHeight="1">
      <c r="Q2094" s="192">
        <v>0</v>
      </c>
    </row>
    <row r="2095" spans="17:17" ht="14.25" customHeight="1">
      <c r="Q2095" s="192">
        <v>0</v>
      </c>
    </row>
    <row r="2096" spans="17:17" ht="14.25" customHeight="1">
      <c r="Q2096" s="192">
        <v>0</v>
      </c>
    </row>
    <row r="2097" spans="17:17" ht="14.25" customHeight="1">
      <c r="Q2097" s="192">
        <v>0</v>
      </c>
    </row>
    <row r="2098" spans="17:17" ht="14.25" customHeight="1">
      <c r="Q2098" s="192">
        <v>0</v>
      </c>
    </row>
    <row r="2099" spans="17:17" ht="14.25" customHeight="1">
      <c r="Q2099" s="192">
        <v>0</v>
      </c>
    </row>
    <row r="2100" spans="17:17" ht="14.25" customHeight="1">
      <c r="Q2100" s="192">
        <v>0</v>
      </c>
    </row>
    <row r="2101" spans="17:17" ht="14.25" customHeight="1">
      <c r="Q2101" s="192">
        <v>0</v>
      </c>
    </row>
    <row r="2102" spans="17:17" ht="14.25" customHeight="1">
      <c r="Q2102" s="192">
        <v>0</v>
      </c>
    </row>
    <row r="2103" spans="17:17" ht="14.25" customHeight="1">
      <c r="Q2103" s="192">
        <v>0</v>
      </c>
    </row>
    <row r="2104" spans="17:17" ht="14.25" customHeight="1">
      <c r="Q2104" s="192">
        <v>0</v>
      </c>
    </row>
    <row r="2105" spans="17:17" ht="14.25" customHeight="1">
      <c r="Q2105" s="192">
        <v>0</v>
      </c>
    </row>
    <row r="2106" spans="17:17" ht="14.25" customHeight="1">
      <c r="Q2106" s="192">
        <v>0</v>
      </c>
    </row>
    <row r="2107" spans="17:17" ht="14.25" customHeight="1">
      <c r="Q2107" s="192">
        <v>0</v>
      </c>
    </row>
    <row r="2108" spans="17:17" ht="14.25" customHeight="1">
      <c r="Q2108" s="192">
        <v>0</v>
      </c>
    </row>
    <row r="2109" spans="17:17" ht="14.25" customHeight="1">
      <c r="Q2109" s="192">
        <v>0</v>
      </c>
    </row>
    <row r="2110" spans="17:17" ht="14.25" customHeight="1">
      <c r="Q2110" s="192">
        <v>0</v>
      </c>
    </row>
    <row r="2111" spans="17:17" ht="14.25" customHeight="1">
      <c r="Q2111" s="192">
        <v>0</v>
      </c>
    </row>
    <row r="2112" spans="17:17" ht="14.25" customHeight="1">
      <c r="Q2112" s="192">
        <v>0</v>
      </c>
    </row>
    <row r="2113" spans="17:17" ht="14.25" customHeight="1">
      <c r="Q2113" s="192">
        <v>0</v>
      </c>
    </row>
    <row r="2114" spans="17:17" ht="14.25" customHeight="1">
      <c r="Q2114" s="192">
        <v>0</v>
      </c>
    </row>
    <row r="2115" spans="17:17" ht="14.25" customHeight="1">
      <c r="Q2115" s="192">
        <v>0</v>
      </c>
    </row>
    <row r="2116" spans="17:17" ht="14.25" customHeight="1">
      <c r="Q2116" s="192">
        <v>0</v>
      </c>
    </row>
    <row r="2117" spans="17:17" ht="14.25" customHeight="1">
      <c r="Q2117" s="192">
        <v>0</v>
      </c>
    </row>
    <row r="2118" spans="17:17" ht="14.25" customHeight="1">
      <c r="Q2118" s="192">
        <v>0</v>
      </c>
    </row>
    <row r="2119" spans="17:17" ht="14.25" customHeight="1">
      <c r="Q2119" s="192">
        <v>0</v>
      </c>
    </row>
    <row r="2120" spans="17:17" ht="14.25" customHeight="1">
      <c r="Q2120" s="192">
        <v>0</v>
      </c>
    </row>
    <row r="2121" spans="17:17" ht="14.25" customHeight="1">
      <c r="Q2121" s="192">
        <v>0</v>
      </c>
    </row>
    <row r="2122" spans="17:17" ht="14.25" customHeight="1">
      <c r="Q2122" s="192">
        <v>0</v>
      </c>
    </row>
    <row r="2123" spans="17:17" ht="14.25" customHeight="1">
      <c r="Q2123" s="192">
        <v>0</v>
      </c>
    </row>
    <row r="2124" spans="17:17" ht="14.25" customHeight="1">
      <c r="Q2124" s="192">
        <v>0</v>
      </c>
    </row>
    <row r="2125" spans="17:17" ht="14.25" customHeight="1">
      <c r="Q2125" s="192">
        <v>0</v>
      </c>
    </row>
    <row r="2126" spans="17:17" ht="14.25" customHeight="1">
      <c r="Q2126" s="192">
        <v>0</v>
      </c>
    </row>
    <row r="2127" spans="17:17" ht="14.25" customHeight="1">
      <c r="Q2127" s="192">
        <v>0</v>
      </c>
    </row>
    <row r="2128" spans="17:17" ht="14.25" customHeight="1">
      <c r="Q2128" s="192">
        <v>0</v>
      </c>
    </row>
    <row r="2129" spans="17:17" ht="14.25" customHeight="1">
      <c r="Q2129" s="192">
        <v>0</v>
      </c>
    </row>
    <row r="2130" spans="17:17" ht="14.25" customHeight="1">
      <c r="Q2130" s="192">
        <v>0</v>
      </c>
    </row>
    <row r="2131" spans="17:17" ht="14.25" customHeight="1">
      <c r="Q2131" s="192">
        <v>0</v>
      </c>
    </row>
    <row r="2132" spans="17:17" ht="14.25" customHeight="1">
      <c r="Q2132" s="192">
        <v>0</v>
      </c>
    </row>
    <row r="2133" spans="17:17" ht="14.25" customHeight="1">
      <c r="Q2133" s="192">
        <v>0</v>
      </c>
    </row>
    <row r="2134" spans="17:17" ht="14.25" customHeight="1">
      <c r="Q2134" s="192">
        <v>0</v>
      </c>
    </row>
    <row r="2135" spans="17:17" ht="14.25" customHeight="1">
      <c r="Q2135" s="192">
        <v>0</v>
      </c>
    </row>
    <row r="2136" spans="17:17" ht="14.25" customHeight="1">
      <c r="Q2136" s="192">
        <v>0</v>
      </c>
    </row>
    <row r="2137" spans="17:17" ht="14.25" customHeight="1">
      <c r="Q2137" s="192">
        <v>0</v>
      </c>
    </row>
    <row r="2138" spans="17:17" ht="14.25" customHeight="1">
      <c r="Q2138" s="192">
        <v>0</v>
      </c>
    </row>
    <row r="2139" spans="17:17" ht="14.25" customHeight="1">
      <c r="Q2139" s="192">
        <v>0</v>
      </c>
    </row>
    <row r="2140" spans="17:17" ht="14.25" customHeight="1">
      <c r="Q2140" s="192">
        <v>0</v>
      </c>
    </row>
    <row r="2141" spans="17:17" ht="14.25" customHeight="1">
      <c r="Q2141" s="192">
        <v>0</v>
      </c>
    </row>
    <row r="2142" spans="17:17" ht="14.25" customHeight="1">
      <c r="Q2142" s="192">
        <v>0</v>
      </c>
    </row>
    <row r="2143" spans="17:17" ht="14.25" customHeight="1">
      <c r="Q2143" s="192">
        <v>0</v>
      </c>
    </row>
    <row r="2144" spans="17:17" ht="14.25" customHeight="1">
      <c r="Q2144" s="192">
        <v>0</v>
      </c>
    </row>
    <row r="2145" spans="17:17" ht="14.25" customHeight="1">
      <c r="Q2145" s="192">
        <v>0</v>
      </c>
    </row>
    <row r="2146" spans="17:17" ht="14.25" customHeight="1">
      <c r="Q2146" s="192">
        <v>0</v>
      </c>
    </row>
    <row r="2147" spans="17:17" ht="14.25" customHeight="1">
      <c r="Q2147" s="192">
        <v>0</v>
      </c>
    </row>
    <row r="2148" spans="17:17" ht="14.25" customHeight="1">
      <c r="Q2148" s="192">
        <v>0</v>
      </c>
    </row>
    <row r="2149" spans="17:17" ht="14.25" customHeight="1">
      <c r="Q2149" s="192">
        <v>0</v>
      </c>
    </row>
    <row r="2150" spans="17:17" ht="14.25" customHeight="1">
      <c r="Q2150" s="192">
        <v>0</v>
      </c>
    </row>
    <row r="2151" spans="17:17" ht="14.25" customHeight="1">
      <c r="Q2151" s="192">
        <v>0</v>
      </c>
    </row>
    <row r="2152" spans="17:17" ht="14.25" customHeight="1">
      <c r="Q2152" s="192">
        <v>0</v>
      </c>
    </row>
    <row r="2153" spans="17:17" ht="14.25" customHeight="1">
      <c r="Q2153" s="192">
        <v>0</v>
      </c>
    </row>
    <row r="2154" spans="17:17" ht="14.25" customHeight="1">
      <c r="Q2154" s="192">
        <v>0</v>
      </c>
    </row>
    <row r="2155" spans="17:17" ht="14.25" customHeight="1">
      <c r="Q2155" s="192">
        <v>0</v>
      </c>
    </row>
    <row r="2156" spans="17:17" ht="14.25" customHeight="1">
      <c r="Q2156" s="192">
        <v>0</v>
      </c>
    </row>
    <row r="2157" spans="17:17" ht="14.25" customHeight="1">
      <c r="Q2157" s="192">
        <v>0</v>
      </c>
    </row>
    <row r="2158" spans="17:17" ht="14.25" customHeight="1">
      <c r="Q2158" s="192">
        <v>0</v>
      </c>
    </row>
    <row r="2159" spans="17:17" ht="14.25" customHeight="1">
      <c r="Q2159" s="192">
        <v>0</v>
      </c>
    </row>
    <row r="2160" spans="17:17" ht="14.25" customHeight="1">
      <c r="Q2160" s="192">
        <v>0</v>
      </c>
    </row>
    <row r="2161" spans="17:17" ht="14.25" customHeight="1">
      <c r="Q2161" s="192">
        <v>0</v>
      </c>
    </row>
    <row r="2162" spans="17:17" ht="14.25" customHeight="1">
      <c r="Q2162" s="192">
        <v>0</v>
      </c>
    </row>
    <row r="2163" spans="17:17" ht="14.25" customHeight="1">
      <c r="Q2163" s="192">
        <v>0</v>
      </c>
    </row>
    <row r="2164" spans="17:17" ht="14.25" customHeight="1">
      <c r="Q2164" s="192">
        <v>0</v>
      </c>
    </row>
    <row r="2165" spans="17:17" ht="14.25" customHeight="1">
      <c r="Q2165" s="192">
        <v>0</v>
      </c>
    </row>
    <row r="2166" spans="17:17" ht="14.25" customHeight="1">
      <c r="Q2166" s="192">
        <v>0</v>
      </c>
    </row>
    <row r="2167" spans="17:17" ht="14.25" customHeight="1">
      <c r="Q2167" s="192">
        <v>0</v>
      </c>
    </row>
    <row r="2168" spans="17:17" ht="14.25" customHeight="1">
      <c r="Q2168" s="192">
        <v>0</v>
      </c>
    </row>
    <row r="2169" spans="17:17" ht="14.25" customHeight="1">
      <c r="Q2169" s="192">
        <v>0</v>
      </c>
    </row>
    <row r="2170" spans="17:17" ht="14.25" customHeight="1">
      <c r="Q2170" s="192">
        <v>0</v>
      </c>
    </row>
    <row r="2171" spans="17:17" ht="14.25" customHeight="1">
      <c r="Q2171" s="192">
        <v>0</v>
      </c>
    </row>
    <row r="2172" spans="17:17" ht="14.25" customHeight="1">
      <c r="Q2172" s="192">
        <v>0</v>
      </c>
    </row>
    <row r="2173" spans="17:17" ht="14.25" customHeight="1">
      <c r="Q2173" s="192">
        <v>0</v>
      </c>
    </row>
    <row r="2174" spans="17:17" ht="14.25" customHeight="1">
      <c r="Q2174" s="192">
        <v>0</v>
      </c>
    </row>
    <row r="2175" spans="17:17" ht="14.25" customHeight="1">
      <c r="Q2175" s="192">
        <v>0</v>
      </c>
    </row>
    <row r="2176" spans="17:17" ht="14.25" customHeight="1">
      <c r="Q2176" s="192">
        <v>0</v>
      </c>
    </row>
    <row r="2177" spans="17:17" ht="14.25" customHeight="1">
      <c r="Q2177" s="192">
        <v>0</v>
      </c>
    </row>
    <row r="2178" spans="17:17" ht="14.25" customHeight="1">
      <c r="Q2178" s="192">
        <v>0</v>
      </c>
    </row>
    <row r="2179" spans="17:17" ht="14.25" customHeight="1">
      <c r="Q2179" s="192">
        <v>0</v>
      </c>
    </row>
    <row r="2180" spans="17:17" ht="14.25" customHeight="1">
      <c r="Q2180" s="192">
        <v>0</v>
      </c>
    </row>
    <row r="2181" spans="17:17" ht="14.25" customHeight="1">
      <c r="Q2181" s="192">
        <v>0</v>
      </c>
    </row>
    <row r="2182" spans="17:17" ht="14.25" customHeight="1">
      <c r="Q2182" s="192">
        <v>0</v>
      </c>
    </row>
    <row r="2183" spans="17:17" ht="14.25" customHeight="1">
      <c r="Q2183" s="192">
        <v>0</v>
      </c>
    </row>
    <row r="2184" spans="17:17" ht="14.25" customHeight="1">
      <c r="Q2184" s="192">
        <v>0</v>
      </c>
    </row>
    <row r="2185" spans="17:17" ht="14.25" customHeight="1">
      <c r="Q2185" s="192">
        <v>0</v>
      </c>
    </row>
    <row r="2186" spans="17:17" ht="14.25" customHeight="1">
      <c r="Q2186" s="192">
        <v>0</v>
      </c>
    </row>
    <row r="2187" spans="17:17" ht="14.25" customHeight="1">
      <c r="Q2187" s="192">
        <v>0</v>
      </c>
    </row>
    <row r="2188" spans="17:17" ht="14.25" customHeight="1">
      <c r="Q2188" s="192">
        <v>0</v>
      </c>
    </row>
    <row r="2189" spans="17:17" ht="14.25" customHeight="1">
      <c r="Q2189" s="192">
        <v>0</v>
      </c>
    </row>
    <row r="2190" spans="17:17" ht="14.25" customHeight="1">
      <c r="Q2190" s="192">
        <v>0</v>
      </c>
    </row>
    <row r="2191" spans="17:17" ht="14.25" customHeight="1">
      <c r="Q2191" s="192">
        <v>0</v>
      </c>
    </row>
    <row r="2192" spans="17:17" ht="14.25" customHeight="1">
      <c r="Q2192" s="192">
        <v>0</v>
      </c>
    </row>
    <row r="2193" spans="17:17" ht="14.25" customHeight="1">
      <c r="Q2193" s="192">
        <v>0</v>
      </c>
    </row>
    <row r="2194" spans="17:17" ht="14.25" customHeight="1">
      <c r="Q2194" s="192">
        <v>0</v>
      </c>
    </row>
    <row r="2195" spans="17:17" ht="14.25" customHeight="1">
      <c r="Q2195" s="192">
        <v>0</v>
      </c>
    </row>
    <row r="2196" spans="17:17" ht="14.25" customHeight="1">
      <c r="Q2196" s="192">
        <v>0</v>
      </c>
    </row>
    <row r="2197" spans="17:17" ht="14.25" customHeight="1">
      <c r="Q2197" s="192">
        <v>0</v>
      </c>
    </row>
    <row r="2198" spans="17:17" ht="14.25" customHeight="1">
      <c r="Q2198" s="192">
        <v>0</v>
      </c>
    </row>
    <row r="2199" spans="17:17" ht="14.25" customHeight="1">
      <c r="Q2199" s="192">
        <v>0</v>
      </c>
    </row>
    <row r="2200" spans="17:17" ht="14.25" customHeight="1">
      <c r="Q2200" s="192">
        <v>0</v>
      </c>
    </row>
    <row r="2201" spans="17:17" ht="14.25" customHeight="1">
      <c r="Q2201" s="192">
        <v>0</v>
      </c>
    </row>
    <row r="2202" spans="17:17" ht="14.25" customHeight="1">
      <c r="Q2202" s="192">
        <v>0</v>
      </c>
    </row>
    <row r="2203" spans="17:17" ht="14.25" customHeight="1">
      <c r="Q2203" s="192">
        <v>0</v>
      </c>
    </row>
    <row r="2204" spans="17:17" ht="14.25" customHeight="1">
      <c r="Q2204" s="192">
        <v>0</v>
      </c>
    </row>
    <row r="2205" spans="17:17" ht="14.25" customHeight="1">
      <c r="Q2205" s="192">
        <v>0</v>
      </c>
    </row>
    <row r="2206" spans="17:17" ht="14.25" customHeight="1">
      <c r="Q2206" s="192">
        <v>0</v>
      </c>
    </row>
    <row r="2207" spans="17:17" ht="14.25" customHeight="1">
      <c r="Q2207" s="192">
        <v>0</v>
      </c>
    </row>
    <row r="2208" spans="17:17" ht="14.25" customHeight="1">
      <c r="Q2208" s="192">
        <v>0</v>
      </c>
    </row>
    <row r="2209" spans="17:17" ht="14.25" customHeight="1">
      <c r="Q2209" s="192">
        <v>0</v>
      </c>
    </row>
    <row r="2210" spans="17:17" ht="14.25" customHeight="1">
      <c r="Q2210" s="192">
        <v>0</v>
      </c>
    </row>
    <row r="2211" spans="17:17" ht="14.25" customHeight="1">
      <c r="Q2211" s="192">
        <v>0</v>
      </c>
    </row>
    <row r="2212" spans="17:17" ht="14.25" customHeight="1">
      <c r="Q2212" s="192">
        <v>0</v>
      </c>
    </row>
    <row r="2213" spans="17:17" ht="14.25" customHeight="1">
      <c r="Q2213" s="192">
        <v>0</v>
      </c>
    </row>
    <row r="2214" spans="17:17" ht="14.25" customHeight="1">
      <c r="Q2214" s="192">
        <v>0</v>
      </c>
    </row>
    <row r="2215" spans="17:17" ht="14.25" customHeight="1">
      <c r="Q2215" s="192">
        <v>0</v>
      </c>
    </row>
    <row r="2216" spans="17:17" ht="14.25" customHeight="1">
      <c r="Q2216" s="192">
        <v>0</v>
      </c>
    </row>
    <row r="2217" spans="17:17" ht="14.25" customHeight="1">
      <c r="Q2217" s="192">
        <v>0</v>
      </c>
    </row>
    <row r="2218" spans="17:17" ht="14.25" customHeight="1">
      <c r="Q2218" s="192">
        <v>0</v>
      </c>
    </row>
    <row r="2219" spans="17:17" ht="14.25" customHeight="1">
      <c r="Q2219" s="192">
        <v>0</v>
      </c>
    </row>
    <row r="2220" spans="17:17" ht="14.25" customHeight="1">
      <c r="Q2220" s="192">
        <v>0</v>
      </c>
    </row>
    <row r="2221" spans="17:17" ht="14.25" customHeight="1">
      <c r="Q2221" s="192">
        <v>0</v>
      </c>
    </row>
    <row r="2222" spans="17:17" ht="14.25" customHeight="1">
      <c r="Q2222" s="192">
        <v>0</v>
      </c>
    </row>
    <row r="2223" spans="17:17" ht="14.25" customHeight="1">
      <c r="Q2223" s="192">
        <v>0</v>
      </c>
    </row>
    <row r="2224" spans="17:17" ht="14.25" customHeight="1">
      <c r="Q2224" s="192">
        <v>0</v>
      </c>
    </row>
    <row r="2225" spans="17:17" ht="14.25" customHeight="1">
      <c r="Q2225" s="192">
        <v>0</v>
      </c>
    </row>
    <row r="2226" spans="17:17" ht="14.25" customHeight="1">
      <c r="Q2226" s="192">
        <v>0</v>
      </c>
    </row>
    <row r="2227" spans="17:17" ht="14.25" customHeight="1">
      <c r="Q2227" s="192">
        <v>0</v>
      </c>
    </row>
    <row r="2228" spans="17:17" ht="14.25" customHeight="1">
      <c r="Q2228" s="192">
        <v>0</v>
      </c>
    </row>
    <row r="2229" spans="17:17" ht="14.25" customHeight="1">
      <c r="Q2229" s="192">
        <v>0</v>
      </c>
    </row>
    <row r="2230" spans="17:17" ht="14.25" customHeight="1">
      <c r="Q2230" s="192">
        <v>0</v>
      </c>
    </row>
    <row r="2231" spans="17:17" ht="14.25" customHeight="1">
      <c r="Q2231" s="192">
        <v>0</v>
      </c>
    </row>
    <row r="2232" spans="17:17" ht="14.25" customHeight="1">
      <c r="Q2232" s="192">
        <v>0</v>
      </c>
    </row>
    <row r="2233" spans="17:17" ht="14.25" customHeight="1">
      <c r="Q2233" s="192">
        <v>0</v>
      </c>
    </row>
    <row r="2234" spans="17:17" ht="14.25" customHeight="1">
      <c r="Q2234" s="192">
        <v>0</v>
      </c>
    </row>
    <row r="2235" spans="17:17" ht="14.25" customHeight="1">
      <c r="Q2235" s="192">
        <v>0</v>
      </c>
    </row>
    <row r="2236" spans="17:17" ht="14.25" customHeight="1">
      <c r="Q2236" s="192">
        <v>0</v>
      </c>
    </row>
    <row r="2237" spans="17:17" ht="14.25" customHeight="1">
      <c r="Q2237" s="192">
        <v>0</v>
      </c>
    </row>
    <row r="2238" spans="17:17" ht="14.25" customHeight="1">
      <c r="Q2238" s="192">
        <v>0</v>
      </c>
    </row>
    <row r="2239" spans="17:17" ht="14.25" customHeight="1">
      <c r="Q2239" s="192">
        <v>0</v>
      </c>
    </row>
    <row r="2240" spans="17:17" ht="14.25" customHeight="1">
      <c r="Q2240" s="192">
        <v>0</v>
      </c>
    </row>
    <row r="2241" spans="17:17" ht="14.25" customHeight="1">
      <c r="Q2241" s="192">
        <v>0</v>
      </c>
    </row>
    <row r="2242" spans="17:17" ht="14.25" customHeight="1">
      <c r="Q2242" s="192">
        <v>0</v>
      </c>
    </row>
    <row r="2243" spans="17:17" ht="14.25" customHeight="1">
      <c r="Q2243" s="192">
        <v>0</v>
      </c>
    </row>
    <row r="2244" spans="17:17" ht="14.25" customHeight="1">
      <c r="Q2244" s="192">
        <v>0</v>
      </c>
    </row>
    <row r="2245" spans="17:17" ht="14.25" customHeight="1">
      <c r="Q2245" s="192">
        <v>0</v>
      </c>
    </row>
    <row r="2246" spans="17:17" ht="14.25" customHeight="1">
      <c r="Q2246" s="192">
        <v>0</v>
      </c>
    </row>
    <row r="2247" spans="17:17" ht="14.25" customHeight="1">
      <c r="Q2247" s="192">
        <v>0</v>
      </c>
    </row>
    <row r="2248" spans="17:17" ht="14.25" customHeight="1">
      <c r="Q2248" s="192">
        <v>0</v>
      </c>
    </row>
    <row r="2249" spans="17:17" ht="14.25" customHeight="1">
      <c r="Q2249" s="192">
        <v>0</v>
      </c>
    </row>
    <row r="2250" spans="17:17" ht="14.25" customHeight="1">
      <c r="Q2250" s="192">
        <v>0</v>
      </c>
    </row>
    <row r="2251" spans="17:17" ht="14.25" customHeight="1">
      <c r="Q2251" s="192">
        <v>0</v>
      </c>
    </row>
    <row r="2252" spans="17:17" ht="14.25" customHeight="1">
      <c r="Q2252" s="192">
        <v>0</v>
      </c>
    </row>
    <row r="2253" spans="17:17" ht="14.25" customHeight="1">
      <c r="Q2253" s="192">
        <v>0</v>
      </c>
    </row>
    <row r="2254" spans="17:17" ht="14.25" customHeight="1">
      <c r="Q2254" s="192">
        <v>0</v>
      </c>
    </row>
    <row r="2255" spans="17:17" ht="14.25" customHeight="1">
      <c r="Q2255" s="192">
        <v>0</v>
      </c>
    </row>
    <row r="2256" spans="17:17" ht="14.25" customHeight="1">
      <c r="Q2256" s="192">
        <v>0</v>
      </c>
    </row>
    <row r="2257" spans="17:17" ht="14.25" customHeight="1">
      <c r="Q2257" s="192">
        <v>0</v>
      </c>
    </row>
    <row r="2258" spans="17:17" ht="14.25" customHeight="1">
      <c r="Q2258" s="192">
        <v>0</v>
      </c>
    </row>
    <row r="2259" spans="17:17" ht="14.25" customHeight="1">
      <c r="Q2259" s="192">
        <v>0</v>
      </c>
    </row>
    <row r="2260" spans="17:17" ht="14.25" customHeight="1">
      <c r="Q2260" s="192">
        <v>0</v>
      </c>
    </row>
    <row r="2261" spans="17:17" ht="14.25" customHeight="1">
      <c r="Q2261" s="192">
        <v>0</v>
      </c>
    </row>
    <row r="2262" spans="17:17" ht="14.25" customHeight="1">
      <c r="Q2262" s="192">
        <v>0</v>
      </c>
    </row>
    <row r="2263" spans="17:17" ht="14.25" customHeight="1">
      <c r="Q2263" s="192">
        <v>0</v>
      </c>
    </row>
    <row r="2264" spans="17:17" ht="14.25" customHeight="1">
      <c r="Q2264" s="192">
        <v>0</v>
      </c>
    </row>
    <row r="2265" spans="17:17" ht="14.25" customHeight="1">
      <c r="Q2265" s="192">
        <v>0</v>
      </c>
    </row>
    <row r="2266" spans="17:17" ht="14.25" customHeight="1">
      <c r="Q2266" s="192">
        <v>0</v>
      </c>
    </row>
    <row r="2267" spans="17:17" ht="14.25" customHeight="1">
      <c r="Q2267" s="192">
        <v>0</v>
      </c>
    </row>
    <row r="2268" spans="17:17" ht="14.25" customHeight="1">
      <c r="Q2268" s="192">
        <v>0</v>
      </c>
    </row>
    <row r="2269" spans="17:17" ht="14.25" customHeight="1">
      <c r="Q2269" s="192">
        <v>0</v>
      </c>
    </row>
    <row r="2270" spans="17:17" ht="14.25" customHeight="1">
      <c r="Q2270" s="192">
        <v>0</v>
      </c>
    </row>
    <row r="2271" spans="17:17" ht="14.25" customHeight="1">
      <c r="Q2271" s="192">
        <v>0</v>
      </c>
    </row>
    <row r="2272" spans="17:17" ht="14.25" customHeight="1">
      <c r="Q2272" s="192">
        <v>0</v>
      </c>
    </row>
    <row r="2273" spans="17:17" ht="14.25" customHeight="1">
      <c r="Q2273" s="192">
        <v>0</v>
      </c>
    </row>
    <row r="2274" spans="17:17" ht="14.25" customHeight="1">
      <c r="Q2274" s="192">
        <v>0</v>
      </c>
    </row>
    <row r="2275" spans="17:17" ht="14.25" customHeight="1">
      <c r="Q2275" s="192">
        <v>0</v>
      </c>
    </row>
    <row r="2276" spans="17:17" ht="14.25" customHeight="1">
      <c r="Q2276" s="192">
        <v>0</v>
      </c>
    </row>
    <row r="2277" spans="17:17" ht="14.25" customHeight="1">
      <c r="Q2277" s="192">
        <v>0</v>
      </c>
    </row>
    <row r="2278" spans="17:17" ht="14.25" customHeight="1">
      <c r="Q2278" s="192">
        <v>0</v>
      </c>
    </row>
    <row r="2279" spans="17:17" ht="14.25" customHeight="1">
      <c r="Q2279" s="192">
        <v>0</v>
      </c>
    </row>
    <row r="2280" spans="17:17" ht="14.25" customHeight="1">
      <c r="Q2280" s="192">
        <v>0</v>
      </c>
    </row>
    <row r="2281" spans="17:17" ht="14.25" customHeight="1">
      <c r="Q2281" s="192">
        <v>0</v>
      </c>
    </row>
    <row r="2282" spans="17:17" ht="14.25" customHeight="1">
      <c r="Q2282" s="192">
        <v>0</v>
      </c>
    </row>
    <row r="2283" spans="17:17" ht="14.25" customHeight="1">
      <c r="Q2283" s="192">
        <v>0</v>
      </c>
    </row>
    <row r="2284" spans="17:17" ht="14.25" customHeight="1">
      <c r="Q2284" s="192">
        <v>0</v>
      </c>
    </row>
    <row r="2285" spans="17:17" ht="14.25" customHeight="1">
      <c r="Q2285" s="192">
        <v>0</v>
      </c>
    </row>
    <row r="2286" spans="17:17" ht="14.25" customHeight="1">
      <c r="Q2286" s="192">
        <v>0</v>
      </c>
    </row>
    <row r="2287" spans="17:17" ht="14.25" customHeight="1">
      <c r="Q2287" s="192">
        <v>0</v>
      </c>
    </row>
    <row r="2288" spans="17:17" ht="14.25" customHeight="1">
      <c r="Q2288" s="192">
        <v>0</v>
      </c>
    </row>
    <row r="2289" spans="17:17" ht="14.25" customHeight="1">
      <c r="Q2289" s="192">
        <v>0</v>
      </c>
    </row>
    <row r="2290" spans="17:17" ht="14.25" customHeight="1">
      <c r="Q2290" s="192">
        <v>0</v>
      </c>
    </row>
    <row r="2291" spans="17:17" ht="14.25" customHeight="1">
      <c r="Q2291" s="192">
        <v>0</v>
      </c>
    </row>
    <row r="2292" spans="17:17" ht="14.25" customHeight="1">
      <c r="Q2292" s="192">
        <v>0</v>
      </c>
    </row>
    <row r="2293" spans="17:17" ht="14.25" customHeight="1">
      <c r="Q2293" s="192">
        <v>0</v>
      </c>
    </row>
    <row r="2294" spans="17:17" ht="14.25" customHeight="1">
      <c r="Q2294" s="192">
        <v>0</v>
      </c>
    </row>
    <row r="2295" spans="17:17" ht="14.25" customHeight="1">
      <c r="Q2295" s="192">
        <v>0</v>
      </c>
    </row>
    <row r="2296" spans="17:17" ht="14.25" customHeight="1">
      <c r="Q2296" s="192">
        <v>0</v>
      </c>
    </row>
    <row r="2297" spans="17:17" ht="14.25" customHeight="1">
      <c r="Q2297" s="192">
        <v>0</v>
      </c>
    </row>
    <row r="2298" spans="17:17" ht="14.25" customHeight="1">
      <c r="Q2298" s="192">
        <v>0</v>
      </c>
    </row>
    <row r="2299" spans="17:17" ht="14.25" customHeight="1">
      <c r="Q2299" s="192">
        <v>0</v>
      </c>
    </row>
    <row r="2300" spans="17:17" ht="14.25" customHeight="1">
      <c r="Q2300" s="192">
        <v>0</v>
      </c>
    </row>
    <row r="2301" spans="17:17" ht="14.25" customHeight="1">
      <c r="Q2301" s="192">
        <v>0</v>
      </c>
    </row>
    <row r="2302" spans="17:17" ht="14.25" customHeight="1">
      <c r="Q2302" s="192">
        <v>0</v>
      </c>
    </row>
    <row r="2303" spans="17:17" ht="14.25" customHeight="1">
      <c r="Q2303" s="192">
        <v>0</v>
      </c>
    </row>
    <row r="2304" spans="17:17" ht="14.25" customHeight="1">
      <c r="Q2304" s="192">
        <v>0</v>
      </c>
    </row>
    <row r="2305" spans="17:17" ht="14.25" customHeight="1">
      <c r="Q2305" s="192">
        <v>0</v>
      </c>
    </row>
    <row r="2306" spans="17:17" ht="14.25" customHeight="1">
      <c r="Q2306" s="192">
        <v>0</v>
      </c>
    </row>
    <row r="2307" spans="17:17" ht="14.25" customHeight="1">
      <c r="Q2307" s="192">
        <v>0</v>
      </c>
    </row>
    <row r="2308" spans="17:17" ht="14.25" customHeight="1">
      <c r="Q2308" s="192">
        <v>0</v>
      </c>
    </row>
    <row r="2309" spans="17:17" ht="14.25" customHeight="1">
      <c r="Q2309" s="192">
        <v>0</v>
      </c>
    </row>
    <row r="2310" spans="17:17" ht="14.25" customHeight="1">
      <c r="Q2310" s="192">
        <v>0</v>
      </c>
    </row>
    <row r="2311" spans="17:17" ht="14.25" customHeight="1">
      <c r="Q2311" s="192">
        <v>0</v>
      </c>
    </row>
    <row r="2312" spans="17:17" ht="14.25" customHeight="1">
      <c r="Q2312" s="192">
        <v>0</v>
      </c>
    </row>
    <row r="2313" spans="17:17" ht="14.25" customHeight="1">
      <c r="Q2313" s="192">
        <v>0</v>
      </c>
    </row>
    <row r="2314" spans="17:17" ht="14.25" customHeight="1">
      <c r="Q2314" s="192">
        <v>0</v>
      </c>
    </row>
    <row r="2315" spans="17:17" ht="14.25" customHeight="1">
      <c r="Q2315" s="192">
        <v>0</v>
      </c>
    </row>
    <row r="2316" spans="17:17" ht="14.25" customHeight="1">
      <c r="Q2316" s="192">
        <v>0</v>
      </c>
    </row>
    <row r="2317" spans="17:17" ht="14.25" customHeight="1">
      <c r="Q2317" s="192">
        <v>0</v>
      </c>
    </row>
    <row r="2318" spans="17:17" ht="14.25" customHeight="1">
      <c r="Q2318" s="192">
        <v>0</v>
      </c>
    </row>
    <row r="2319" spans="17:17" ht="14.25" customHeight="1">
      <c r="Q2319" s="192">
        <v>0</v>
      </c>
    </row>
    <row r="2320" spans="17:17" ht="14.25" customHeight="1">
      <c r="Q2320" s="192">
        <v>0</v>
      </c>
    </row>
    <row r="2321" spans="17:17" ht="14.25" customHeight="1">
      <c r="Q2321" s="192">
        <v>0</v>
      </c>
    </row>
    <row r="2322" spans="17:17" ht="14.25" customHeight="1">
      <c r="Q2322" s="192">
        <v>0</v>
      </c>
    </row>
    <row r="2323" spans="17:17" ht="14.25" customHeight="1">
      <c r="Q2323" s="192">
        <v>0</v>
      </c>
    </row>
    <row r="2324" spans="17:17" ht="14.25" customHeight="1">
      <c r="Q2324" s="192">
        <v>0</v>
      </c>
    </row>
    <row r="2325" spans="17:17" ht="14.25" customHeight="1">
      <c r="Q2325" s="192">
        <v>0</v>
      </c>
    </row>
    <row r="2326" spans="17:17" ht="14.25" customHeight="1">
      <c r="Q2326" s="192">
        <v>0</v>
      </c>
    </row>
    <row r="2327" spans="17:17" ht="14.25" customHeight="1">
      <c r="Q2327" s="192">
        <v>0</v>
      </c>
    </row>
    <row r="2328" spans="17:17" ht="14.25" customHeight="1">
      <c r="Q2328" s="192">
        <v>0</v>
      </c>
    </row>
    <row r="2329" spans="17:17" ht="14.25" customHeight="1">
      <c r="Q2329" s="192">
        <v>0</v>
      </c>
    </row>
    <row r="2330" spans="17:17" ht="14.25" customHeight="1">
      <c r="Q2330" s="192">
        <v>0</v>
      </c>
    </row>
    <row r="2331" spans="17:17" ht="14.25" customHeight="1">
      <c r="Q2331" s="192">
        <v>0</v>
      </c>
    </row>
    <row r="2332" spans="17:17" ht="14.25" customHeight="1">
      <c r="Q2332" s="192">
        <v>0</v>
      </c>
    </row>
    <row r="2333" spans="17:17" ht="14.25" customHeight="1">
      <c r="Q2333" s="192">
        <v>0</v>
      </c>
    </row>
    <row r="2334" spans="17:17" ht="14.25" customHeight="1">
      <c r="Q2334" s="192">
        <v>0</v>
      </c>
    </row>
    <row r="2335" spans="17:17" ht="14.25" customHeight="1">
      <c r="Q2335" s="192">
        <v>0</v>
      </c>
    </row>
    <row r="2336" spans="17:17" ht="14.25" customHeight="1">
      <c r="Q2336" s="192">
        <v>0</v>
      </c>
    </row>
    <row r="2337" spans="17:17" ht="14.25" customHeight="1">
      <c r="Q2337" s="192">
        <v>0</v>
      </c>
    </row>
    <row r="2338" spans="17:17" ht="14.25" customHeight="1">
      <c r="Q2338" s="192">
        <v>0</v>
      </c>
    </row>
    <row r="2339" spans="17:17" ht="14.25" customHeight="1">
      <c r="Q2339" s="192">
        <v>0</v>
      </c>
    </row>
    <row r="2340" spans="17:17" ht="14.25" customHeight="1">
      <c r="Q2340" s="192">
        <v>0</v>
      </c>
    </row>
    <row r="2341" spans="17:17" ht="14.25" customHeight="1">
      <c r="Q2341" s="192">
        <v>0</v>
      </c>
    </row>
    <row r="2342" spans="17:17" ht="14.25" customHeight="1">
      <c r="Q2342" s="192">
        <v>0</v>
      </c>
    </row>
    <row r="2343" spans="17:17" ht="14.25" customHeight="1">
      <c r="Q2343" s="192">
        <v>0</v>
      </c>
    </row>
    <row r="2344" spans="17:17" ht="14.25" customHeight="1">
      <c r="Q2344" s="192">
        <v>0</v>
      </c>
    </row>
    <row r="2345" spans="17:17" ht="14.25" customHeight="1">
      <c r="Q2345" s="192">
        <v>0</v>
      </c>
    </row>
    <row r="2346" spans="17:17" ht="14.25" customHeight="1">
      <c r="Q2346" s="192">
        <v>0</v>
      </c>
    </row>
    <row r="2347" spans="17:17" ht="14.25" customHeight="1">
      <c r="Q2347" s="192">
        <v>0</v>
      </c>
    </row>
    <row r="2348" spans="17:17" ht="14.25" customHeight="1">
      <c r="Q2348" s="192">
        <v>0</v>
      </c>
    </row>
    <row r="2349" spans="17:17" ht="14.25" customHeight="1">
      <c r="Q2349" s="192">
        <v>0</v>
      </c>
    </row>
    <row r="2350" spans="17:17" ht="14.25" customHeight="1">
      <c r="Q2350" s="192">
        <v>0</v>
      </c>
    </row>
    <row r="2351" spans="17:17" ht="14.25" customHeight="1">
      <c r="Q2351" s="192">
        <v>0</v>
      </c>
    </row>
    <row r="2352" spans="17:17" ht="14.25" customHeight="1">
      <c r="Q2352" s="192">
        <v>0</v>
      </c>
    </row>
    <row r="2353" spans="17:17" ht="14.25" customHeight="1">
      <c r="Q2353" s="192">
        <v>0</v>
      </c>
    </row>
    <row r="2354" spans="17:17" ht="14.25" customHeight="1">
      <c r="Q2354" s="192">
        <v>0</v>
      </c>
    </row>
    <row r="2355" spans="17:17" ht="14.25" customHeight="1">
      <c r="Q2355" s="192">
        <v>0</v>
      </c>
    </row>
    <row r="2356" spans="17:17" ht="14.25" customHeight="1">
      <c r="Q2356" s="192">
        <v>0</v>
      </c>
    </row>
    <row r="2357" spans="17:17" ht="14.25" customHeight="1">
      <c r="Q2357" s="192">
        <v>0</v>
      </c>
    </row>
    <row r="2358" spans="17:17" ht="14.25" customHeight="1">
      <c r="Q2358" s="192">
        <v>0</v>
      </c>
    </row>
    <row r="2359" spans="17:17" ht="14.25" customHeight="1">
      <c r="Q2359" s="192">
        <v>0</v>
      </c>
    </row>
    <row r="2360" spans="17:17" ht="14.25" customHeight="1">
      <c r="Q2360" s="192">
        <v>0</v>
      </c>
    </row>
    <row r="2361" spans="17:17" ht="14.25" customHeight="1">
      <c r="Q2361" s="192">
        <v>0</v>
      </c>
    </row>
    <row r="2362" spans="17:17" ht="14.25" customHeight="1">
      <c r="Q2362" s="192">
        <v>0</v>
      </c>
    </row>
    <row r="2363" spans="17:17" ht="14.25" customHeight="1">
      <c r="Q2363" s="192">
        <v>0</v>
      </c>
    </row>
    <row r="2364" spans="17:17" ht="14.25" customHeight="1">
      <c r="Q2364" s="192">
        <v>0</v>
      </c>
    </row>
    <row r="2365" spans="17:17" ht="14.25" customHeight="1">
      <c r="Q2365" s="192">
        <v>0</v>
      </c>
    </row>
    <row r="2366" spans="17:17" ht="14.25" customHeight="1">
      <c r="Q2366" s="192">
        <v>0</v>
      </c>
    </row>
    <row r="2367" spans="17:17" ht="14.25" customHeight="1">
      <c r="Q2367" s="192">
        <v>0</v>
      </c>
    </row>
    <row r="2368" spans="17:17" ht="14.25" customHeight="1">
      <c r="Q2368" s="192">
        <v>0</v>
      </c>
    </row>
    <row r="2369" spans="17:17" ht="14.25" customHeight="1">
      <c r="Q2369" s="192">
        <v>0</v>
      </c>
    </row>
    <row r="2370" spans="17:17" ht="14.25" customHeight="1">
      <c r="Q2370" s="192">
        <v>0</v>
      </c>
    </row>
    <row r="2371" spans="17:17" ht="14.25" customHeight="1">
      <c r="Q2371" s="192">
        <v>0</v>
      </c>
    </row>
    <row r="2372" spans="17:17" ht="14.25" customHeight="1">
      <c r="Q2372" s="192">
        <v>0</v>
      </c>
    </row>
    <row r="2373" spans="17:17" ht="14.25" customHeight="1">
      <c r="Q2373" s="192">
        <v>0</v>
      </c>
    </row>
    <row r="2374" spans="17:17" ht="14.25" customHeight="1">
      <c r="Q2374" s="192">
        <v>0</v>
      </c>
    </row>
    <row r="2375" spans="17:17" ht="14.25" customHeight="1">
      <c r="Q2375" s="192">
        <v>0</v>
      </c>
    </row>
    <row r="2376" spans="17:17" ht="14.25" customHeight="1">
      <c r="Q2376" s="192">
        <v>0</v>
      </c>
    </row>
    <row r="2377" spans="17:17" ht="14.25" customHeight="1">
      <c r="Q2377" s="192">
        <v>0</v>
      </c>
    </row>
    <row r="2378" spans="17:17" ht="14.25" customHeight="1">
      <c r="Q2378" s="192">
        <v>0</v>
      </c>
    </row>
    <row r="2379" spans="17:17" ht="14.25" customHeight="1">
      <c r="Q2379" s="192">
        <v>0</v>
      </c>
    </row>
    <row r="2380" spans="17:17" ht="14.25" customHeight="1">
      <c r="Q2380" s="192">
        <v>0</v>
      </c>
    </row>
    <row r="2381" spans="17:17" ht="14.25" customHeight="1">
      <c r="Q2381" s="192">
        <v>0</v>
      </c>
    </row>
    <row r="2382" spans="17:17" ht="14.25" customHeight="1">
      <c r="Q2382" s="192">
        <v>0</v>
      </c>
    </row>
    <row r="2383" spans="17:17" ht="14.25" customHeight="1">
      <c r="Q2383" s="192">
        <v>0</v>
      </c>
    </row>
    <row r="2384" spans="17:17" ht="14.25" customHeight="1">
      <c r="Q2384" s="192">
        <v>0</v>
      </c>
    </row>
    <row r="2385" spans="17:17" ht="14.25" customHeight="1">
      <c r="Q2385" s="192">
        <v>0</v>
      </c>
    </row>
    <row r="2386" spans="17:17" ht="14.25" customHeight="1">
      <c r="Q2386" s="192">
        <v>0</v>
      </c>
    </row>
    <row r="2387" spans="17:17" ht="14.25" customHeight="1">
      <c r="Q2387" s="192">
        <v>0</v>
      </c>
    </row>
    <row r="2388" spans="17:17" ht="14.25" customHeight="1">
      <c r="Q2388" s="192">
        <v>0</v>
      </c>
    </row>
    <row r="2389" spans="17:17" ht="14.25" customHeight="1">
      <c r="Q2389" s="192">
        <v>0</v>
      </c>
    </row>
    <row r="2390" spans="17:17" ht="14.25" customHeight="1">
      <c r="Q2390" s="192">
        <v>0</v>
      </c>
    </row>
    <row r="2391" spans="17:17" ht="14.25" customHeight="1">
      <c r="Q2391" s="192">
        <v>0</v>
      </c>
    </row>
    <row r="2392" spans="17:17" ht="14.25" customHeight="1">
      <c r="Q2392" s="192">
        <v>0</v>
      </c>
    </row>
    <row r="2393" spans="17:17" ht="14.25" customHeight="1">
      <c r="Q2393" s="192">
        <v>0</v>
      </c>
    </row>
    <row r="2394" spans="17:17" ht="14.25" customHeight="1">
      <c r="Q2394" s="192">
        <v>0</v>
      </c>
    </row>
    <row r="2395" spans="17:17" ht="14.25" customHeight="1">
      <c r="Q2395" s="192">
        <v>0</v>
      </c>
    </row>
    <row r="2396" spans="17:17" ht="14.25" customHeight="1">
      <c r="Q2396" s="192">
        <v>0</v>
      </c>
    </row>
    <row r="2397" spans="17:17" ht="14.25" customHeight="1">
      <c r="Q2397" s="192">
        <v>0</v>
      </c>
    </row>
    <row r="2398" spans="17:17" ht="14.25" customHeight="1">
      <c r="Q2398" s="192">
        <v>0</v>
      </c>
    </row>
    <row r="2399" spans="17:17" ht="14.25" customHeight="1">
      <c r="Q2399" s="192">
        <v>0</v>
      </c>
    </row>
    <row r="2400" spans="17:17" ht="14.25" customHeight="1">
      <c r="Q2400" s="192">
        <v>0</v>
      </c>
    </row>
    <row r="2401" spans="17:17" ht="14.25" customHeight="1">
      <c r="Q2401" s="192">
        <v>0</v>
      </c>
    </row>
    <row r="2402" spans="17:17" ht="14.25" customHeight="1">
      <c r="Q2402" s="192">
        <v>0</v>
      </c>
    </row>
    <row r="2403" spans="17:17" ht="14.25" customHeight="1">
      <c r="Q2403" s="192">
        <v>0</v>
      </c>
    </row>
    <row r="2404" spans="17:17" ht="14.25" customHeight="1">
      <c r="Q2404" s="192">
        <v>0</v>
      </c>
    </row>
    <row r="2405" spans="17:17" ht="14.25" customHeight="1">
      <c r="Q2405" s="192">
        <v>0</v>
      </c>
    </row>
    <row r="2406" spans="17:17" ht="14.25" customHeight="1">
      <c r="Q2406" s="192">
        <v>0</v>
      </c>
    </row>
    <row r="2407" spans="17:17" ht="14.25" customHeight="1">
      <c r="Q2407" s="192">
        <v>0</v>
      </c>
    </row>
    <row r="2408" spans="17:17" ht="14.25" customHeight="1">
      <c r="Q2408" s="192">
        <v>0</v>
      </c>
    </row>
    <row r="2409" spans="17:17" ht="14.25" customHeight="1">
      <c r="Q2409" s="192">
        <v>0</v>
      </c>
    </row>
    <row r="2410" spans="17:17" ht="14.25" customHeight="1">
      <c r="Q2410" s="192">
        <v>0</v>
      </c>
    </row>
    <row r="2411" spans="17:17" ht="14.25" customHeight="1">
      <c r="Q2411" s="192">
        <v>0</v>
      </c>
    </row>
    <row r="2412" spans="17:17" ht="14.25" customHeight="1">
      <c r="Q2412" s="192">
        <v>0</v>
      </c>
    </row>
    <row r="2413" spans="17:17" ht="14.25" customHeight="1">
      <c r="Q2413" s="192">
        <v>0</v>
      </c>
    </row>
    <row r="2414" spans="17:17" ht="14.25" customHeight="1">
      <c r="Q2414" s="192">
        <v>0</v>
      </c>
    </row>
    <row r="2415" spans="17:17" ht="14.25" customHeight="1">
      <c r="Q2415" s="192">
        <v>0</v>
      </c>
    </row>
    <row r="2416" spans="17:17" ht="14.25" customHeight="1">
      <c r="Q2416" s="192">
        <v>0</v>
      </c>
    </row>
    <row r="2417" spans="17:17" ht="14.25" customHeight="1">
      <c r="Q2417" s="192">
        <v>0</v>
      </c>
    </row>
    <row r="2418" spans="17:17" ht="14.25" customHeight="1">
      <c r="Q2418" s="192">
        <v>0</v>
      </c>
    </row>
    <row r="2419" spans="17:17" ht="14.25" customHeight="1">
      <c r="Q2419" s="192">
        <v>0</v>
      </c>
    </row>
    <row r="2420" spans="17:17" ht="14.25" customHeight="1">
      <c r="Q2420" s="192">
        <v>0</v>
      </c>
    </row>
    <row r="2421" spans="17:17" ht="14.25" customHeight="1">
      <c r="Q2421" s="192">
        <v>0</v>
      </c>
    </row>
    <row r="2422" spans="17:17" ht="14.25" customHeight="1">
      <c r="Q2422" s="192">
        <v>0</v>
      </c>
    </row>
    <row r="2423" spans="17:17" ht="14.25" customHeight="1">
      <c r="Q2423" s="192">
        <v>0</v>
      </c>
    </row>
    <row r="2424" spans="17:17" ht="14.25" customHeight="1">
      <c r="Q2424" s="192">
        <v>0</v>
      </c>
    </row>
    <row r="2425" spans="17:17" ht="14.25" customHeight="1">
      <c r="Q2425" s="192">
        <v>0</v>
      </c>
    </row>
    <row r="2426" spans="17:17" ht="14.25" customHeight="1">
      <c r="Q2426" s="192">
        <v>0</v>
      </c>
    </row>
    <row r="2427" spans="17:17" ht="14.25" customHeight="1">
      <c r="Q2427" s="192">
        <v>0</v>
      </c>
    </row>
    <row r="2428" spans="17:17" ht="14.25" customHeight="1">
      <c r="Q2428" s="192">
        <v>0</v>
      </c>
    </row>
    <row r="2429" spans="17:17" ht="14.25" customHeight="1">
      <c r="Q2429" s="192">
        <v>0</v>
      </c>
    </row>
    <row r="2430" spans="17:17" ht="14.25" customHeight="1">
      <c r="Q2430" s="192">
        <v>0</v>
      </c>
    </row>
    <row r="2431" spans="17:17" ht="14.25" customHeight="1">
      <c r="Q2431" s="192">
        <v>0</v>
      </c>
    </row>
    <row r="2432" spans="17:17" ht="14.25" customHeight="1">
      <c r="Q2432" s="192">
        <v>0</v>
      </c>
    </row>
    <row r="2433" spans="17:17" ht="14.25" customHeight="1">
      <c r="Q2433" s="192">
        <v>0</v>
      </c>
    </row>
    <row r="2434" spans="17:17" ht="14.25" customHeight="1">
      <c r="Q2434" s="192">
        <v>0</v>
      </c>
    </row>
    <row r="2435" spans="17:17" ht="14.25" customHeight="1">
      <c r="Q2435" s="192">
        <v>0</v>
      </c>
    </row>
    <row r="2436" spans="17:17" ht="14.25" customHeight="1">
      <c r="Q2436" s="192">
        <v>0</v>
      </c>
    </row>
    <row r="2437" spans="17:17" ht="14.25" customHeight="1">
      <c r="Q2437" s="192">
        <v>0</v>
      </c>
    </row>
    <row r="2438" spans="17:17" ht="14.25" customHeight="1">
      <c r="Q2438" s="192">
        <v>0</v>
      </c>
    </row>
    <row r="2439" spans="17:17" ht="14.25" customHeight="1">
      <c r="Q2439" s="192">
        <v>0</v>
      </c>
    </row>
    <row r="2440" spans="17:17" ht="14.25" customHeight="1">
      <c r="Q2440" s="192">
        <v>0</v>
      </c>
    </row>
    <row r="2441" spans="17:17" ht="14.25" customHeight="1">
      <c r="Q2441" s="192">
        <v>0</v>
      </c>
    </row>
    <row r="2442" spans="17:17" ht="14.25" customHeight="1">
      <c r="Q2442" s="192">
        <v>0</v>
      </c>
    </row>
    <row r="2443" spans="17:17" ht="14.25" customHeight="1">
      <c r="Q2443" s="192">
        <v>0</v>
      </c>
    </row>
    <row r="2444" spans="17:17" ht="14.25" customHeight="1">
      <c r="Q2444" s="192">
        <v>0</v>
      </c>
    </row>
    <row r="2445" spans="17:17" ht="14.25" customHeight="1">
      <c r="Q2445" s="192">
        <v>0</v>
      </c>
    </row>
    <row r="2446" spans="17:17" ht="14.25" customHeight="1">
      <c r="Q2446" s="192">
        <v>0</v>
      </c>
    </row>
    <row r="2447" spans="17:17" ht="14.25" customHeight="1">
      <c r="Q2447" s="192">
        <v>0</v>
      </c>
    </row>
    <row r="2448" spans="17:17" ht="14.25" customHeight="1">
      <c r="Q2448" s="192">
        <v>0</v>
      </c>
    </row>
    <row r="2449" spans="17:17" ht="14.25" customHeight="1">
      <c r="Q2449" s="192">
        <v>0</v>
      </c>
    </row>
    <row r="2450" spans="17:17" ht="14.25" customHeight="1">
      <c r="Q2450" s="192">
        <v>0</v>
      </c>
    </row>
    <row r="2451" spans="17:17" ht="14.25" customHeight="1">
      <c r="Q2451" s="192">
        <v>0</v>
      </c>
    </row>
    <row r="2452" spans="17:17" ht="14.25" customHeight="1">
      <c r="Q2452" s="192">
        <v>0</v>
      </c>
    </row>
    <row r="2453" spans="17:17" ht="14.25" customHeight="1">
      <c r="Q2453" s="192">
        <v>0</v>
      </c>
    </row>
    <row r="2454" spans="17:17" ht="14.25" customHeight="1">
      <c r="Q2454" s="192">
        <v>0</v>
      </c>
    </row>
    <row r="2455" spans="17:17" ht="14.25" customHeight="1">
      <c r="Q2455" s="192">
        <v>0</v>
      </c>
    </row>
    <row r="2456" spans="17:17" ht="14.25" customHeight="1">
      <c r="Q2456" s="192">
        <v>0</v>
      </c>
    </row>
    <row r="2457" spans="17:17" ht="14.25" customHeight="1">
      <c r="Q2457" s="192">
        <v>0</v>
      </c>
    </row>
    <row r="2458" spans="17:17" ht="14.25" customHeight="1">
      <c r="Q2458" s="192">
        <v>0</v>
      </c>
    </row>
    <row r="2459" spans="17:17" ht="14.25" customHeight="1">
      <c r="Q2459" s="192">
        <v>0</v>
      </c>
    </row>
    <row r="2460" spans="17:17" ht="14.25" customHeight="1">
      <c r="Q2460" s="192">
        <v>0</v>
      </c>
    </row>
    <row r="2461" spans="17:17" ht="14.25" customHeight="1">
      <c r="Q2461" s="192">
        <v>0</v>
      </c>
    </row>
    <row r="2462" spans="17:17" ht="14.25" customHeight="1">
      <c r="Q2462" s="192">
        <v>0</v>
      </c>
    </row>
    <row r="2463" spans="17:17" ht="14.25" customHeight="1">
      <c r="Q2463" s="192">
        <v>0</v>
      </c>
    </row>
    <row r="2464" spans="17:17" ht="14.25" customHeight="1">
      <c r="Q2464" s="192">
        <v>0</v>
      </c>
    </row>
    <row r="2465" spans="17:17" ht="14.25" customHeight="1">
      <c r="Q2465" s="192">
        <v>0</v>
      </c>
    </row>
    <row r="2466" spans="17:17" ht="14.25" customHeight="1">
      <c r="Q2466" s="192">
        <v>0</v>
      </c>
    </row>
    <row r="2467" spans="17:17" ht="14.25" customHeight="1">
      <c r="Q2467" s="192">
        <v>0</v>
      </c>
    </row>
    <row r="2468" spans="17:17" ht="14.25" customHeight="1">
      <c r="Q2468" s="192">
        <v>0</v>
      </c>
    </row>
    <row r="2469" spans="17:17" ht="14.25" customHeight="1">
      <c r="Q2469" s="192">
        <v>0</v>
      </c>
    </row>
    <row r="2470" spans="17:17" ht="14.25" customHeight="1">
      <c r="Q2470" s="192">
        <v>0</v>
      </c>
    </row>
    <row r="2471" spans="17:17" ht="14.25" customHeight="1">
      <c r="Q2471" s="192">
        <v>0</v>
      </c>
    </row>
    <row r="2472" spans="17:17" ht="14.25" customHeight="1">
      <c r="Q2472" s="192">
        <v>0</v>
      </c>
    </row>
    <row r="2473" spans="17:17" ht="14.25" customHeight="1">
      <c r="Q2473" s="192">
        <v>0</v>
      </c>
    </row>
    <row r="2474" spans="17:17" ht="14.25" customHeight="1">
      <c r="Q2474" s="192">
        <v>0</v>
      </c>
    </row>
    <row r="2475" spans="17:17" ht="14.25" customHeight="1">
      <c r="Q2475" s="192">
        <v>0</v>
      </c>
    </row>
    <row r="2476" spans="17:17" ht="14.25" customHeight="1">
      <c r="Q2476" s="192">
        <v>0</v>
      </c>
    </row>
    <row r="2477" spans="17:17" ht="14.25" customHeight="1">
      <c r="Q2477" s="192">
        <v>0</v>
      </c>
    </row>
    <row r="2478" spans="17:17" ht="14.25" customHeight="1">
      <c r="Q2478" s="192">
        <v>0</v>
      </c>
    </row>
    <row r="2479" spans="17:17" ht="14.25" customHeight="1">
      <c r="Q2479" s="192">
        <v>0</v>
      </c>
    </row>
    <row r="2480" spans="17:17" ht="14.25" customHeight="1">
      <c r="Q2480" s="192">
        <v>0</v>
      </c>
    </row>
    <row r="2481" spans="17:17" ht="14.25" customHeight="1">
      <c r="Q2481" s="192">
        <v>0</v>
      </c>
    </row>
    <row r="2482" spans="17:17" ht="14.25" customHeight="1">
      <c r="Q2482" s="192">
        <v>0</v>
      </c>
    </row>
    <row r="2483" spans="17:17" ht="14.25" customHeight="1">
      <c r="Q2483" s="192">
        <v>0</v>
      </c>
    </row>
    <row r="2484" spans="17:17" ht="14.25" customHeight="1">
      <c r="Q2484" s="192">
        <v>0</v>
      </c>
    </row>
    <row r="2485" spans="17:17" ht="14.25" customHeight="1">
      <c r="Q2485" s="192">
        <v>0</v>
      </c>
    </row>
    <row r="2486" spans="17:17" ht="14.25" customHeight="1">
      <c r="Q2486" s="192">
        <v>0</v>
      </c>
    </row>
    <row r="2487" spans="17:17" ht="14.25" customHeight="1">
      <c r="Q2487" s="192">
        <v>0</v>
      </c>
    </row>
    <row r="2488" spans="17:17" ht="14.25" customHeight="1">
      <c r="Q2488" s="192">
        <v>0</v>
      </c>
    </row>
    <row r="2489" spans="17:17" ht="14.25" customHeight="1">
      <c r="Q2489" s="192">
        <v>0</v>
      </c>
    </row>
    <row r="2490" spans="17:17" ht="14.25" customHeight="1">
      <c r="Q2490" s="192">
        <v>0</v>
      </c>
    </row>
    <row r="2491" spans="17:17" ht="14.25" customHeight="1">
      <c r="Q2491" s="192">
        <v>0</v>
      </c>
    </row>
    <row r="2492" spans="17:17" ht="14.25" customHeight="1">
      <c r="Q2492" s="192">
        <v>0</v>
      </c>
    </row>
    <row r="2493" spans="17:17" ht="14.25" customHeight="1">
      <c r="Q2493" s="192">
        <v>0</v>
      </c>
    </row>
    <row r="2494" spans="17:17" ht="14.25" customHeight="1">
      <c r="Q2494" s="192">
        <v>0</v>
      </c>
    </row>
    <row r="2495" spans="17:17" ht="14.25" customHeight="1">
      <c r="Q2495" s="192">
        <v>0</v>
      </c>
    </row>
    <row r="2496" spans="17:17" ht="14.25" customHeight="1">
      <c r="Q2496" s="192">
        <v>0</v>
      </c>
    </row>
    <row r="2497" spans="17:17" ht="14.25" customHeight="1">
      <c r="Q2497" s="192">
        <v>0</v>
      </c>
    </row>
    <row r="2498" spans="17:17" ht="14.25" customHeight="1">
      <c r="Q2498" s="192">
        <v>0</v>
      </c>
    </row>
    <row r="2499" spans="17:17" ht="14.25" customHeight="1">
      <c r="Q2499" s="192">
        <v>0</v>
      </c>
    </row>
    <row r="2500" spans="17:17" ht="14.25" customHeight="1">
      <c r="Q2500" s="192">
        <v>0</v>
      </c>
    </row>
    <row r="2501" spans="17:17" ht="14.25" customHeight="1">
      <c r="Q2501" s="192">
        <v>0</v>
      </c>
    </row>
    <row r="2502" spans="17:17" ht="14.25" customHeight="1">
      <c r="Q2502" s="192">
        <v>0</v>
      </c>
    </row>
    <row r="2503" spans="17:17" ht="14.25" customHeight="1">
      <c r="Q2503" s="192">
        <v>0</v>
      </c>
    </row>
    <row r="2504" spans="17:17" ht="14.25" customHeight="1">
      <c r="Q2504" s="192">
        <v>0</v>
      </c>
    </row>
    <row r="2505" spans="17:17" ht="14.25" customHeight="1">
      <c r="Q2505" s="192">
        <v>0</v>
      </c>
    </row>
    <row r="2506" spans="17:17" ht="14.25" customHeight="1">
      <c r="Q2506" s="192">
        <v>0</v>
      </c>
    </row>
    <row r="2507" spans="17:17" ht="14.25" customHeight="1">
      <c r="Q2507" s="192">
        <v>0</v>
      </c>
    </row>
    <row r="2508" spans="17:17" ht="14.25" customHeight="1">
      <c r="Q2508" s="192">
        <v>0</v>
      </c>
    </row>
    <row r="2509" spans="17:17" ht="14.25" customHeight="1">
      <c r="Q2509" s="192">
        <v>0</v>
      </c>
    </row>
    <row r="2510" spans="17:17" ht="14.25" customHeight="1">
      <c r="Q2510" s="192">
        <v>0</v>
      </c>
    </row>
    <row r="2511" spans="17:17" ht="14.25" customHeight="1">
      <c r="Q2511" s="192">
        <v>0</v>
      </c>
    </row>
    <row r="2512" spans="17:17" ht="14.25" customHeight="1">
      <c r="Q2512" s="192">
        <v>0</v>
      </c>
    </row>
    <row r="2513" spans="17:17" ht="14.25" customHeight="1">
      <c r="Q2513" s="192">
        <v>0</v>
      </c>
    </row>
    <row r="2514" spans="17:17" ht="14.25" customHeight="1">
      <c r="Q2514" s="192">
        <v>0</v>
      </c>
    </row>
    <row r="2515" spans="17:17" ht="14.25" customHeight="1">
      <c r="Q2515" s="192">
        <v>0</v>
      </c>
    </row>
    <row r="2516" spans="17:17" ht="14.25" customHeight="1">
      <c r="Q2516" s="192">
        <v>0</v>
      </c>
    </row>
    <row r="2517" spans="17:17" ht="14.25" customHeight="1">
      <c r="Q2517" s="192">
        <v>0</v>
      </c>
    </row>
    <row r="2518" spans="17:17" ht="14.25" customHeight="1">
      <c r="Q2518" s="192">
        <v>0</v>
      </c>
    </row>
    <row r="2519" spans="17:17" ht="14.25" customHeight="1">
      <c r="Q2519" s="192">
        <v>0</v>
      </c>
    </row>
    <row r="2520" spans="17:17" ht="14.25" customHeight="1">
      <c r="Q2520" s="192">
        <v>0</v>
      </c>
    </row>
    <row r="2521" spans="17:17" ht="14.25" customHeight="1">
      <c r="Q2521" s="192">
        <v>0</v>
      </c>
    </row>
    <row r="2522" spans="17:17" ht="14.25" customHeight="1">
      <c r="Q2522" s="192">
        <v>0</v>
      </c>
    </row>
    <row r="2523" spans="17:17" ht="14.25" customHeight="1">
      <c r="Q2523" s="192">
        <v>0</v>
      </c>
    </row>
    <row r="2524" spans="17:17" ht="14.25" customHeight="1">
      <c r="Q2524" s="192">
        <v>0</v>
      </c>
    </row>
    <row r="2525" spans="17:17" ht="14.25" customHeight="1">
      <c r="Q2525" s="192">
        <v>0</v>
      </c>
    </row>
    <row r="2526" spans="17:17" ht="14.25" customHeight="1">
      <c r="Q2526" s="192">
        <v>0</v>
      </c>
    </row>
    <row r="2527" spans="17:17" ht="14.25" customHeight="1">
      <c r="Q2527" s="192">
        <v>0</v>
      </c>
    </row>
    <row r="2528" spans="17:17" ht="14.25" customHeight="1">
      <c r="Q2528" s="192">
        <v>0</v>
      </c>
    </row>
    <row r="2529" spans="17:17" ht="14.25" customHeight="1">
      <c r="Q2529" s="192">
        <v>0</v>
      </c>
    </row>
    <row r="2530" spans="17:17" ht="14.25" customHeight="1">
      <c r="Q2530" s="192">
        <v>0</v>
      </c>
    </row>
    <row r="2531" spans="17:17" ht="14.25" customHeight="1">
      <c r="Q2531" s="192">
        <v>0</v>
      </c>
    </row>
    <row r="2532" spans="17:17" ht="14.25" customHeight="1">
      <c r="Q2532" s="192">
        <v>0</v>
      </c>
    </row>
    <row r="2533" spans="17:17" ht="14.25" customHeight="1">
      <c r="Q2533" s="192">
        <v>0</v>
      </c>
    </row>
    <row r="2534" spans="17:17" ht="14.25" customHeight="1">
      <c r="Q2534" s="192">
        <v>0</v>
      </c>
    </row>
    <row r="2535" spans="17:17" ht="14.25" customHeight="1">
      <c r="Q2535" s="192">
        <v>0</v>
      </c>
    </row>
    <row r="2536" spans="17:17" ht="14.25" customHeight="1">
      <c r="Q2536" s="192">
        <v>0</v>
      </c>
    </row>
    <row r="2537" spans="17:17" ht="14.25" customHeight="1">
      <c r="Q2537" s="192">
        <v>0</v>
      </c>
    </row>
    <row r="2538" spans="17:17" ht="14.25" customHeight="1">
      <c r="Q2538" s="192">
        <v>0</v>
      </c>
    </row>
    <row r="2539" spans="17:17" ht="14.25" customHeight="1">
      <c r="Q2539" s="192">
        <v>0</v>
      </c>
    </row>
    <row r="2540" spans="17:17" ht="14.25" customHeight="1">
      <c r="Q2540" s="192">
        <v>0</v>
      </c>
    </row>
    <row r="2541" spans="17:17" ht="14.25" customHeight="1">
      <c r="Q2541" s="192">
        <v>0</v>
      </c>
    </row>
    <row r="2542" spans="17:17" ht="14.25" customHeight="1">
      <c r="Q2542" s="192">
        <v>0</v>
      </c>
    </row>
    <row r="2543" spans="17:17" ht="14.25" customHeight="1">
      <c r="Q2543" s="192">
        <v>0</v>
      </c>
    </row>
    <row r="2544" spans="17:17" ht="14.25" customHeight="1">
      <c r="Q2544" s="192">
        <v>0</v>
      </c>
    </row>
    <row r="2545" spans="17:17" ht="14.25" customHeight="1">
      <c r="Q2545" s="192">
        <v>0</v>
      </c>
    </row>
    <row r="2546" spans="17:17" ht="14.25" customHeight="1">
      <c r="Q2546" s="192">
        <v>0</v>
      </c>
    </row>
    <row r="2547" spans="17:17" ht="14.25" customHeight="1">
      <c r="Q2547" s="192">
        <v>0</v>
      </c>
    </row>
    <row r="2548" spans="17:17" ht="14.25" customHeight="1">
      <c r="Q2548" s="192">
        <v>0</v>
      </c>
    </row>
    <row r="2549" spans="17:17" ht="14.25" customHeight="1">
      <c r="Q2549" s="192">
        <v>0</v>
      </c>
    </row>
    <row r="2550" spans="17:17" ht="14.25" customHeight="1">
      <c r="Q2550" s="192">
        <v>0</v>
      </c>
    </row>
    <row r="2551" spans="17:17" ht="14.25" customHeight="1">
      <c r="Q2551" s="192">
        <v>0</v>
      </c>
    </row>
    <row r="2552" spans="17:17" ht="14.25" customHeight="1">
      <c r="Q2552" s="192">
        <v>0</v>
      </c>
    </row>
    <row r="2553" spans="17:17" ht="14.25" customHeight="1">
      <c r="Q2553" s="192">
        <v>0</v>
      </c>
    </row>
    <row r="2554" spans="17:17" ht="14.25" customHeight="1">
      <c r="Q2554" s="192">
        <v>0</v>
      </c>
    </row>
    <row r="2555" spans="17:17" ht="14.25" customHeight="1">
      <c r="Q2555" s="192">
        <v>0</v>
      </c>
    </row>
    <row r="2556" spans="17:17" ht="14.25" customHeight="1">
      <c r="Q2556" s="192">
        <v>0</v>
      </c>
    </row>
    <row r="2557" spans="17:17" ht="14.25" customHeight="1">
      <c r="Q2557" s="192">
        <v>0</v>
      </c>
    </row>
    <row r="2558" spans="17:17" ht="14.25" customHeight="1">
      <c r="Q2558" s="192">
        <v>0</v>
      </c>
    </row>
    <row r="2559" spans="17:17" ht="14.25" customHeight="1">
      <c r="Q2559" s="192">
        <v>0</v>
      </c>
    </row>
    <row r="2560" spans="17:17" ht="14.25" customHeight="1">
      <c r="Q2560" s="192">
        <v>0</v>
      </c>
    </row>
    <row r="2561" spans="17:17" ht="14.25" customHeight="1">
      <c r="Q2561" s="192">
        <v>0</v>
      </c>
    </row>
    <row r="2562" spans="17:17" ht="14.25" customHeight="1">
      <c r="Q2562" s="192">
        <v>0</v>
      </c>
    </row>
    <row r="2563" spans="17:17" ht="14.25" customHeight="1">
      <c r="Q2563" s="192">
        <v>0</v>
      </c>
    </row>
    <row r="2564" spans="17:17" ht="14.25" customHeight="1">
      <c r="Q2564" s="192">
        <v>0</v>
      </c>
    </row>
    <row r="2565" spans="17:17" ht="14.25" customHeight="1">
      <c r="Q2565" s="192">
        <v>0</v>
      </c>
    </row>
    <row r="2566" spans="17:17" ht="14.25" customHeight="1">
      <c r="Q2566" s="192">
        <v>0</v>
      </c>
    </row>
    <row r="2567" spans="17:17" ht="14.25" customHeight="1">
      <c r="Q2567" s="192">
        <v>0</v>
      </c>
    </row>
    <row r="2568" spans="17:17" ht="14.25" customHeight="1">
      <c r="Q2568" s="192">
        <v>0</v>
      </c>
    </row>
    <row r="2569" spans="17:17" ht="14.25" customHeight="1">
      <c r="Q2569" s="192">
        <v>0</v>
      </c>
    </row>
    <row r="2570" spans="17:17" ht="14.25" customHeight="1">
      <c r="Q2570" s="192">
        <v>0</v>
      </c>
    </row>
    <row r="2571" spans="17:17" ht="14.25" customHeight="1">
      <c r="Q2571" s="192">
        <v>0</v>
      </c>
    </row>
    <row r="2572" spans="17:17" ht="14.25" customHeight="1">
      <c r="Q2572" s="192">
        <v>0</v>
      </c>
    </row>
    <row r="2573" spans="17:17" ht="14.25" customHeight="1">
      <c r="Q2573" s="192">
        <v>0</v>
      </c>
    </row>
    <row r="2574" spans="17:17" ht="14.25" customHeight="1">
      <c r="Q2574" s="192">
        <v>0</v>
      </c>
    </row>
    <row r="2575" spans="17:17" ht="14.25" customHeight="1">
      <c r="Q2575" s="192">
        <v>0</v>
      </c>
    </row>
    <row r="2576" spans="17:17" ht="14.25" customHeight="1">
      <c r="Q2576" s="192">
        <v>0</v>
      </c>
    </row>
    <row r="2577" spans="17:17" ht="14.25" customHeight="1">
      <c r="Q2577" s="192">
        <v>0</v>
      </c>
    </row>
    <row r="2578" spans="17:17" ht="14.25" customHeight="1">
      <c r="Q2578" s="192">
        <v>0</v>
      </c>
    </row>
    <row r="2579" spans="17:17" ht="14.25" customHeight="1">
      <c r="Q2579" s="192">
        <v>0</v>
      </c>
    </row>
    <row r="2580" spans="17:17" ht="14.25" customHeight="1">
      <c r="Q2580" s="192">
        <v>0</v>
      </c>
    </row>
    <row r="2581" spans="17:17" ht="14.25" customHeight="1">
      <c r="Q2581" s="192">
        <v>0</v>
      </c>
    </row>
    <row r="2582" spans="17:17" ht="14.25" customHeight="1">
      <c r="Q2582" s="192">
        <v>0</v>
      </c>
    </row>
    <row r="2583" spans="17:17" ht="14.25" customHeight="1">
      <c r="Q2583" s="192">
        <v>0</v>
      </c>
    </row>
    <row r="2584" spans="17:17" ht="14.25" customHeight="1">
      <c r="Q2584" s="192">
        <v>0</v>
      </c>
    </row>
    <row r="2585" spans="17:17" ht="14.25" customHeight="1">
      <c r="Q2585" s="192">
        <v>0</v>
      </c>
    </row>
    <row r="2586" spans="17:17" ht="14.25" customHeight="1">
      <c r="Q2586" s="192">
        <v>0</v>
      </c>
    </row>
    <row r="2587" spans="17:17" ht="14.25" customHeight="1">
      <c r="Q2587" s="192">
        <v>0</v>
      </c>
    </row>
    <row r="2588" spans="17:17" ht="14.25" customHeight="1">
      <c r="Q2588" s="192">
        <v>0</v>
      </c>
    </row>
    <row r="2589" spans="17:17" ht="14.25" customHeight="1">
      <c r="Q2589" s="192">
        <v>0</v>
      </c>
    </row>
    <row r="2590" spans="17:17" ht="14.25" customHeight="1">
      <c r="Q2590" s="192">
        <v>0</v>
      </c>
    </row>
    <row r="2591" spans="17:17" ht="14.25" customHeight="1">
      <c r="Q2591" s="192">
        <v>0</v>
      </c>
    </row>
    <row r="2592" spans="17:17" ht="14.25" customHeight="1">
      <c r="Q2592" s="192">
        <v>0</v>
      </c>
    </row>
    <row r="2593" spans="17:17" ht="14.25" customHeight="1">
      <c r="Q2593" s="192">
        <v>0</v>
      </c>
    </row>
    <row r="2594" spans="17:17" ht="14.25" customHeight="1">
      <c r="Q2594" s="192">
        <v>0</v>
      </c>
    </row>
    <row r="2595" spans="17:17" ht="14.25" customHeight="1">
      <c r="Q2595" s="192">
        <v>0</v>
      </c>
    </row>
    <row r="2596" spans="17:17" ht="14.25" customHeight="1">
      <c r="Q2596" s="192">
        <v>0</v>
      </c>
    </row>
    <row r="2597" spans="17:17" ht="14.25" customHeight="1">
      <c r="Q2597" s="192">
        <v>0</v>
      </c>
    </row>
    <row r="2598" spans="17:17" ht="14.25" customHeight="1">
      <c r="Q2598" s="192">
        <v>0</v>
      </c>
    </row>
    <row r="2599" spans="17:17" ht="14.25" customHeight="1">
      <c r="Q2599" s="192">
        <v>0</v>
      </c>
    </row>
    <row r="2600" spans="17:17" ht="14.25" customHeight="1">
      <c r="Q2600" s="192">
        <v>0</v>
      </c>
    </row>
    <row r="2601" spans="17:17" ht="14.25" customHeight="1">
      <c r="Q2601" s="192">
        <v>0</v>
      </c>
    </row>
    <row r="2602" spans="17:17" ht="14.25" customHeight="1">
      <c r="Q2602" s="192">
        <v>0</v>
      </c>
    </row>
    <row r="2603" spans="17:17" ht="14.25" customHeight="1">
      <c r="Q2603" s="192">
        <v>0</v>
      </c>
    </row>
    <row r="2604" spans="17:17" ht="14.25" customHeight="1">
      <c r="Q2604" s="192">
        <v>0</v>
      </c>
    </row>
    <row r="2605" spans="17:17" ht="14.25" customHeight="1">
      <c r="Q2605" s="192">
        <v>0</v>
      </c>
    </row>
    <row r="2606" spans="17:17" ht="14.25" customHeight="1">
      <c r="Q2606" s="192">
        <v>0</v>
      </c>
    </row>
    <row r="2607" spans="17:17" ht="14.25" customHeight="1">
      <c r="Q2607" s="192">
        <v>0</v>
      </c>
    </row>
    <row r="2608" spans="17:17" ht="14.25" customHeight="1">
      <c r="Q2608" s="192">
        <v>0</v>
      </c>
    </row>
    <row r="2609" spans="17:17" ht="14.25" customHeight="1">
      <c r="Q2609" s="192">
        <v>0</v>
      </c>
    </row>
    <row r="2610" spans="17:17" ht="14.25" customHeight="1">
      <c r="Q2610" s="192">
        <v>0</v>
      </c>
    </row>
    <row r="2611" spans="17:17" ht="14.25" customHeight="1">
      <c r="Q2611" s="192">
        <v>0</v>
      </c>
    </row>
    <row r="2612" spans="17:17" ht="14.25" customHeight="1">
      <c r="Q2612" s="192">
        <v>0</v>
      </c>
    </row>
    <row r="2613" spans="17:17" ht="14.25" customHeight="1">
      <c r="Q2613" s="192">
        <v>0</v>
      </c>
    </row>
    <row r="2614" spans="17:17" ht="14.25" customHeight="1">
      <c r="Q2614" s="192">
        <v>0</v>
      </c>
    </row>
    <row r="2615" spans="17:17" ht="14.25" customHeight="1">
      <c r="Q2615" s="192">
        <v>0</v>
      </c>
    </row>
    <row r="2616" spans="17:17" ht="14.25" customHeight="1">
      <c r="Q2616" s="192">
        <v>0</v>
      </c>
    </row>
    <row r="2617" spans="17:17" ht="14.25" customHeight="1">
      <c r="Q2617" s="192">
        <v>0</v>
      </c>
    </row>
    <row r="2618" spans="17:17" ht="14.25" customHeight="1">
      <c r="Q2618" s="192">
        <v>0</v>
      </c>
    </row>
    <row r="2619" spans="17:17" ht="14.25" customHeight="1">
      <c r="Q2619" s="192">
        <v>0</v>
      </c>
    </row>
    <row r="2620" spans="17:17" ht="14.25" customHeight="1">
      <c r="Q2620" s="192">
        <v>0</v>
      </c>
    </row>
    <row r="2621" spans="17:17" ht="14.25" customHeight="1">
      <c r="Q2621" s="192">
        <v>0</v>
      </c>
    </row>
    <row r="2622" spans="17:17" ht="14.25" customHeight="1">
      <c r="Q2622" s="192">
        <v>0</v>
      </c>
    </row>
    <row r="2623" spans="17:17" ht="14.25" customHeight="1">
      <c r="Q2623" s="192">
        <v>0</v>
      </c>
    </row>
    <row r="2624" spans="17:17" ht="14.25" customHeight="1">
      <c r="Q2624" s="192">
        <v>0</v>
      </c>
    </row>
    <row r="2625" spans="17:17" ht="14.25" customHeight="1">
      <c r="Q2625" s="192">
        <v>0</v>
      </c>
    </row>
    <row r="2626" spans="17:17" ht="14.25" customHeight="1">
      <c r="Q2626" s="192">
        <v>0</v>
      </c>
    </row>
    <row r="2627" spans="17:17" ht="14.25" customHeight="1">
      <c r="Q2627" s="192">
        <v>0</v>
      </c>
    </row>
    <row r="2628" spans="17:17" ht="14.25" customHeight="1">
      <c r="Q2628" s="192">
        <v>0</v>
      </c>
    </row>
    <row r="2629" spans="17:17" ht="14.25" customHeight="1">
      <c r="Q2629" s="192">
        <v>0</v>
      </c>
    </row>
    <row r="2630" spans="17:17" ht="14.25" customHeight="1">
      <c r="Q2630" s="192">
        <v>0</v>
      </c>
    </row>
    <row r="2631" spans="17:17" ht="14.25" customHeight="1">
      <c r="Q2631" s="192">
        <v>0</v>
      </c>
    </row>
    <row r="2632" spans="17:17" ht="14.25" customHeight="1">
      <c r="Q2632" s="192">
        <v>0</v>
      </c>
    </row>
    <row r="2633" spans="17:17" ht="14.25" customHeight="1">
      <c r="Q2633" s="192">
        <v>0</v>
      </c>
    </row>
    <row r="2634" spans="17:17" ht="14.25" customHeight="1">
      <c r="Q2634" s="192">
        <v>0</v>
      </c>
    </row>
    <row r="2635" spans="17:17" ht="14.25" customHeight="1">
      <c r="Q2635" s="192">
        <v>0</v>
      </c>
    </row>
    <row r="2636" spans="17:17" ht="14.25" customHeight="1">
      <c r="Q2636" s="192">
        <v>0</v>
      </c>
    </row>
    <row r="2637" spans="17:17" ht="14.25" customHeight="1">
      <c r="Q2637" s="192">
        <v>0</v>
      </c>
    </row>
    <row r="2638" spans="17:17" ht="14.25" customHeight="1">
      <c r="Q2638" s="192">
        <v>0</v>
      </c>
    </row>
    <row r="2639" spans="17:17" ht="14.25" customHeight="1">
      <c r="Q2639" s="192">
        <v>0</v>
      </c>
    </row>
    <row r="2640" spans="17:17" ht="14.25" customHeight="1">
      <c r="Q2640" s="192">
        <v>0</v>
      </c>
    </row>
    <row r="2641" spans="17:17" ht="14.25" customHeight="1">
      <c r="Q2641" s="192">
        <v>0</v>
      </c>
    </row>
    <row r="2642" spans="17:17" ht="14.25" customHeight="1">
      <c r="Q2642" s="192">
        <v>0</v>
      </c>
    </row>
    <row r="2643" spans="17:17" ht="14.25" customHeight="1">
      <c r="Q2643" s="192">
        <v>0</v>
      </c>
    </row>
    <row r="2644" spans="17:17" ht="14.25" customHeight="1">
      <c r="Q2644" s="192">
        <v>0</v>
      </c>
    </row>
    <row r="2645" spans="17:17" ht="14.25" customHeight="1">
      <c r="Q2645" s="192">
        <v>0</v>
      </c>
    </row>
    <row r="2646" spans="17:17" ht="14.25" customHeight="1">
      <c r="Q2646" s="192">
        <v>0</v>
      </c>
    </row>
    <row r="2647" spans="17:17" ht="14.25" customHeight="1">
      <c r="Q2647" s="192">
        <v>0</v>
      </c>
    </row>
    <row r="2648" spans="17:17" ht="14.25" customHeight="1">
      <c r="Q2648" s="192">
        <v>0</v>
      </c>
    </row>
    <row r="2649" spans="17:17" ht="14.25" customHeight="1">
      <c r="Q2649" s="192">
        <v>0</v>
      </c>
    </row>
    <row r="2650" spans="17:17" ht="14.25" customHeight="1">
      <c r="Q2650" s="192">
        <v>0</v>
      </c>
    </row>
    <row r="2651" spans="17:17" ht="14.25" customHeight="1">
      <c r="Q2651" s="192">
        <v>0</v>
      </c>
    </row>
    <row r="2652" spans="17:17" ht="14.25" customHeight="1">
      <c r="Q2652" s="192">
        <v>0</v>
      </c>
    </row>
    <row r="2653" spans="17:17" ht="14.25" customHeight="1">
      <c r="Q2653" s="192">
        <v>0</v>
      </c>
    </row>
    <row r="2654" spans="17:17" ht="14.25" customHeight="1">
      <c r="Q2654" s="192">
        <v>0</v>
      </c>
    </row>
    <row r="2655" spans="17:17" ht="14.25" customHeight="1">
      <c r="Q2655" s="192">
        <v>0</v>
      </c>
    </row>
    <row r="2656" spans="17:17" ht="14.25" customHeight="1">
      <c r="Q2656" s="192">
        <v>0</v>
      </c>
    </row>
    <row r="2657" spans="17:17" ht="14.25" customHeight="1">
      <c r="Q2657" s="192">
        <v>0</v>
      </c>
    </row>
    <row r="2658" spans="17:17" ht="14.25" customHeight="1">
      <c r="Q2658" s="192">
        <v>0</v>
      </c>
    </row>
    <row r="2659" spans="17:17" ht="14.25" customHeight="1">
      <c r="Q2659" s="192">
        <v>0</v>
      </c>
    </row>
    <row r="2660" spans="17:17" ht="14.25" customHeight="1">
      <c r="Q2660" s="192">
        <v>0</v>
      </c>
    </row>
    <row r="2661" spans="17:17" ht="14.25" customHeight="1">
      <c r="Q2661" s="192">
        <v>0</v>
      </c>
    </row>
    <row r="2662" spans="17:17" ht="14.25" customHeight="1">
      <c r="Q2662" s="192">
        <v>0</v>
      </c>
    </row>
    <row r="2663" spans="17:17" ht="14.25" customHeight="1">
      <c r="Q2663" s="192">
        <v>0</v>
      </c>
    </row>
    <row r="2664" spans="17:17" ht="14.25" customHeight="1">
      <c r="Q2664" s="192">
        <v>0</v>
      </c>
    </row>
    <row r="2665" spans="17:17" ht="14.25" customHeight="1">
      <c r="Q2665" s="192">
        <v>0</v>
      </c>
    </row>
    <row r="2666" spans="17:17" ht="14.25" customHeight="1">
      <c r="Q2666" s="192">
        <v>0</v>
      </c>
    </row>
    <row r="2667" spans="17:17" ht="14.25" customHeight="1">
      <c r="Q2667" s="192">
        <v>0</v>
      </c>
    </row>
    <row r="2668" spans="17:17" ht="14.25" customHeight="1">
      <c r="Q2668" s="192">
        <v>0</v>
      </c>
    </row>
    <row r="2669" spans="17:17" ht="14.25" customHeight="1">
      <c r="Q2669" s="192">
        <v>0</v>
      </c>
    </row>
    <row r="2670" spans="17:17" ht="14.25" customHeight="1">
      <c r="Q2670" s="192">
        <v>0</v>
      </c>
    </row>
    <row r="2671" spans="17:17" ht="14.25" customHeight="1">
      <c r="Q2671" s="192">
        <v>0</v>
      </c>
    </row>
    <row r="2672" spans="17:17" ht="14.25" customHeight="1">
      <c r="Q2672" s="192">
        <v>0</v>
      </c>
    </row>
    <row r="2673" spans="17:17" ht="14.25" customHeight="1">
      <c r="Q2673" s="192">
        <v>0</v>
      </c>
    </row>
    <row r="2674" spans="17:17" ht="14.25" customHeight="1">
      <c r="Q2674" s="192">
        <v>0</v>
      </c>
    </row>
    <row r="2675" spans="17:17" ht="14.25" customHeight="1">
      <c r="Q2675" s="192">
        <v>0</v>
      </c>
    </row>
    <row r="2676" spans="17:17" ht="14.25" customHeight="1">
      <c r="Q2676" s="192">
        <v>0</v>
      </c>
    </row>
    <row r="2677" spans="17:17" ht="14.25" customHeight="1">
      <c r="Q2677" s="192">
        <v>0</v>
      </c>
    </row>
    <row r="2678" spans="17:17" ht="14.25" customHeight="1">
      <c r="Q2678" s="192">
        <v>0</v>
      </c>
    </row>
    <row r="2679" spans="17:17" ht="14.25" customHeight="1">
      <c r="Q2679" s="192">
        <v>0</v>
      </c>
    </row>
    <row r="2680" spans="17:17" ht="14.25" customHeight="1">
      <c r="Q2680" s="192">
        <v>0</v>
      </c>
    </row>
    <row r="2681" spans="17:17" ht="14.25" customHeight="1">
      <c r="Q2681" s="192">
        <v>0</v>
      </c>
    </row>
    <row r="2682" spans="17:17" ht="14.25" customHeight="1">
      <c r="Q2682" s="192">
        <v>0</v>
      </c>
    </row>
    <row r="2683" spans="17:17" ht="14.25" customHeight="1">
      <c r="Q2683" s="192">
        <v>0</v>
      </c>
    </row>
    <row r="2684" spans="17:17" ht="14.25" customHeight="1">
      <c r="Q2684" s="192">
        <v>0</v>
      </c>
    </row>
    <row r="2685" spans="17:17" ht="14.25" customHeight="1">
      <c r="Q2685" s="192">
        <v>0</v>
      </c>
    </row>
    <row r="2686" spans="17:17" ht="14.25" customHeight="1">
      <c r="Q2686" s="192">
        <v>0</v>
      </c>
    </row>
    <row r="2687" spans="17:17" ht="14.25" customHeight="1">
      <c r="Q2687" s="192">
        <v>0</v>
      </c>
    </row>
    <row r="2688" spans="17:17" ht="14.25" customHeight="1">
      <c r="Q2688" s="192">
        <v>0</v>
      </c>
    </row>
    <row r="2689" spans="17:17" ht="14.25" customHeight="1">
      <c r="Q2689" s="192">
        <v>0</v>
      </c>
    </row>
    <row r="2690" spans="17:17" ht="14.25" customHeight="1">
      <c r="Q2690" s="192">
        <v>0</v>
      </c>
    </row>
    <row r="2691" spans="17:17" ht="14.25" customHeight="1">
      <c r="Q2691" s="192">
        <v>0</v>
      </c>
    </row>
    <row r="2692" spans="17:17" ht="14.25" customHeight="1">
      <c r="Q2692" s="192">
        <v>0</v>
      </c>
    </row>
    <row r="2693" spans="17:17" ht="14.25" customHeight="1">
      <c r="Q2693" s="192">
        <v>0</v>
      </c>
    </row>
    <row r="2694" spans="17:17" ht="14.25" customHeight="1">
      <c r="Q2694" s="192">
        <v>0</v>
      </c>
    </row>
    <row r="2695" spans="17:17" ht="14.25" customHeight="1">
      <c r="Q2695" s="192">
        <v>0</v>
      </c>
    </row>
    <row r="2696" spans="17:17" ht="14.25" customHeight="1">
      <c r="Q2696" s="192">
        <v>0</v>
      </c>
    </row>
    <row r="2697" spans="17:17" ht="14.25" customHeight="1">
      <c r="Q2697" s="192">
        <v>0</v>
      </c>
    </row>
    <row r="2698" spans="17:17" ht="14.25" customHeight="1">
      <c r="Q2698" s="192">
        <v>0</v>
      </c>
    </row>
    <row r="2699" spans="17:17" ht="14.25" customHeight="1">
      <c r="Q2699" s="192">
        <v>0</v>
      </c>
    </row>
    <row r="2700" spans="17:17" ht="14.25" customHeight="1">
      <c r="Q2700" s="192">
        <v>0</v>
      </c>
    </row>
    <row r="2701" spans="17:17" ht="14.25" customHeight="1">
      <c r="Q2701" s="192">
        <v>0</v>
      </c>
    </row>
    <row r="2702" spans="17:17" ht="14.25" customHeight="1">
      <c r="Q2702" s="192">
        <v>0</v>
      </c>
    </row>
    <row r="2703" spans="17:17" ht="14.25" customHeight="1">
      <c r="Q2703" s="192">
        <v>0</v>
      </c>
    </row>
    <row r="2704" spans="17:17" ht="14.25" customHeight="1">
      <c r="Q2704" s="192">
        <v>0</v>
      </c>
    </row>
    <row r="2705" spans="17:17" ht="14.25" customHeight="1">
      <c r="Q2705" s="192">
        <v>0</v>
      </c>
    </row>
    <row r="2706" spans="17:17" ht="14.25" customHeight="1">
      <c r="Q2706" s="192">
        <v>0</v>
      </c>
    </row>
    <row r="2707" spans="17:17" ht="14.25" customHeight="1">
      <c r="Q2707" s="192">
        <v>0</v>
      </c>
    </row>
    <row r="2708" spans="17:17" ht="14.25" customHeight="1">
      <c r="Q2708" s="192">
        <v>0</v>
      </c>
    </row>
    <row r="2709" spans="17:17" ht="14.25" customHeight="1">
      <c r="Q2709" s="192">
        <v>0</v>
      </c>
    </row>
    <row r="2710" spans="17:17" ht="14.25" customHeight="1">
      <c r="Q2710" s="192">
        <v>0</v>
      </c>
    </row>
    <row r="2711" spans="17:17" ht="14.25" customHeight="1">
      <c r="Q2711" s="192">
        <v>0</v>
      </c>
    </row>
    <row r="2712" spans="17:17" ht="14.25" customHeight="1">
      <c r="Q2712" s="192">
        <v>0</v>
      </c>
    </row>
    <row r="2713" spans="17:17" ht="14.25" customHeight="1">
      <c r="Q2713" s="192">
        <v>0</v>
      </c>
    </row>
    <row r="2714" spans="17:17" ht="14.25" customHeight="1">
      <c r="Q2714" s="192">
        <v>0</v>
      </c>
    </row>
    <row r="2715" spans="17:17" ht="14.25" customHeight="1">
      <c r="Q2715" s="192">
        <v>0</v>
      </c>
    </row>
    <row r="2716" spans="17:17" ht="14.25" customHeight="1">
      <c r="Q2716" s="192">
        <v>0</v>
      </c>
    </row>
    <row r="2717" spans="17:17" ht="14.25" customHeight="1">
      <c r="Q2717" s="192">
        <v>0</v>
      </c>
    </row>
    <row r="2718" spans="17:17" ht="14.25" customHeight="1">
      <c r="Q2718" s="192">
        <v>0</v>
      </c>
    </row>
    <row r="2719" spans="17:17" ht="14.25" customHeight="1">
      <c r="Q2719" s="192">
        <v>0</v>
      </c>
    </row>
    <row r="2720" spans="17:17" ht="14.25" customHeight="1">
      <c r="Q2720" s="192">
        <v>0</v>
      </c>
    </row>
    <row r="2721" spans="17:17" ht="14.25" customHeight="1">
      <c r="Q2721" s="192">
        <v>0</v>
      </c>
    </row>
    <row r="2722" spans="17:17" ht="14.25" customHeight="1">
      <c r="Q2722" s="192">
        <v>0</v>
      </c>
    </row>
    <row r="2723" spans="17:17" ht="14.25" customHeight="1">
      <c r="Q2723" s="192">
        <v>0</v>
      </c>
    </row>
    <row r="2724" spans="17:17" ht="14.25" customHeight="1">
      <c r="Q2724" s="192">
        <v>0</v>
      </c>
    </row>
    <row r="2725" spans="17:17" ht="14.25" customHeight="1">
      <c r="Q2725" s="192">
        <v>0</v>
      </c>
    </row>
    <row r="2726" spans="17:17" ht="14.25" customHeight="1">
      <c r="Q2726" s="192">
        <v>0</v>
      </c>
    </row>
    <row r="2727" spans="17:17" ht="14.25" customHeight="1">
      <c r="Q2727" s="192">
        <v>0</v>
      </c>
    </row>
    <row r="2728" spans="17:17" ht="14.25" customHeight="1">
      <c r="Q2728" s="192">
        <v>0</v>
      </c>
    </row>
    <row r="2729" spans="17:17" ht="14.25" customHeight="1">
      <c r="Q2729" s="192">
        <v>0</v>
      </c>
    </row>
    <row r="2730" spans="17:17" ht="14.25" customHeight="1">
      <c r="Q2730" s="192">
        <v>0</v>
      </c>
    </row>
    <row r="2731" spans="17:17" ht="14.25" customHeight="1">
      <c r="Q2731" s="192">
        <v>0</v>
      </c>
    </row>
    <row r="2732" spans="17:17" ht="14.25" customHeight="1">
      <c r="Q2732" s="192">
        <v>0</v>
      </c>
    </row>
    <row r="2733" spans="17:17" ht="14.25" customHeight="1">
      <c r="Q2733" s="192">
        <v>0</v>
      </c>
    </row>
    <row r="2734" spans="17:17" ht="14.25" customHeight="1">
      <c r="Q2734" s="192">
        <v>0</v>
      </c>
    </row>
    <row r="2735" spans="17:17" ht="14.25" customHeight="1">
      <c r="Q2735" s="192">
        <v>0</v>
      </c>
    </row>
    <row r="2736" spans="17:17" ht="14.25" customHeight="1">
      <c r="Q2736" s="192">
        <v>0</v>
      </c>
    </row>
    <row r="2737" spans="17:17" ht="14.25" customHeight="1">
      <c r="Q2737" s="192">
        <v>0</v>
      </c>
    </row>
    <row r="2738" spans="17:17" ht="14.25" customHeight="1">
      <c r="Q2738" s="192">
        <v>0</v>
      </c>
    </row>
    <row r="2739" spans="17:17" ht="14.25" customHeight="1">
      <c r="Q2739" s="192">
        <v>0</v>
      </c>
    </row>
    <row r="2740" spans="17:17" ht="14.25" customHeight="1">
      <c r="Q2740" s="192">
        <v>0</v>
      </c>
    </row>
    <row r="2741" spans="17:17" ht="14.25" customHeight="1">
      <c r="Q2741" s="192">
        <v>0</v>
      </c>
    </row>
    <row r="2742" spans="17:17" ht="14.25" customHeight="1">
      <c r="Q2742" s="192">
        <v>0</v>
      </c>
    </row>
    <row r="2743" spans="17:17" ht="14.25" customHeight="1">
      <c r="Q2743" s="192">
        <v>0</v>
      </c>
    </row>
    <row r="2744" spans="17:17" ht="14.25" customHeight="1">
      <c r="Q2744" s="192">
        <v>0</v>
      </c>
    </row>
    <row r="2745" spans="17:17" ht="14.25" customHeight="1">
      <c r="Q2745" s="192">
        <v>0</v>
      </c>
    </row>
    <row r="2746" spans="17:17" ht="14.25" customHeight="1">
      <c r="Q2746" s="192">
        <v>0</v>
      </c>
    </row>
    <row r="2747" spans="17:17" ht="14.25" customHeight="1">
      <c r="Q2747" s="192">
        <v>0</v>
      </c>
    </row>
    <row r="2748" spans="17:17" ht="14.25" customHeight="1">
      <c r="Q2748" s="192">
        <v>0</v>
      </c>
    </row>
    <row r="2749" spans="17:17" ht="14.25" customHeight="1">
      <c r="Q2749" s="192">
        <v>0</v>
      </c>
    </row>
    <row r="2750" spans="17:17" ht="14.25" customHeight="1">
      <c r="Q2750" s="192">
        <v>0</v>
      </c>
    </row>
    <row r="2751" spans="17:17" ht="14.25" customHeight="1">
      <c r="Q2751" s="192">
        <v>0</v>
      </c>
    </row>
    <row r="2752" spans="17:17" ht="14.25" customHeight="1">
      <c r="Q2752" s="192">
        <v>0</v>
      </c>
    </row>
    <row r="2753" spans="17:17" ht="14.25" customHeight="1">
      <c r="Q2753" s="192">
        <v>0</v>
      </c>
    </row>
    <row r="2754" spans="17:17" ht="14.25" customHeight="1">
      <c r="Q2754" s="192">
        <v>0</v>
      </c>
    </row>
    <row r="2755" spans="17:17" ht="14.25" customHeight="1">
      <c r="Q2755" s="192">
        <v>0</v>
      </c>
    </row>
    <row r="2756" spans="17:17" ht="14.25" customHeight="1">
      <c r="Q2756" s="192">
        <v>0</v>
      </c>
    </row>
    <row r="2757" spans="17:17" ht="14.25" customHeight="1">
      <c r="Q2757" s="192">
        <v>0</v>
      </c>
    </row>
    <row r="2758" spans="17:17" ht="14.25" customHeight="1">
      <c r="Q2758" s="192">
        <v>0</v>
      </c>
    </row>
    <row r="2759" spans="17:17" ht="14.25" customHeight="1">
      <c r="Q2759" s="192">
        <v>0</v>
      </c>
    </row>
    <row r="2760" spans="17:17" ht="14.25" customHeight="1">
      <c r="Q2760" s="192">
        <v>0</v>
      </c>
    </row>
    <row r="2761" spans="17:17" ht="14.25" customHeight="1">
      <c r="Q2761" s="192">
        <v>0</v>
      </c>
    </row>
    <row r="2762" spans="17:17" ht="14.25" customHeight="1">
      <c r="Q2762" s="192">
        <v>0</v>
      </c>
    </row>
    <row r="2763" spans="17:17" ht="14.25" customHeight="1">
      <c r="Q2763" s="192">
        <v>0</v>
      </c>
    </row>
    <row r="2764" spans="17:17" ht="14.25" customHeight="1">
      <c r="Q2764" s="192">
        <v>0</v>
      </c>
    </row>
    <row r="2765" spans="17:17" ht="14.25" customHeight="1">
      <c r="Q2765" s="192">
        <v>0</v>
      </c>
    </row>
    <row r="2766" spans="17:17" ht="14.25" customHeight="1">
      <c r="Q2766" s="192">
        <v>0</v>
      </c>
    </row>
    <row r="2767" spans="17:17" ht="14.25" customHeight="1">
      <c r="Q2767" s="192">
        <v>0</v>
      </c>
    </row>
    <row r="2768" spans="17:17" ht="14.25" customHeight="1">
      <c r="Q2768" s="192">
        <v>0</v>
      </c>
    </row>
    <row r="2769" spans="17:17" ht="14.25" customHeight="1">
      <c r="Q2769" s="192">
        <v>0</v>
      </c>
    </row>
    <row r="2770" spans="17:17" ht="14.25" customHeight="1">
      <c r="Q2770" s="192">
        <v>0</v>
      </c>
    </row>
    <row r="2771" spans="17:17" ht="14.25" customHeight="1">
      <c r="Q2771" s="192">
        <v>0</v>
      </c>
    </row>
    <row r="2772" spans="17:17" ht="14.25" customHeight="1">
      <c r="Q2772" s="192">
        <v>0</v>
      </c>
    </row>
    <row r="2773" spans="17:17" ht="14.25" customHeight="1">
      <c r="Q2773" s="192">
        <v>0</v>
      </c>
    </row>
    <row r="2774" spans="17:17" ht="14.25" customHeight="1">
      <c r="Q2774" s="192">
        <v>0</v>
      </c>
    </row>
    <row r="2775" spans="17:17" ht="14.25" customHeight="1">
      <c r="Q2775" s="192">
        <v>0</v>
      </c>
    </row>
    <row r="2776" spans="17:17" ht="14.25" customHeight="1">
      <c r="Q2776" s="192">
        <v>0</v>
      </c>
    </row>
    <row r="2777" spans="17:17" ht="14.25" customHeight="1">
      <c r="Q2777" s="192">
        <v>0</v>
      </c>
    </row>
    <row r="2778" spans="17:17" ht="14.25" customHeight="1">
      <c r="Q2778" s="192">
        <v>0</v>
      </c>
    </row>
    <row r="2779" spans="17:17" ht="14.25" customHeight="1">
      <c r="Q2779" s="192">
        <v>0</v>
      </c>
    </row>
    <row r="2780" spans="17:17" ht="14.25" customHeight="1">
      <c r="Q2780" s="192">
        <v>0</v>
      </c>
    </row>
    <row r="2781" spans="17:17" ht="14.25" customHeight="1">
      <c r="Q2781" s="192">
        <v>0</v>
      </c>
    </row>
    <row r="2782" spans="17:17" ht="14.25" customHeight="1">
      <c r="Q2782" s="192">
        <v>0</v>
      </c>
    </row>
    <row r="2783" spans="17:17" ht="14.25" customHeight="1">
      <c r="Q2783" s="192">
        <v>0</v>
      </c>
    </row>
    <row r="2784" spans="17:17" ht="14.25" customHeight="1">
      <c r="Q2784" s="192">
        <v>0</v>
      </c>
    </row>
    <row r="2785" spans="17:17" ht="14.25" customHeight="1">
      <c r="Q2785" s="192">
        <v>0</v>
      </c>
    </row>
    <row r="2786" spans="17:17" ht="14.25" customHeight="1">
      <c r="Q2786" s="192">
        <v>0</v>
      </c>
    </row>
    <row r="2787" spans="17:17" ht="14.25" customHeight="1">
      <c r="Q2787" s="192">
        <v>0</v>
      </c>
    </row>
    <row r="2788" spans="17:17" ht="14.25" customHeight="1">
      <c r="Q2788" s="192">
        <v>0</v>
      </c>
    </row>
    <row r="2789" spans="17:17" ht="14.25" customHeight="1">
      <c r="Q2789" s="192">
        <v>0</v>
      </c>
    </row>
    <row r="2790" spans="17:17" ht="14.25" customHeight="1">
      <c r="Q2790" s="192">
        <v>0</v>
      </c>
    </row>
    <row r="2791" spans="17:17" ht="14.25" customHeight="1">
      <c r="Q2791" s="192">
        <v>0</v>
      </c>
    </row>
    <row r="2792" spans="17:17" ht="14.25" customHeight="1">
      <c r="Q2792" s="192">
        <v>0</v>
      </c>
    </row>
    <row r="2793" spans="17:17" ht="14.25" customHeight="1">
      <c r="Q2793" s="192">
        <v>0</v>
      </c>
    </row>
    <row r="2794" spans="17:17" ht="14.25" customHeight="1">
      <c r="Q2794" s="192">
        <v>0</v>
      </c>
    </row>
    <row r="2795" spans="17:17" ht="14.25" customHeight="1">
      <c r="Q2795" s="192">
        <v>0</v>
      </c>
    </row>
    <row r="2796" spans="17:17" ht="14.25" customHeight="1">
      <c r="Q2796" s="192">
        <v>0</v>
      </c>
    </row>
    <row r="2797" spans="17:17" ht="14.25" customHeight="1">
      <c r="Q2797" s="192">
        <v>0</v>
      </c>
    </row>
    <row r="2798" spans="17:17" ht="14.25" customHeight="1">
      <c r="Q2798" s="192">
        <v>0</v>
      </c>
    </row>
    <row r="2799" spans="17:17" ht="14.25" customHeight="1">
      <c r="Q2799" s="192">
        <v>0</v>
      </c>
    </row>
    <row r="2800" spans="17:17" ht="14.25" customHeight="1">
      <c r="Q2800" s="192">
        <v>0</v>
      </c>
    </row>
    <row r="2801" spans="17:17" ht="14.25" customHeight="1">
      <c r="Q2801" s="192">
        <v>0</v>
      </c>
    </row>
    <row r="2802" spans="17:17" ht="14.25" customHeight="1">
      <c r="Q2802" s="192">
        <v>0</v>
      </c>
    </row>
    <row r="2803" spans="17:17" ht="14.25" customHeight="1">
      <c r="Q2803" s="192">
        <v>0</v>
      </c>
    </row>
    <row r="2804" spans="17:17" ht="14.25" customHeight="1">
      <c r="Q2804" s="192">
        <v>0</v>
      </c>
    </row>
    <row r="2805" spans="17:17" ht="14.25" customHeight="1">
      <c r="Q2805" s="192">
        <v>0</v>
      </c>
    </row>
    <row r="2806" spans="17:17" ht="14.25" customHeight="1">
      <c r="Q2806" s="192">
        <v>0</v>
      </c>
    </row>
    <row r="2807" spans="17:17" ht="14.25" customHeight="1">
      <c r="Q2807" s="192">
        <v>0</v>
      </c>
    </row>
    <row r="2808" spans="17:17" ht="14.25" customHeight="1">
      <c r="Q2808" s="192">
        <v>0</v>
      </c>
    </row>
    <row r="2809" spans="17:17" ht="14.25" customHeight="1">
      <c r="Q2809" s="192">
        <v>0</v>
      </c>
    </row>
    <row r="2810" spans="17:17" ht="14.25" customHeight="1">
      <c r="Q2810" s="192">
        <v>0</v>
      </c>
    </row>
    <row r="2811" spans="17:17" ht="14.25" customHeight="1">
      <c r="Q2811" s="192">
        <v>0</v>
      </c>
    </row>
    <row r="2812" spans="17:17" ht="14.25" customHeight="1">
      <c r="Q2812" s="192">
        <v>0</v>
      </c>
    </row>
    <row r="2813" spans="17:17" ht="14.25" customHeight="1">
      <c r="Q2813" s="192">
        <v>0</v>
      </c>
    </row>
    <row r="2814" spans="17:17" ht="14.25" customHeight="1">
      <c r="Q2814" s="192">
        <v>0</v>
      </c>
    </row>
    <row r="2815" spans="17:17" ht="14.25" customHeight="1">
      <c r="Q2815" s="192">
        <v>0</v>
      </c>
    </row>
    <row r="2816" spans="17:17" ht="14.25" customHeight="1">
      <c r="Q2816" s="192">
        <v>0</v>
      </c>
    </row>
    <row r="2817" spans="17:17" ht="14.25" customHeight="1">
      <c r="Q2817" s="192">
        <v>0</v>
      </c>
    </row>
    <row r="2818" spans="17:17" ht="14.25" customHeight="1">
      <c r="Q2818" s="192">
        <v>0</v>
      </c>
    </row>
    <row r="2819" spans="17:17" ht="14.25" customHeight="1">
      <c r="Q2819" s="192">
        <v>0</v>
      </c>
    </row>
    <row r="2820" spans="17:17" ht="14.25" customHeight="1">
      <c r="Q2820" s="192">
        <v>0</v>
      </c>
    </row>
    <row r="2821" spans="17:17" ht="14.25" customHeight="1">
      <c r="Q2821" s="192">
        <v>0</v>
      </c>
    </row>
    <row r="2822" spans="17:17" ht="14.25" customHeight="1">
      <c r="Q2822" s="192">
        <v>0</v>
      </c>
    </row>
    <row r="2823" spans="17:17" ht="14.25" customHeight="1">
      <c r="Q2823" s="192">
        <v>0</v>
      </c>
    </row>
    <row r="2824" spans="17:17" ht="14.25" customHeight="1">
      <c r="Q2824" s="192">
        <v>0</v>
      </c>
    </row>
    <row r="2825" spans="17:17" ht="14.25" customHeight="1">
      <c r="Q2825" s="192">
        <v>0</v>
      </c>
    </row>
    <row r="2826" spans="17:17" ht="14.25" customHeight="1">
      <c r="Q2826" s="192">
        <v>0</v>
      </c>
    </row>
    <row r="2827" spans="17:17" ht="14.25" customHeight="1">
      <c r="Q2827" s="192">
        <v>0</v>
      </c>
    </row>
    <row r="2828" spans="17:17" ht="14.25" customHeight="1">
      <c r="Q2828" s="192">
        <v>0</v>
      </c>
    </row>
    <row r="2829" spans="17:17" ht="14.25" customHeight="1">
      <c r="Q2829" s="192">
        <v>0</v>
      </c>
    </row>
    <row r="2830" spans="17:17" ht="14.25" customHeight="1">
      <c r="Q2830" s="192">
        <v>0</v>
      </c>
    </row>
    <row r="2831" spans="17:17" ht="14.25" customHeight="1">
      <c r="Q2831" s="192">
        <v>0</v>
      </c>
    </row>
    <row r="2832" spans="17:17" ht="14.25" customHeight="1">
      <c r="Q2832" s="192">
        <v>0</v>
      </c>
    </row>
    <row r="2833" spans="17:17" ht="14.25" customHeight="1">
      <c r="Q2833" s="192">
        <v>0</v>
      </c>
    </row>
    <row r="2834" spans="17:17" ht="14.25" customHeight="1">
      <c r="Q2834" s="192">
        <v>0</v>
      </c>
    </row>
    <row r="2835" spans="17:17" ht="14.25" customHeight="1">
      <c r="Q2835" s="192">
        <v>0</v>
      </c>
    </row>
    <row r="2836" spans="17:17" ht="14.25" customHeight="1">
      <c r="Q2836" s="192">
        <v>0</v>
      </c>
    </row>
    <row r="2837" spans="17:17" ht="14.25" customHeight="1">
      <c r="Q2837" s="192">
        <v>0</v>
      </c>
    </row>
    <row r="2838" spans="17:17" ht="14.25" customHeight="1">
      <c r="Q2838" s="192">
        <v>0</v>
      </c>
    </row>
    <row r="2839" spans="17:17" ht="14.25" customHeight="1">
      <c r="Q2839" s="192">
        <v>0</v>
      </c>
    </row>
    <row r="2840" spans="17:17" ht="14.25" customHeight="1">
      <c r="Q2840" s="192">
        <v>0</v>
      </c>
    </row>
    <row r="2841" spans="17:17" ht="14.25" customHeight="1">
      <c r="Q2841" s="192">
        <v>0</v>
      </c>
    </row>
    <row r="2842" spans="17:17" ht="14.25" customHeight="1">
      <c r="Q2842" s="192">
        <v>0</v>
      </c>
    </row>
    <row r="2843" spans="17:17" ht="14.25" customHeight="1">
      <c r="Q2843" s="192">
        <v>0</v>
      </c>
    </row>
    <row r="2844" spans="17:17" ht="14.25" customHeight="1">
      <c r="Q2844" s="192">
        <v>0</v>
      </c>
    </row>
    <row r="2845" spans="17:17" ht="14.25" customHeight="1">
      <c r="Q2845" s="192">
        <v>0</v>
      </c>
    </row>
    <row r="2846" spans="17:17" ht="14.25" customHeight="1">
      <c r="Q2846" s="192">
        <v>0</v>
      </c>
    </row>
    <row r="2847" spans="17:17" ht="14.25" customHeight="1">
      <c r="Q2847" s="192">
        <v>0</v>
      </c>
    </row>
    <row r="2848" spans="17:17" ht="14.25" customHeight="1">
      <c r="Q2848" s="192">
        <v>0</v>
      </c>
    </row>
    <row r="2849" spans="17:17" ht="14.25" customHeight="1">
      <c r="Q2849" s="192">
        <v>0</v>
      </c>
    </row>
    <row r="2850" spans="17:17" ht="14.25" customHeight="1">
      <c r="Q2850" s="192">
        <v>0</v>
      </c>
    </row>
    <row r="2851" spans="17:17" ht="14.25" customHeight="1">
      <c r="Q2851" s="192">
        <v>0</v>
      </c>
    </row>
    <row r="2852" spans="17:17" ht="14.25" customHeight="1">
      <c r="Q2852" s="192">
        <v>0</v>
      </c>
    </row>
    <row r="2853" spans="17:17" ht="14.25" customHeight="1">
      <c r="Q2853" s="192">
        <v>0</v>
      </c>
    </row>
    <row r="2854" spans="17:17" ht="14.25" customHeight="1">
      <c r="Q2854" s="192">
        <v>0</v>
      </c>
    </row>
    <row r="2855" spans="17:17" ht="14.25" customHeight="1">
      <c r="Q2855" s="192">
        <v>0</v>
      </c>
    </row>
    <row r="2856" spans="17:17" ht="14.25" customHeight="1">
      <c r="Q2856" s="192">
        <v>0</v>
      </c>
    </row>
    <row r="2857" spans="17:17" ht="14.25" customHeight="1">
      <c r="Q2857" s="192">
        <v>0</v>
      </c>
    </row>
    <row r="2858" spans="17:17" ht="14.25" customHeight="1">
      <c r="Q2858" s="192">
        <v>0</v>
      </c>
    </row>
    <row r="2859" spans="17:17" ht="14.25" customHeight="1">
      <c r="Q2859" s="192">
        <v>0</v>
      </c>
    </row>
    <row r="2860" spans="17:17" ht="14.25" customHeight="1">
      <c r="Q2860" s="192">
        <v>0</v>
      </c>
    </row>
    <row r="2861" spans="17:17" ht="14.25" customHeight="1">
      <c r="Q2861" s="192">
        <v>0</v>
      </c>
    </row>
    <row r="2862" spans="17:17" ht="14.25" customHeight="1">
      <c r="Q2862" s="192">
        <v>0</v>
      </c>
    </row>
    <row r="2863" spans="17:17" ht="14.25" customHeight="1">
      <c r="Q2863" s="192">
        <v>0</v>
      </c>
    </row>
    <row r="2864" spans="17:17" ht="14.25" customHeight="1">
      <c r="Q2864" s="192">
        <v>0</v>
      </c>
    </row>
    <row r="2865" spans="17:17" ht="14.25" customHeight="1">
      <c r="Q2865" s="192">
        <v>0</v>
      </c>
    </row>
    <row r="2866" spans="17:17" ht="14.25" customHeight="1">
      <c r="Q2866" s="192">
        <v>0</v>
      </c>
    </row>
    <row r="2867" spans="17:17" ht="14.25" customHeight="1">
      <c r="Q2867" s="192">
        <v>0</v>
      </c>
    </row>
    <row r="2868" spans="17:17" ht="14.25" customHeight="1">
      <c r="Q2868" s="192">
        <v>0</v>
      </c>
    </row>
    <row r="2869" spans="17:17" ht="14.25" customHeight="1">
      <c r="Q2869" s="192">
        <v>0</v>
      </c>
    </row>
    <row r="2870" spans="17:17" ht="14.25" customHeight="1">
      <c r="Q2870" s="192">
        <v>0</v>
      </c>
    </row>
    <row r="2871" spans="17:17" ht="14.25" customHeight="1">
      <c r="Q2871" s="192">
        <v>0</v>
      </c>
    </row>
    <row r="2872" spans="17:17" ht="14.25" customHeight="1">
      <c r="Q2872" s="192">
        <v>0</v>
      </c>
    </row>
    <row r="2873" spans="17:17" ht="14.25" customHeight="1">
      <c r="Q2873" s="192">
        <v>0</v>
      </c>
    </row>
    <row r="2874" spans="17:17" ht="14.25" customHeight="1">
      <c r="Q2874" s="192">
        <v>0</v>
      </c>
    </row>
    <row r="2875" spans="17:17" ht="14.25" customHeight="1">
      <c r="Q2875" s="192">
        <v>0</v>
      </c>
    </row>
    <row r="2876" spans="17:17" ht="14.25" customHeight="1">
      <c r="Q2876" s="192">
        <v>0</v>
      </c>
    </row>
    <row r="2877" spans="17:17" ht="14.25" customHeight="1">
      <c r="Q2877" s="192">
        <v>0</v>
      </c>
    </row>
    <row r="2878" spans="17:17" ht="14.25" customHeight="1">
      <c r="Q2878" s="192">
        <v>0</v>
      </c>
    </row>
    <row r="2879" spans="17:17" ht="14.25" customHeight="1">
      <c r="Q2879" s="192">
        <v>0</v>
      </c>
    </row>
    <row r="2880" spans="17:17" ht="14.25" customHeight="1">
      <c r="Q2880" s="192">
        <v>0</v>
      </c>
    </row>
    <row r="2881" spans="17:17" ht="14.25" customHeight="1">
      <c r="Q2881" s="192">
        <v>0</v>
      </c>
    </row>
    <row r="2882" spans="17:17" ht="14.25" customHeight="1">
      <c r="Q2882" s="192">
        <v>0</v>
      </c>
    </row>
    <row r="2883" spans="17:17" ht="14.25" customHeight="1">
      <c r="Q2883" s="192">
        <v>0</v>
      </c>
    </row>
    <row r="2884" spans="17:17" ht="14.25" customHeight="1">
      <c r="Q2884" s="192">
        <v>0</v>
      </c>
    </row>
    <row r="2885" spans="17:17" ht="14.25" customHeight="1">
      <c r="Q2885" s="192">
        <v>0</v>
      </c>
    </row>
    <row r="2886" spans="17:17" ht="14.25" customHeight="1">
      <c r="Q2886" s="192">
        <v>0</v>
      </c>
    </row>
    <row r="2887" spans="17:17" ht="14.25" customHeight="1">
      <c r="Q2887" s="192">
        <v>0</v>
      </c>
    </row>
    <row r="2888" spans="17:17" ht="14.25" customHeight="1">
      <c r="Q2888" s="192">
        <v>0</v>
      </c>
    </row>
    <row r="2889" spans="17:17" ht="14.25" customHeight="1">
      <c r="Q2889" s="192">
        <v>0</v>
      </c>
    </row>
    <row r="2890" spans="17:17" ht="14.25" customHeight="1">
      <c r="Q2890" s="192">
        <v>0</v>
      </c>
    </row>
    <row r="2891" spans="17:17" ht="14.25" customHeight="1">
      <c r="Q2891" s="192">
        <v>0</v>
      </c>
    </row>
    <row r="2892" spans="17:17" ht="14.25" customHeight="1">
      <c r="Q2892" s="192">
        <v>0</v>
      </c>
    </row>
    <row r="2893" spans="17:17" ht="14.25" customHeight="1">
      <c r="Q2893" s="192">
        <v>0</v>
      </c>
    </row>
    <row r="2894" spans="17:17" ht="14.25" customHeight="1">
      <c r="Q2894" s="192">
        <v>0</v>
      </c>
    </row>
    <row r="2895" spans="17:17" ht="14.25" customHeight="1">
      <c r="Q2895" s="192">
        <v>0</v>
      </c>
    </row>
    <row r="2896" spans="17:17" ht="14.25" customHeight="1">
      <c r="Q2896" s="192">
        <v>0</v>
      </c>
    </row>
    <row r="2897" spans="17:17" ht="14.25" customHeight="1">
      <c r="Q2897" s="192">
        <v>0</v>
      </c>
    </row>
    <row r="2898" spans="17:17" ht="14.25" customHeight="1">
      <c r="Q2898" s="192">
        <v>0</v>
      </c>
    </row>
    <row r="2899" spans="17:17" ht="14.25" customHeight="1">
      <c r="Q2899" s="192">
        <v>0</v>
      </c>
    </row>
    <row r="2900" spans="17:17" ht="14.25" customHeight="1">
      <c r="Q2900" s="192">
        <v>0</v>
      </c>
    </row>
    <row r="2901" spans="17:17" ht="14.25" customHeight="1">
      <c r="Q2901" s="192">
        <v>0</v>
      </c>
    </row>
    <row r="2902" spans="17:17" ht="14.25" customHeight="1">
      <c r="Q2902" s="192">
        <v>0</v>
      </c>
    </row>
    <row r="2903" spans="17:17" ht="14.25" customHeight="1">
      <c r="Q2903" s="192">
        <v>0</v>
      </c>
    </row>
    <row r="2904" spans="17:17" ht="14.25" customHeight="1">
      <c r="Q2904" s="192">
        <v>0</v>
      </c>
    </row>
    <row r="2905" spans="17:17" ht="14.25" customHeight="1">
      <c r="Q2905" s="192">
        <v>0</v>
      </c>
    </row>
    <row r="2906" spans="17:17" ht="14.25" customHeight="1">
      <c r="Q2906" s="192">
        <v>0</v>
      </c>
    </row>
    <row r="2907" spans="17:17" ht="14.25" customHeight="1">
      <c r="Q2907" s="192">
        <v>0</v>
      </c>
    </row>
    <row r="2908" spans="17:17" ht="14.25" customHeight="1">
      <c r="Q2908" s="192">
        <v>0</v>
      </c>
    </row>
    <row r="2909" spans="17:17" ht="14.25" customHeight="1">
      <c r="Q2909" s="192">
        <v>0</v>
      </c>
    </row>
    <row r="2910" spans="17:17" ht="14.25" customHeight="1">
      <c r="Q2910" s="192">
        <v>0</v>
      </c>
    </row>
    <row r="2911" spans="17:17" ht="14.25" customHeight="1">
      <c r="Q2911" s="192">
        <v>0</v>
      </c>
    </row>
    <row r="2912" spans="17:17" ht="14.25" customHeight="1">
      <c r="Q2912" s="192">
        <v>0</v>
      </c>
    </row>
    <row r="2913" spans="17:17" ht="14.25" customHeight="1">
      <c r="Q2913" s="192">
        <v>0</v>
      </c>
    </row>
    <row r="2914" spans="17:17" ht="14.25" customHeight="1">
      <c r="Q2914" s="192">
        <v>0</v>
      </c>
    </row>
    <row r="2915" spans="17:17" ht="14.25" customHeight="1">
      <c r="Q2915" s="192">
        <v>0</v>
      </c>
    </row>
    <row r="2916" spans="17:17" ht="14.25" customHeight="1">
      <c r="Q2916" s="192">
        <v>0</v>
      </c>
    </row>
    <row r="2917" spans="17:17" ht="14.25" customHeight="1">
      <c r="Q2917" s="192">
        <v>0</v>
      </c>
    </row>
    <row r="2918" spans="17:17" ht="14.25" customHeight="1">
      <c r="Q2918" s="192">
        <v>0</v>
      </c>
    </row>
    <row r="2919" spans="17:17" ht="14.25" customHeight="1">
      <c r="Q2919" s="192">
        <v>0</v>
      </c>
    </row>
    <row r="2920" spans="17:17" ht="14.25" customHeight="1">
      <c r="Q2920" s="192">
        <v>0</v>
      </c>
    </row>
    <row r="2921" spans="17:17" ht="14.25" customHeight="1">
      <c r="Q2921" s="192">
        <v>0</v>
      </c>
    </row>
    <row r="2922" spans="17:17" ht="14.25" customHeight="1">
      <c r="Q2922" s="192">
        <v>0</v>
      </c>
    </row>
    <row r="2923" spans="17:17" ht="14.25" customHeight="1">
      <c r="Q2923" s="192">
        <v>0</v>
      </c>
    </row>
    <row r="2924" spans="17:17" ht="14.25" customHeight="1">
      <c r="Q2924" s="192">
        <v>0</v>
      </c>
    </row>
    <row r="2925" spans="17:17" ht="14.25" customHeight="1">
      <c r="Q2925" s="192">
        <v>0</v>
      </c>
    </row>
    <row r="2926" spans="17:17" ht="14.25" customHeight="1">
      <c r="Q2926" s="192">
        <v>0</v>
      </c>
    </row>
    <row r="2927" spans="17:17" ht="14.25" customHeight="1">
      <c r="Q2927" s="192">
        <v>0</v>
      </c>
    </row>
    <row r="2928" spans="17:17" ht="14.25" customHeight="1">
      <c r="Q2928" s="192">
        <v>0</v>
      </c>
    </row>
    <row r="2929" spans="17:17" ht="14.25" customHeight="1">
      <c r="Q2929" s="192">
        <v>0</v>
      </c>
    </row>
    <row r="2930" spans="17:17" ht="14.25" customHeight="1">
      <c r="Q2930" s="192">
        <v>0</v>
      </c>
    </row>
    <row r="2931" spans="17:17" ht="14.25" customHeight="1">
      <c r="Q2931" s="192">
        <v>0</v>
      </c>
    </row>
    <row r="2932" spans="17:17" ht="14.25" customHeight="1">
      <c r="Q2932" s="192">
        <v>0</v>
      </c>
    </row>
    <row r="2933" spans="17:17" ht="14.25" customHeight="1">
      <c r="Q2933" s="192">
        <v>0</v>
      </c>
    </row>
    <row r="2934" spans="17:17" ht="14.25" customHeight="1">
      <c r="Q2934" s="192">
        <v>0</v>
      </c>
    </row>
    <row r="2935" spans="17:17" ht="14.25" customHeight="1">
      <c r="Q2935" s="192">
        <v>0</v>
      </c>
    </row>
    <row r="2936" spans="17:17" ht="14.25" customHeight="1">
      <c r="Q2936" s="192">
        <v>0</v>
      </c>
    </row>
    <row r="2937" spans="17:17" ht="14.25" customHeight="1">
      <c r="Q2937" s="192">
        <v>0</v>
      </c>
    </row>
    <row r="2938" spans="17:17" ht="14.25" customHeight="1">
      <c r="Q2938" s="192">
        <v>0</v>
      </c>
    </row>
    <row r="2939" spans="17:17" ht="14.25" customHeight="1">
      <c r="Q2939" s="192">
        <v>0</v>
      </c>
    </row>
    <row r="2940" spans="17:17" ht="14.25" customHeight="1">
      <c r="Q2940" s="192">
        <v>0</v>
      </c>
    </row>
    <row r="2941" spans="17:17" ht="14.25" customHeight="1">
      <c r="Q2941" s="192">
        <v>0</v>
      </c>
    </row>
    <row r="2942" spans="17:17" ht="14.25" customHeight="1">
      <c r="Q2942" s="192">
        <v>0</v>
      </c>
    </row>
    <row r="2943" spans="17:17" ht="14.25" customHeight="1">
      <c r="Q2943" s="192">
        <v>0</v>
      </c>
    </row>
    <row r="2944" spans="17:17" ht="14.25" customHeight="1">
      <c r="Q2944" s="192">
        <v>0</v>
      </c>
    </row>
    <row r="2945" spans="17:17" ht="14.25" customHeight="1">
      <c r="Q2945" s="192">
        <v>0</v>
      </c>
    </row>
    <row r="2946" spans="17:17" ht="14.25" customHeight="1">
      <c r="Q2946" s="192">
        <v>0</v>
      </c>
    </row>
    <row r="2947" spans="17:17" ht="14.25" customHeight="1">
      <c r="Q2947" s="192">
        <v>0</v>
      </c>
    </row>
    <row r="2948" spans="17:17" ht="14.25" customHeight="1">
      <c r="Q2948" s="192">
        <v>0</v>
      </c>
    </row>
    <row r="2949" spans="17:17" ht="14.25" customHeight="1">
      <c r="Q2949" s="192">
        <v>0</v>
      </c>
    </row>
    <row r="2950" spans="17:17" ht="14.25" customHeight="1">
      <c r="Q2950" s="192">
        <v>0</v>
      </c>
    </row>
    <row r="2951" spans="17:17" ht="14.25" customHeight="1">
      <c r="Q2951" s="192">
        <v>0</v>
      </c>
    </row>
    <row r="2952" spans="17:17" ht="14.25" customHeight="1">
      <c r="Q2952" s="192">
        <v>0</v>
      </c>
    </row>
    <row r="2953" spans="17:17" ht="14.25" customHeight="1">
      <c r="Q2953" s="192">
        <v>0</v>
      </c>
    </row>
    <row r="2954" spans="17:17" ht="14.25" customHeight="1">
      <c r="Q2954" s="192">
        <v>0</v>
      </c>
    </row>
    <row r="2955" spans="17:17" ht="14.25" customHeight="1">
      <c r="Q2955" s="192">
        <v>0</v>
      </c>
    </row>
    <row r="2956" spans="17:17" ht="14.25" customHeight="1">
      <c r="Q2956" s="192">
        <v>0</v>
      </c>
    </row>
    <row r="2957" spans="17:17" ht="14.25" customHeight="1">
      <c r="Q2957" s="192">
        <v>0</v>
      </c>
    </row>
    <row r="2958" spans="17:17" ht="14.25" customHeight="1">
      <c r="Q2958" s="192">
        <v>0</v>
      </c>
    </row>
    <row r="2959" spans="17:17" ht="14.25" customHeight="1">
      <c r="Q2959" s="192">
        <v>0</v>
      </c>
    </row>
    <row r="2960" spans="17:17" ht="14.25" customHeight="1">
      <c r="Q2960" s="192">
        <v>0</v>
      </c>
    </row>
    <row r="2961" spans="17:17" ht="14.25" customHeight="1">
      <c r="Q2961" s="192">
        <v>0</v>
      </c>
    </row>
    <row r="2962" spans="17:17" ht="14.25" customHeight="1">
      <c r="Q2962" s="192">
        <v>0</v>
      </c>
    </row>
    <row r="2963" spans="17:17" ht="14.25" customHeight="1">
      <c r="Q2963" s="192">
        <v>0</v>
      </c>
    </row>
    <row r="2964" spans="17:17" ht="14.25" customHeight="1">
      <c r="Q2964" s="192">
        <v>0</v>
      </c>
    </row>
    <row r="2965" spans="17:17" ht="14.25" customHeight="1">
      <c r="Q2965" s="192">
        <v>0</v>
      </c>
    </row>
    <row r="2966" spans="17:17" ht="14.25" customHeight="1">
      <c r="Q2966" s="192">
        <v>0</v>
      </c>
    </row>
    <row r="2967" spans="17:17" ht="14.25" customHeight="1">
      <c r="Q2967" s="192">
        <v>0</v>
      </c>
    </row>
    <row r="2968" spans="17:17" ht="14.25" customHeight="1">
      <c r="Q2968" s="192">
        <v>0</v>
      </c>
    </row>
    <row r="2969" spans="17:17" ht="14.25" customHeight="1">
      <c r="Q2969" s="192">
        <v>0</v>
      </c>
    </row>
    <row r="2970" spans="17:17" ht="14.25" customHeight="1">
      <c r="Q2970" s="192">
        <v>0</v>
      </c>
    </row>
    <row r="2971" spans="17:17" ht="14.25" customHeight="1">
      <c r="Q2971" s="192">
        <v>0</v>
      </c>
    </row>
    <row r="2972" spans="17:17" ht="14.25" customHeight="1">
      <c r="Q2972" s="192">
        <v>0</v>
      </c>
    </row>
    <row r="2973" spans="17:17" ht="14.25" customHeight="1">
      <c r="Q2973" s="192">
        <v>0</v>
      </c>
    </row>
    <row r="2974" spans="17:17" ht="14.25" customHeight="1">
      <c r="Q2974" s="192">
        <v>0</v>
      </c>
    </row>
    <row r="2975" spans="17:17" ht="14.25" customHeight="1">
      <c r="Q2975" s="192">
        <v>0</v>
      </c>
    </row>
    <row r="2976" spans="17:17" ht="14.25" customHeight="1">
      <c r="Q2976" s="192">
        <v>0</v>
      </c>
    </row>
    <row r="2977" spans="17:17" ht="14.25" customHeight="1">
      <c r="Q2977" s="192">
        <v>0</v>
      </c>
    </row>
    <row r="2978" spans="17:17" ht="14.25" customHeight="1">
      <c r="Q2978" s="192">
        <v>0</v>
      </c>
    </row>
    <row r="2979" spans="17:17" ht="14.25" customHeight="1">
      <c r="Q2979" s="192">
        <v>0</v>
      </c>
    </row>
    <row r="2980" spans="17:17" ht="14.25" customHeight="1">
      <c r="Q2980" s="192">
        <v>0</v>
      </c>
    </row>
    <row r="2981" spans="17:17" ht="14.25" customHeight="1">
      <c r="Q2981" s="192">
        <v>0</v>
      </c>
    </row>
    <row r="2982" spans="17:17" ht="14.25" customHeight="1">
      <c r="Q2982" s="192">
        <v>0</v>
      </c>
    </row>
    <row r="2983" spans="17:17" ht="14.25" customHeight="1">
      <c r="Q2983" s="192">
        <v>0</v>
      </c>
    </row>
    <row r="2984" spans="17:17" ht="14.25" customHeight="1">
      <c r="Q2984" s="192">
        <v>0</v>
      </c>
    </row>
    <row r="2985" spans="17:17" ht="14.25" customHeight="1">
      <c r="Q2985" s="192">
        <v>0</v>
      </c>
    </row>
    <row r="2986" spans="17:17" ht="14.25" customHeight="1">
      <c r="Q2986" s="192">
        <v>0</v>
      </c>
    </row>
    <row r="2987" spans="17:17" ht="14.25" customHeight="1">
      <c r="Q2987" s="192">
        <v>0</v>
      </c>
    </row>
    <row r="2988" spans="17:17" ht="14.25" customHeight="1">
      <c r="Q2988" s="192">
        <v>0</v>
      </c>
    </row>
    <row r="2989" spans="17:17" ht="14.25" customHeight="1">
      <c r="Q2989" s="192">
        <v>0</v>
      </c>
    </row>
    <row r="2990" spans="17:17" ht="14.25" customHeight="1">
      <c r="Q2990" s="192">
        <v>0</v>
      </c>
    </row>
    <row r="2991" spans="17:17" ht="14.25" customHeight="1">
      <c r="Q2991" s="192">
        <v>0</v>
      </c>
    </row>
    <row r="2992" spans="17:17" ht="14.25" customHeight="1">
      <c r="Q2992" s="192">
        <v>0</v>
      </c>
    </row>
    <row r="2993" spans="17:17" ht="14.25" customHeight="1">
      <c r="Q2993" s="192">
        <v>0</v>
      </c>
    </row>
    <row r="2994" spans="17:17" ht="14.25" customHeight="1">
      <c r="Q2994" s="192">
        <v>0</v>
      </c>
    </row>
    <row r="2995" spans="17:17" ht="14.25" customHeight="1">
      <c r="Q2995" s="192">
        <v>0</v>
      </c>
    </row>
    <row r="2996" spans="17:17" ht="14.25" customHeight="1">
      <c r="Q2996" s="192">
        <v>0</v>
      </c>
    </row>
    <row r="2997" spans="17:17" ht="14.25" customHeight="1">
      <c r="Q2997" s="192">
        <v>0</v>
      </c>
    </row>
    <row r="2998" spans="17:17" ht="14.25" customHeight="1">
      <c r="Q2998" s="192">
        <v>0</v>
      </c>
    </row>
    <row r="2999" spans="17:17" ht="14.25" customHeight="1">
      <c r="Q2999" s="192">
        <v>0</v>
      </c>
    </row>
    <row r="3000" spans="17:17" ht="14.25" customHeight="1">
      <c r="Q3000" s="192">
        <v>0</v>
      </c>
    </row>
    <row r="3001" spans="17:17" ht="14.25" customHeight="1">
      <c r="Q3001" s="192">
        <v>0</v>
      </c>
    </row>
    <row r="3002" spans="17:17" ht="14.25" customHeight="1">
      <c r="Q3002" s="192">
        <v>0</v>
      </c>
    </row>
    <row r="3003" spans="17:17" ht="14.25" customHeight="1">
      <c r="Q3003" s="192">
        <v>0</v>
      </c>
    </row>
    <row r="3004" spans="17:17" ht="14.25" customHeight="1">
      <c r="Q3004" s="192">
        <v>0</v>
      </c>
    </row>
    <row r="3005" spans="17:17" ht="14.25" customHeight="1">
      <c r="Q3005" s="192">
        <v>0</v>
      </c>
    </row>
    <row r="3006" spans="17:17" ht="14.25" customHeight="1">
      <c r="Q3006" s="192">
        <v>0</v>
      </c>
    </row>
    <row r="3007" spans="17:17" ht="14.25" customHeight="1">
      <c r="Q3007" s="192">
        <v>0</v>
      </c>
    </row>
    <row r="3008" spans="17:17" ht="14.25" customHeight="1">
      <c r="Q3008" s="192">
        <v>0</v>
      </c>
    </row>
    <row r="3009" spans="17:17" ht="14.25" customHeight="1">
      <c r="Q3009" s="192">
        <v>0</v>
      </c>
    </row>
    <row r="3010" spans="17:17" ht="14.25" customHeight="1">
      <c r="Q3010" s="192">
        <v>0</v>
      </c>
    </row>
    <row r="3011" spans="17:17" ht="14.25" customHeight="1">
      <c r="Q3011" s="192">
        <v>0</v>
      </c>
    </row>
    <row r="3012" spans="17:17" ht="14.25" customHeight="1">
      <c r="Q3012" s="192">
        <v>0</v>
      </c>
    </row>
    <row r="3013" spans="17:17" ht="14.25" customHeight="1">
      <c r="Q3013" s="192">
        <v>0</v>
      </c>
    </row>
    <row r="3014" spans="17:17" ht="14.25" customHeight="1">
      <c r="Q3014" s="192">
        <v>0</v>
      </c>
    </row>
    <row r="3015" spans="17:17" ht="14.25" customHeight="1">
      <c r="Q3015" s="192">
        <v>0</v>
      </c>
    </row>
    <row r="3016" spans="17:17" ht="14.25" customHeight="1">
      <c r="Q3016" s="192">
        <v>0</v>
      </c>
    </row>
    <row r="3017" spans="17:17" ht="14.25" customHeight="1">
      <c r="Q3017" s="192">
        <v>0</v>
      </c>
    </row>
    <row r="3018" spans="17:17" ht="14.25" customHeight="1">
      <c r="Q3018" s="192">
        <v>0</v>
      </c>
    </row>
    <row r="3019" spans="17:17" ht="14.25" customHeight="1">
      <c r="Q3019" s="192">
        <v>0</v>
      </c>
    </row>
    <row r="3020" spans="17:17" ht="14.25" customHeight="1">
      <c r="Q3020" s="192">
        <v>0</v>
      </c>
    </row>
    <row r="3021" spans="17:17" ht="14.25" customHeight="1">
      <c r="Q3021" s="192">
        <v>0</v>
      </c>
    </row>
    <row r="3022" spans="17:17" ht="14.25" customHeight="1">
      <c r="Q3022" s="192">
        <v>0</v>
      </c>
    </row>
    <row r="3023" spans="17:17" ht="14.25" customHeight="1">
      <c r="Q3023" s="192">
        <v>0</v>
      </c>
    </row>
    <row r="3024" spans="17:17" ht="14.25" customHeight="1">
      <c r="Q3024" s="192">
        <v>0</v>
      </c>
    </row>
    <row r="3025" spans="17:17" ht="14.25" customHeight="1">
      <c r="Q3025" s="192">
        <v>0</v>
      </c>
    </row>
    <row r="3026" spans="17:17" ht="14.25" customHeight="1">
      <c r="Q3026" s="192">
        <v>0</v>
      </c>
    </row>
    <row r="3027" spans="17:17" ht="14.25" customHeight="1">
      <c r="Q3027" s="192">
        <v>0</v>
      </c>
    </row>
    <row r="3028" spans="17:17" ht="14.25" customHeight="1">
      <c r="Q3028" s="192">
        <v>0</v>
      </c>
    </row>
    <row r="3029" spans="17:17" ht="14.25" customHeight="1">
      <c r="Q3029" s="192">
        <v>0</v>
      </c>
    </row>
    <row r="3030" spans="17:17" ht="14.25" customHeight="1">
      <c r="Q3030" s="192">
        <v>0</v>
      </c>
    </row>
    <row r="3031" spans="17:17" ht="14.25" customHeight="1">
      <c r="Q3031" s="192">
        <v>0</v>
      </c>
    </row>
    <row r="3032" spans="17:17" ht="14.25" customHeight="1">
      <c r="Q3032" s="192">
        <v>0</v>
      </c>
    </row>
    <row r="3033" spans="17:17" ht="14.25" customHeight="1">
      <c r="Q3033" s="192">
        <v>0</v>
      </c>
    </row>
    <row r="3034" spans="17:17" ht="14.25" customHeight="1">
      <c r="Q3034" s="192">
        <v>0</v>
      </c>
    </row>
    <row r="3035" spans="17:17" ht="14.25" customHeight="1">
      <c r="Q3035" s="192">
        <v>0</v>
      </c>
    </row>
    <row r="3036" spans="17:17" ht="14.25" customHeight="1">
      <c r="Q3036" s="192">
        <v>0</v>
      </c>
    </row>
    <row r="3037" spans="17:17" ht="14.25" customHeight="1">
      <c r="Q3037" s="192">
        <v>0</v>
      </c>
    </row>
    <row r="3038" spans="17:17" ht="14.25" customHeight="1">
      <c r="Q3038" s="192">
        <v>0</v>
      </c>
    </row>
    <row r="3039" spans="17:17" ht="14.25" customHeight="1">
      <c r="Q3039" s="192">
        <v>0</v>
      </c>
    </row>
    <row r="3040" spans="17:17" ht="14.25" customHeight="1">
      <c r="Q3040" s="192">
        <v>0</v>
      </c>
    </row>
    <row r="3041" spans="17:17" ht="14.25" customHeight="1">
      <c r="Q3041" s="192">
        <v>0</v>
      </c>
    </row>
    <row r="3042" spans="17:17" ht="14.25" customHeight="1">
      <c r="Q3042" s="192">
        <v>0</v>
      </c>
    </row>
    <row r="3043" spans="17:17" ht="14.25" customHeight="1">
      <c r="Q3043" s="192">
        <v>0</v>
      </c>
    </row>
    <row r="3044" spans="17:17" ht="14.25" customHeight="1">
      <c r="Q3044" s="192">
        <v>0</v>
      </c>
    </row>
    <row r="3045" spans="17:17" ht="14.25" customHeight="1">
      <c r="Q3045" s="192">
        <v>0</v>
      </c>
    </row>
    <row r="3046" spans="17:17" ht="14.25" customHeight="1">
      <c r="Q3046" s="192">
        <v>0</v>
      </c>
    </row>
    <row r="3047" spans="17:17" ht="14.25" customHeight="1">
      <c r="Q3047" s="192">
        <v>0</v>
      </c>
    </row>
    <row r="3048" spans="17:17" ht="14.25" customHeight="1">
      <c r="Q3048" s="192">
        <v>0</v>
      </c>
    </row>
    <row r="3049" spans="17:17" ht="14.25" customHeight="1">
      <c r="Q3049" s="192">
        <v>0</v>
      </c>
    </row>
    <row r="3050" spans="17:17" ht="14.25" customHeight="1">
      <c r="Q3050" s="192">
        <v>0</v>
      </c>
    </row>
    <row r="3051" spans="17:17" ht="14.25" customHeight="1">
      <c r="Q3051" s="192">
        <v>0</v>
      </c>
    </row>
    <row r="3052" spans="17:17" ht="14.25" customHeight="1">
      <c r="Q3052" s="192">
        <v>0</v>
      </c>
    </row>
    <row r="3053" spans="17:17" ht="14.25" customHeight="1">
      <c r="Q3053" s="192">
        <v>0</v>
      </c>
    </row>
    <row r="3054" spans="17:17" ht="14.25" customHeight="1">
      <c r="Q3054" s="192">
        <v>0</v>
      </c>
    </row>
    <row r="3055" spans="17:17" ht="14.25" customHeight="1">
      <c r="Q3055" s="192">
        <v>0</v>
      </c>
    </row>
    <row r="3056" spans="17:17" ht="14.25" customHeight="1">
      <c r="Q3056" s="192">
        <v>0</v>
      </c>
    </row>
    <row r="3057" spans="17:17" ht="14.25" customHeight="1">
      <c r="Q3057" s="192">
        <v>0</v>
      </c>
    </row>
    <row r="3058" spans="17:17" ht="14.25" customHeight="1">
      <c r="Q3058" s="192">
        <v>0</v>
      </c>
    </row>
    <row r="3059" spans="17:17" ht="14.25" customHeight="1">
      <c r="Q3059" s="192">
        <v>0</v>
      </c>
    </row>
    <row r="3060" spans="17:17" ht="14.25" customHeight="1">
      <c r="Q3060" s="192">
        <v>0</v>
      </c>
    </row>
    <row r="3061" spans="17:17" ht="14.25" customHeight="1">
      <c r="Q3061" s="192">
        <v>0</v>
      </c>
    </row>
    <row r="3062" spans="17:17" ht="14.25" customHeight="1">
      <c r="Q3062" s="192">
        <v>0</v>
      </c>
    </row>
    <row r="3063" spans="17:17" ht="14.25" customHeight="1">
      <c r="Q3063" s="192">
        <v>0</v>
      </c>
    </row>
    <row r="3064" spans="17:17" ht="14.25" customHeight="1">
      <c r="Q3064" s="192">
        <v>0</v>
      </c>
    </row>
    <row r="3065" spans="17:17" ht="14.25" customHeight="1">
      <c r="Q3065" s="192">
        <v>0</v>
      </c>
    </row>
    <row r="3066" spans="17:17" ht="14.25" customHeight="1">
      <c r="Q3066" s="192">
        <v>0</v>
      </c>
    </row>
    <row r="3067" spans="17:17" ht="14.25" customHeight="1">
      <c r="Q3067" s="192">
        <v>0</v>
      </c>
    </row>
    <row r="3068" spans="17:17" ht="14.25" customHeight="1">
      <c r="Q3068" s="192">
        <v>0</v>
      </c>
    </row>
    <row r="3069" spans="17:17" ht="14.25" customHeight="1">
      <c r="Q3069" s="192">
        <v>0</v>
      </c>
    </row>
    <row r="3070" spans="17:17" ht="14.25" customHeight="1">
      <c r="Q3070" s="192">
        <v>0</v>
      </c>
    </row>
    <row r="3071" spans="17:17" ht="14.25" customHeight="1">
      <c r="Q3071" s="192">
        <v>0</v>
      </c>
    </row>
    <row r="3072" spans="17:17" ht="14.25" customHeight="1">
      <c r="Q3072" s="192">
        <v>0</v>
      </c>
    </row>
    <row r="3073" spans="17:17" ht="14.25" customHeight="1">
      <c r="Q3073" s="192">
        <v>0</v>
      </c>
    </row>
    <row r="3074" spans="17:17" ht="14.25" customHeight="1">
      <c r="Q3074" s="192">
        <v>0</v>
      </c>
    </row>
    <row r="3075" spans="17:17" ht="14.25" customHeight="1">
      <c r="Q3075" s="192">
        <v>0</v>
      </c>
    </row>
    <row r="3076" spans="17:17" ht="14.25" customHeight="1">
      <c r="Q3076" s="192">
        <v>0</v>
      </c>
    </row>
    <row r="3077" spans="17:17" ht="14.25" customHeight="1">
      <c r="Q3077" s="192">
        <v>0</v>
      </c>
    </row>
    <row r="3078" spans="17:17" ht="14.25" customHeight="1">
      <c r="Q3078" s="192">
        <v>0</v>
      </c>
    </row>
    <row r="3079" spans="17:17" ht="14.25" customHeight="1">
      <c r="Q3079" s="192">
        <v>0</v>
      </c>
    </row>
    <row r="3080" spans="17:17" ht="14.25" customHeight="1">
      <c r="Q3080" s="192">
        <v>0</v>
      </c>
    </row>
    <row r="3081" spans="17:17" ht="14.25" customHeight="1">
      <c r="Q3081" s="192">
        <v>0</v>
      </c>
    </row>
    <row r="3082" spans="17:17" ht="14.25" customHeight="1">
      <c r="Q3082" s="192">
        <v>0</v>
      </c>
    </row>
    <row r="3083" spans="17:17" ht="14.25" customHeight="1">
      <c r="Q3083" s="192">
        <v>0</v>
      </c>
    </row>
    <row r="3084" spans="17:17" ht="14.25" customHeight="1">
      <c r="Q3084" s="192">
        <v>0</v>
      </c>
    </row>
    <row r="3085" spans="17:17" ht="14.25" customHeight="1">
      <c r="Q3085" s="192">
        <v>0</v>
      </c>
    </row>
    <row r="3086" spans="17:17" ht="14.25" customHeight="1">
      <c r="Q3086" s="192">
        <v>0</v>
      </c>
    </row>
    <row r="3087" spans="17:17" ht="14.25" customHeight="1">
      <c r="Q3087" s="192">
        <v>0</v>
      </c>
    </row>
    <row r="3088" spans="17:17" ht="14.25" customHeight="1">
      <c r="Q3088" s="192">
        <v>0</v>
      </c>
    </row>
    <row r="3089" spans="17:17" ht="14.25" customHeight="1">
      <c r="Q3089" s="192">
        <v>0</v>
      </c>
    </row>
    <row r="3090" spans="17:17" ht="14.25" customHeight="1">
      <c r="Q3090" s="192">
        <v>0</v>
      </c>
    </row>
    <row r="3091" spans="17:17" ht="14.25" customHeight="1">
      <c r="Q3091" s="192">
        <v>0</v>
      </c>
    </row>
    <row r="3092" spans="17:17" ht="14.25" customHeight="1">
      <c r="Q3092" s="192">
        <v>0</v>
      </c>
    </row>
    <row r="3093" spans="17:17" ht="14.25" customHeight="1">
      <c r="Q3093" s="192">
        <v>0</v>
      </c>
    </row>
    <row r="3094" spans="17:17" ht="14.25" customHeight="1">
      <c r="Q3094" s="192">
        <v>0</v>
      </c>
    </row>
    <row r="3095" spans="17:17" ht="14.25" customHeight="1">
      <c r="Q3095" s="192">
        <v>0</v>
      </c>
    </row>
    <row r="3096" spans="17:17" ht="14.25" customHeight="1">
      <c r="Q3096" s="192">
        <v>0</v>
      </c>
    </row>
    <row r="3097" spans="17:17" ht="14.25" customHeight="1">
      <c r="Q3097" s="192">
        <v>0</v>
      </c>
    </row>
    <row r="3098" spans="17:17" ht="14.25" customHeight="1">
      <c r="Q3098" s="192">
        <v>0</v>
      </c>
    </row>
    <row r="3099" spans="17:17" ht="14.25" customHeight="1">
      <c r="Q3099" s="192">
        <v>0</v>
      </c>
    </row>
    <row r="3100" spans="17:17" ht="14.25" customHeight="1">
      <c r="Q3100" s="192">
        <v>0</v>
      </c>
    </row>
    <row r="3101" spans="17:17" ht="14.25" customHeight="1">
      <c r="Q3101" s="192">
        <v>0</v>
      </c>
    </row>
    <row r="3102" spans="17:17" ht="14.25" customHeight="1">
      <c r="Q3102" s="192">
        <v>0</v>
      </c>
    </row>
    <row r="3103" spans="17:17" ht="14.25" customHeight="1">
      <c r="Q3103" s="192">
        <v>0</v>
      </c>
    </row>
    <row r="3104" spans="17:17" ht="14.25" customHeight="1">
      <c r="Q3104" s="192">
        <v>0</v>
      </c>
    </row>
    <row r="3105" spans="17:17" ht="14.25" customHeight="1">
      <c r="Q3105" s="192">
        <v>0</v>
      </c>
    </row>
    <row r="3106" spans="17:17" ht="14.25" customHeight="1">
      <c r="Q3106" s="192">
        <v>0</v>
      </c>
    </row>
    <row r="3107" spans="17:17" ht="14.25" customHeight="1">
      <c r="Q3107" s="192">
        <v>0</v>
      </c>
    </row>
    <row r="3108" spans="17:17" ht="14.25" customHeight="1">
      <c r="Q3108" s="192">
        <v>0</v>
      </c>
    </row>
    <row r="3109" spans="17:17" ht="14.25" customHeight="1">
      <c r="Q3109" s="192">
        <v>0</v>
      </c>
    </row>
    <row r="3110" spans="17:17" ht="14.25" customHeight="1">
      <c r="Q3110" s="192">
        <v>0</v>
      </c>
    </row>
    <row r="3111" spans="17:17" ht="14.25" customHeight="1">
      <c r="Q3111" s="192">
        <v>0</v>
      </c>
    </row>
    <row r="3112" spans="17:17" ht="14.25" customHeight="1">
      <c r="Q3112" s="192">
        <v>0</v>
      </c>
    </row>
    <row r="3113" spans="17:17" ht="14.25" customHeight="1">
      <c r="Q3113" s="192">
        <v>0</v>
      </c>
    </row>
    <row r="3114" spans="17:17" ht="14.25" customHeight="1">
      <c r="Q3114" s="192">
        <v>0</v>
      </c>
    </row>
    <row r="3115" spans="17:17" ht="14.25" customHeight="1">
      <c r="Q3115" s="192">
        <v>0</v>
      </c>
    </row>
    <row r="3116" spans="17:17" ht="14.25" customHeight="1">
      <c r="Q3116" s="192">
        <v>0</v>
      </c>
    </row>
    <row r="3117" spans="17:17" ht="14.25" customHeight="1">
      <c r="Q3117" s="192">
        <v>0</v>
      </c>
    </row>
    <row r="3118" spans="17:17" ht="14.25" customHeight="1">
      <c r="Q3118" s="192">
        <v>0</v>
      </c>
    </row>
    <row r="3119" spans="17:17" ht="14.25" customHeight="1">
      <c r="Q3119" s="192">
        <v>0</v>
      </c>
    </row>
    <row r="3120" spans="17:17" ht="14.25" customHeight="1">
      <c r="Q3120" s="192">
        <v>0</v>
      </c>
    </row>
    <row r="3121" spans="17:17" ht="14.25" customHeight="1">
      <c r="Q3121" s="192">
        <v>0</v>
      </c>
    </row>
    <row r="3122" spans="17:17" ht="14.25" customHeight="1">
      <c r="Q3122" s="192">
        <v>0</v>
      </c>
    </row>
    <row r="3123" spans="17:17" ht="14.25" customHeight="1">
      <c r="Q3123" s="192">
        <v>0</v>
      </c>
    </row>
    <row r="3124" spans="17:17" ht="14.25" customHeight="1">
      <c r="Q3124" s="192">
        <v>0</v>
      </c>
    </row>
    <row r="3125" spans="17:17" ht="14.25" customHeight="1">
      <c r="Q3125" s="192">
        <v>0</v>
      </c>
    </row>
    <row r="3126" spans="17:17" ht="14.25" customHeight="1">
      <c r="Q3126" s="192">
        <v>0</v>
      </c>
    </row>
    <row r="3127" spans="17:17" ht="14.25" customHeight="1">
      <c r="Q3127" s="192">
        <v>0</v>
      </c>
    </row>
    <row r="3128" spans="17:17" ht="14.25" customHeight="1">
      <c r="Q3128" s="192">
        <v>0</v>
      </c>
    </row>
    <row r="3129" spans="17:17" ht="14.25" customHeight="1">
      <c r="Q3129" s="192">
        <v>0</v>
      </c>
    </row>
    <row r="3130" spans="17:17" ht="14.25" customHeight="1">
      <c r="Q3130" s="192">
        <v>0</v>
      </c>
    </row>
    <row r="3131" spans="17:17" ht="14.25" customHeight="1">
      <c r="Q3131" s="192">
        <v>0</v>
      </c>
    </row>
    <row r="3132" spans="17:17" ht="14.25" customHeight="1">
      <c r="Q3132" s="192">
        <v>0</v>
      </c>
    </row>
    <row r="3133" spans="17:17" ht="14.25" customHeight="1">
      <c r="Q3133" s="192">
        <v>0</v>
      </c>
    </row>
    <row r="3134" spans="17:17" ht="14.25" customHeight="1">
      <c r="Q3134" s="192">
        <v>0</v>
      </c>
    </row>
    <row r="3135" spans="17:17" ht="14.25" customHeight="1">
      <c r="Q3135" s="192">
        <v>0</v>
      </c>
    </row>
    <row r="3136" spans="17:17" ht="14.25" customHeight="1">
      <c r="Q3136" s="192">
        <v>0</v>
      </c>
    </row>
    <row r="3137" spans="17:17" ht="14.25" customHeight="1">
      <c r="Q3137" s="192">
        <v>0</v>
      </c>
    </row>
    <row r="3138" spans="17:17" ht="14.25" customHeight="1">
      <c r="Q3138" s="192">
        <v>0</v>
      </c>
    </row>
    <row r="3139" spans="17:17" ht="14.25" customHeight="1">
      <c r="Q3139" s="192">
        <v>0</v>
      </c>
    </row>
    <row r="3140" spans="17:17" ht="14.25" customHeight="1">
      <c r="Q3140" s="192">
        <v>0</v>
      </c>
    </row>
    <row r="3141" spans="17:17" ht="14.25" customHeight="1">
      <c r="Q3141" s="192">
        <v>0</v>
      </c>
    </row>
    <row r="3142" spans="17:17" ht="14.25" customHeight="1">
      <c r="Q3142" s="192">
        <v>0</v>
      </c>
    </row>
    <row r="3143" spans="17:17" ht="14.25" customHeight="1">
      <c r="Q3143" s="192">
        <v>0</v>
      </c>
    </row>
    <row r="3144" spans="17:17" ht="14.25" customHeight="1">
      <c r="Q3144" s="192">
        <v>0</v>
      </c>
    </row>
    <row r="3145" spans="17:17" ht="14.25" customHeight="1">
      <c r="Q3145" s="192">
        <v>0</v>
      </c>
    </row>
    <row r="3146" spans="17:17" ht="14.25" customHeight="1">
      <c r="Q3146" s="192">
        <v>0</v>
      </c>
    </row>
    <row r="3147" spans="17:17" ht="14.25" customHeight="1">
      <c r="Q3147" s="192">
        <v>0</v>
      </c>
    </row>
    <row r="3148" spans="17:17" ht="14.25" customHeight="1">
      <c r="Q3148" s="192">
        <v>0</v>
      </c>
    </row>
    <row r="3149" spans="17:17" ht="14.25" customHeight="1">
      <c r="Q3149" s="192">
        <v>0</v>
      </c>
    </row>
    <row r="3150" spans="17:17" ht="14.25" customHeight="1">
      <c r="Q3150" s="192">
        <v>0</v>
      </c>
    </row>
    <row r="3151" spans="17:17" ht="14.25" customHeight="1">
      <c r="Q3151" s="192">
        <v>0</v>
      </c>
    </row>
    <row r="3152" spans="17:17" ht="14.25" customHeight="1">
      <c r="Q3152" s="192">
        <v>0</v>
      </c>
    </row>
    <row r="3153" spans="17:17" ht="14.25" customHeight="1">
      <c r="Q3153" s="192">
        <v>0</v>
      </c>
    </row>
    <row r="3154" spans="17:17" ht="14.25" customHeight="1">
      <c r="Q3154" s="192">
        <v>0</v>
      </c>
    </row>
    <row r="3155" spans="17:17" ht="14.25" customHeight="1">
      <c r="Q3155" s="192">
        <v>0</v>
      </c>
    </row>
    <row r="3156" spans="17:17" ht="14.25" customHeight="1">
      <c r="Q3156" s="192">
        <v>0</v>
      </c>
    </row>
    <row r="3157" spans="17:17" ht="14.25" customHeight="1">
      <c r="Q3157" s="192">
        <v>0</v>
      </c>
    </row>
    <row r="3158" spans="17:17" ht="14.25" customHeight="1">
      <c r="Q3158" s="192">
        <v>0</v>
      </c>
    </row>
    <row r="3159" spans="17:17" ht="14.25" customHeight="1">
      <c r="Q3159" s="192">
        <v>0</v>
      </c>
    </row>
    <row r="3160" spans="17:17" ht="14.25" customHeight="1">
      <c r="Q3160" s="192">
        <v>0</v>
      </c>
    </row>
    <row r="3161" spans="17:17" ht="14.25" customHeight="1">
      <c r="Q3161" s="192">
        <v>0</v>
      </c>
    </row>
    <row r="3162" spans="17:17" ht="14.25" customHeight="1">
      <c r="Q3162" s="192">
        <v>0</v>
      </c>
    </row>
    <row r="3163" spans="17:17" ht="14.25" customHeight="1">
      <c r="Q3163" s="192">
        <v>0</v>
      </c>
    </row>
    <row r="3164" spans="17:17" ht="14.25" customHeight="1">
      <c r="Q3164" s="192">
        <v>0</v>
      </c>
    </row>
    <row r="3165" spans="17:17" ht="14.25" customHeight="1">
      <c r="Q3165" s="192">
        <v>0</v>
      </c>
    </row>
    <row r="3166" spans="17:17" ht="14.25" customHeight="1">
      <c r="Q3166" s="192">
        <v>0</v>
      </c>
    </row>
    <row r="3167" spans="17:17" ht="14.25" customHeight="1">
      <c r="Q3167" s="192">
        <v>0</v>
      </c>
    </row>
    <row r="3168" spans="17:17" ht="14.25" customHeight="1">
      <c r="Q3168" s="192">
        <v>0</v>
      </c>
    </row>
    <row r="3169" spans="17:17" ht="14.25" customHeight="1">
      <c r="Q3169" s="192">
        <v>0</v>
      </c>
    </row>
    <row r="3170" spans="17:17" ht="14.25" customHeight="1">
      <c r="Q3170" s="192">
        <v>0</v>
      </c>
    </row>
    <row r="3171" spans="17:17" ht="14.25" customHeight="1">
      <c r="Q3171" s="192">
        <v>0</v>
      </c>
    </row>
    <row r="3172" spans="17:17" ht="14.25" customHeight="1">
      <c r="Q3172" s="192">
        <v>0</v>
      </c>
    </row>
    <row r="3173" spans="17:17" ht="14.25" customHeight="1">
      <c r="Q3173" s="192">
        <v>0</v>
      </c>
    </row>
    <row r="3174" spans="17:17" ht="14.25" customHeight="1">
      <c r="Q3174" s="192">
        <v>0</v>
      </c>
    </row>
    <row r="3175" spans="17:17" ht="14.25" customHeight="1">
      <c r="Q3175" s="192">
        <v>0</v>
      </c>
    </row>
    <row r="3176" spans="17:17" ht="14.25" customHeight="1">
      <c r="Q3176" s="192">
        <v>0</v>
      </c>
    </row>
    <row r="3177" spans="17:17" ht="14.25" customHeight="1">
      <c r="Q3177" s="192">
        <v>0</v>
      </c>
    </row>
    <row r="3178" spans="17:17" ht="14.25" customHeight="1">
      <c r="Q3178" s="192">
        <v>0</v>
      </c>
    </row>
    <row r="3179" spans="17:17" ht="14.25" customHeight="1">
      <c r="Q3179" s="192">
        <v>0</v>
      </c>
    </row>
    <row r="3180" spans="17:17" ht="14.25" customHeight="1">
      <c r="Q3180" s="192">
        <v>0</v>
      </c>
    </row>
    <row r="3181" spans="17:17" ht="14.25" customHeight="1">
      <c r="Q3181" s="192">
        <v>0</v>
      </c>
    </row>
    <row r="3182" spans="17:17" ht="14.25" customHeight="1">
      <c r="Q3182" s="192">
        <v>0</v>
      </c>
    </row>
    <row r="3183" spans="17:17" ht="14.25" customHeight="1">
      <c r="Q3183" s="192">
        <v>0</v>
      </c>
    </row>
    <row r="3184" spans="17:17" ht="14.25" customHeight="1">
      <c r="Q3184" s="192">
        <v>0</v>
      </c>
    </row>
    <row r="3185" spans="17:17" ht="14.25" customHeight="1">
      <c r="Q3185" s="192">
        <v>0</v>
      </c>
    </row>
    <row r="3186" spans="17:17" ht="14.25" customHeight="1">
      <c r="Q3186" s="192">
        <v>0</v>
      </c>
    </row>
    <row r="3187" spans="17:17" ht="14.25" customHeight="1">
      <c r="Q3187" s="192">
        <v>0</v>
      </c>
    </row>
    <row r="3188" spans="17:17" ht="14.25" customHeight="1">
      <c r="Q3188" s="192">
        <v>0</v>
      </c>
    </row>
    <row r="3189" spans="17:17" ht="14.25" customHeight="1">
      <c r="Q3189" s="192">
        <v>0</v>
      </c>
    </row>
    <row r="3190" spans="17:17" ht="14.25" customHeight="1">
      <c r="Q3190" s="192">
        <v>0</v>
      </c>
    </row>
    <row r="3191" spans="17:17" ht="14.25" customHeight="1">
      <c r="Q3191" s="192">
        <v>0</v>
      </c>
    </row>
    <row r="3192" spans="17:17" ht="14.25" customHeight="1">
      <c r="Q3192" s="192">
        <v>0</v>
      </c>
    </row>
    <row r="3193" spans="17:17" ht="14.25" customHeight="1">
      <c r="Q3193" s="192">
        <v>0</v>
      </c>
    </row>
    <row r="3194" spans="17:17" ht="14.25" customHeight="1">
      <c r="Q3194" s="192">
        <v>0</v>
      </c>
    </row>
    <row r="3195" spans="17:17" ht="14.25" customHeight="1">
      <c r="Q3195" s="192">
        <v>0</v>
      </c>
    </row>
    <row r="3196" spans="17:17" ht="14.25" customHeight="1">
      <c r="Q3196" s="192">
        <v>0</v>
      </c>
    </row>
    <row r="3197" spans="17:17" ht="14.25" customHeight="1">
      <c r="Q3197" s="192">
        <v>0</v>
      </c>
    </row>
    <row r="3198" spans="17:17" ht="14.25" customHeight="1">
      <c r="Q3198" s="192">
        <v>0</v>
      </c>
    </row>
    <row r="3199" spans="17:17" ht="14.25" customHeight="1">
      <c r="Q3199" s="192">
        <v>0</v>
      </c>
    </row>
    <row r="3200" spans="17:17" ht="14.25" customHeight="1">
      <c r="Q3200" s="192">
        <v>0</v>
      </c>
    </row>
    <row r="3201" spans="17:17" ht="14.25" customHeight="1">
      <c r="Q3201" s="192">
        <v>0</v>
      </c>
    </row>
    <row r="3202" spans="17:17" ht="14.25" customHeight="1">
      <c r="Q3202" s="192">
        <v>0</v>
      </c>
    </row>
    <row r="3203" spans="17:17" ht="14.25" customHeight="1">
      <c r="Q3203" s="192">
        <v>0</v>
      </c>
    </row>
    <row r="3204" spans="17:17" ht="14.25" customHeight="1">
      <c r="Q3204" s="192">
        <v>0</v>
      </c>
    </row>
    <row r="3205" spans="17:17" ht="14.25" customHeight="1">
      <c r="Q3205" s="192">
        <v>0</v>
      </c>
    </row>
    <row r="3206" spans="17:17" ht="14.25" customHeight="1">
      <c r="Q3206" s="192">
        <v>0</v>
      </c>
    </row>
    <row r="3207" spans="17:17" ht="14.25" customHeight="1">
      <c r="Q3207" s="192">
        <v>0</v>
      </c>
    </row>
    <row r="3208" spans="17:17" ht="14.25" customHeight="1">
      <c r="Q3208" s="192">
        <v>0</v>
      </c>
    </row>
    <row r="3209" spans="17:17" ht="14.25" customHeight="1">
      <c r="Q3209" s="192">
        <v>0</v>
      </c>
    </row>
    <row r="3210" spans="17:17" ht="14.25" customHeight="1">
      <c r="Q3210" s="192">
        <v>0</v>
      </c>
    </row>
    <row r="3211" spans="17:17" ht="14.25" customHeight="1">
      <c r="Q3211" s="192">
        <v>0</v>
      </c>
    </row>
    <row r="3212" spans="17:17" ht="14.25" customHeight="1">
      <c r="Q3212" s="192">
        <v>0</v>
      </c>
    </row>
    <row r="3213" spans="17:17" ht="14.25" customHeight="1">
      <c r="Q3213" s="192">
        <v>0</v>
      </c>
    </row>
    <row r="3214" spans="17:17" ht="14.25" customHeight="1">
      <c r="Q3214" s="192">
        <v>0</v>
      </c>
    </row>
    <row r="3215" spans="17:17" ht="14.25" customHeight="1">
      <c r="Q3215" s="192">
        <v>0</v>
      </c>
    </row>
    <row r="3216" spans="17:17" ht="14.25" customHeight="1">
      <c r="Q3216" s="192">
        <v>0</v>
      </c>
    </row>
    <row r="3217" spans="17:17" ht="14.25" customHeight="1">
      <c r="Q3217" s="192">
        <v>0</v>
      </c>
    </row>
    <row r="3218" spans="17:17" ht="14.25" customHeight="1">
      <c r="Q3218" s="192">
        <v>0</v>
      </c>
    </row>
    <row r="3219" spans="17:17" ht="14.25" customHeight="1">
      <c r="Q3219" s="192">
        <v>0</v>
      </c>
    </row>
    <row r="3220" spans="17:17" ht="14.25" customHeight="1">
      <c r="Q3220" s="192">
        <v>0</v>
      </c>
    </row>
    <row r="3221" spans="17:17" ht="14.25" customHeight="1">
      <c r="Q3221" s="192">
        <v>0</v>
      </c>
    </row>
    <row r="3222" spans="17:17" ht="14.25" customHeight="1">
      <c r="Q3222" s="192">
        <v>0</v>
      </c>
    </row>
    <row r="3223" spans="17:17" ht="14.25" customHeight="1">
      <c r="Q3223" s="192">
        <v>0</v>
      </c>
    </row>
    <row r="3224" spans="17:17" ht="14.25" customHeight="1">
      <c r="Q3224" s="192">
        <v>0</v>
      </c>
    </row>
    <row r="3225" spans="17:17" ht="14.25" customHeight="1">
      <c r="Q3225" s="192">
        <v>0</v>
      </c>
    </row>
    <row r="3226" spans="17:17" ht="14.25" customHeight="1">
      <c r="Q3226" s="192">
        <v>0</v>
      </c>
    </row>
    <row r="3227" spans="17:17" ht="14.25" customHeight="1">
      <c r="Q3227" s="192">
        <v>0</v>
      </c>
    </row>
    <row r="3228" spans="17:17" ht="14.25" customHeight="1">
      <c r="Q3228" s="192">
        <v>0</v>
      </c>
    </row>
    <row r="3229" spans="17:17" ht="14.25" customHeight="1">
      <c r="Q3229" s="192">
        <v>0</v>
      </c>
    </row>
    <row r="3230" spans="17:17" ht="14.25" customHeight="1">
      <c r="Q3230" s="192">
        <v>0</v>
      </c>
    </row>
    <row r="3231" spans="17:17" ht="14.25" customHeight="1">
      <c r="Q3231" s="192">
        <v>0</v>
      </c>
    </row>
    <row r="3232" spans="17:17" ht="14.25" customHeight="1">
      <c r="Q3232" s="192">
        <v>0</v>
      </c>
    </row>
    <row r="3233" spans="17:17" ht="14.25" customHeight="1">
      <c r="Q3233" s="192">
        <v>0</v>
      </c>
    </row>
    <row r="3234" spans="17:17" ht="14.25" customHeight="1">
      <c r="Q3234" s="192">
        <v>0</v>
      </c>
    </row>
    <row r="3235" spans="17:17" ht="14.25" customHeight="1">
      <c r="Q3235" s="192">
        <v>0</v>
      </c>
    </row>
    <row r="3236" spans="17:17" ht="14.25" customHeight="1">
      <c r="Q3236" s="192">
        <v>0</v>
      </c>
    </row>
    <row r="3237" spans="17:17" ht="14.25" customHeight="1">
      <c r="Q3237" s="192">
        <v>0</v>
      </c>
    </row>
    <row r="3238" spans="17:17" ht="14.25" customHeight="1">
      <c r="Q3238" s="192">
        <v>0</v>
      </c>
    </row>
    <row r="3239" spans="17:17" ht="14.25" customHeight="1">
      <c r="Q3239" s="192">
        <v>0</v>
      </c>
    </row>
    <row r="3240" spans="17:17" ht="14.25" customHeight="1">
      <c r="Q3240" s="192">
        <v>0</v>
      </c>
    </row>
    <row r="3241" spans="17:17" ht="14.25" customHeight="1">
      <c r="Q3241" s="192">
        <v>0</v>
      </c>
    </row>
    <row r="3242" spans="17:17" ht="14.25" customHeight="1">
      <c r="Q3242" s="192">
        <v>0</v>
      </c>
    </row>
    <row r="3243" spans="17:17" ht="14.25" customHeight="1">
      <c r="Q3243" s="192">
        <v>0</v>
      </c>
    </row>
    <row r="3244" spans="17:17" ht="14.25" customHeight="1">
      <c r="Q3244" s="192">
        <v>0</v>
      </c>
    </row>
    <row r="3245" spans="17:17" ht="14.25" customHeight="1">
      <c r="Q3245" s="192">
        <v>0</v>
      </c>
    </row>
    <row r="3246" spans="17:17" ht="14.25" customHeight="1">
      <c r="Q3246" s="192">
        <v>0</v>
      </c>
    </row>
    <row r="3247" spans="17:17" ht="14.25" customHeight="1">
      <c r="Q3247" s="192">
        <v>0</v>
      </c>
    </row>
    <row r="3248" spans="17:17" ht="14.25" customHeight="1">
      <c r="Q3248" s="192">
        <v>0</v>
      </c>
    </row>
    <row r="3249" spans="17:17" ht="14.25" customHeight="1">
      <c r="Q3249" s="192">
        <v>0</v>
      </c>
    </row>
    <row r="3250" spans="17:17" ht="14.25" customHeight="1">
      <c r="Q3250" s="192">
        <v>0</v>
      </c>
    </row>
    <row r="3251" spans="17:17" ht="14.25" customHeight="1">
      <c r="Q3251" s="192">
        <v>0</v>
      </c>
    </row>
    <row r="3252" spans="17:17" ht="14.25" customHeight="1">
      <c r="Q3252" s="192">
        <v>0</v>
      </c>
    </row>
    <row r="3253" spans="17:17" ht="14.25" customHeight="1">
      <c r="Q3253" s="192">
        <v>0</v>
      </c>
    </row>
    <row r="3254" spans="17:17" ht="14.25" customHeight="1">
      <c r="Q3254" s="192">
        <v>0</v>
      </c>
    </row>
    <row r="3255" spans="17:17" ht="14.25" customHeight="1">
      <c r="Q3255" s="192">
        <v>0</v>
      </c>
    </row>
    <row r="3256" spans="17:17" ht="14.25" customHeight="1">
      <c r="Q3256" s="192">
        <v>0</v>
      </c>
    </row>
    <row r="3257" spans="17:17" ht="14.25" customHeight="1">
      <c r="Q3257" s="192">
        <v>0</v>
      </c>
    </row>
    <row r="3258" spans="17:17" ht="14.25" customHeight="1">
      <c r="Q3258" s="192">
        <v>0</v>
      </c>
    </row>
    <row r="3259" spans="17:17" ht="14.25" customHeight="1">
      <c r="Q3259" s="192">
        <v>0</v>
      </c>
    </row>
    <row r="3260" spans="17:17" ht="14.25" customHeight="1">
      <c r="Q3260" s="192">
        <v>0</v>
      </c>
    </row>
    <row r="3261" spans="17:17" ht="14.25" customHeight="1">
      <c r="Q3261" s="192">
        <v>0</v>
      </c>
    </row>
    <row r="3262" spans="17:17" ht="14.25" customHeight="1">
      <c r="Q3262" s="192">
        <v>0</v>
      </c>
    </row>
    <row r="3263" spans="17:17" ht="14.25" customHeight="1">
      <c r="Q3263" s="192">
        <v>0</v>
      </c>
    </row>
    <row r="3264" spans="17:17" ht="14.25" customHeight="1">
      <c r="Q3264" s="192">
        <v>0</v>
      </c>
    </row>
    <row r="3265" spans="17:17" ht="14.25" customHeight="1">
      <c r="Q3265" s="192">
        <v>0</v>
      </c>
    </row>
    <row r="3266" spans="17:17" ht="14.25" customHeight="1">
      <c r="Q3266" s="192">
        <v>0</v>
      </c>
    </row>
    <row r="3267" spans="17:17" ht="14.25" customHeight="1">
      <c r="Q3267" s="192">
        <v>0</v>
      </c>
    </row>
    <row r="3268" spans="17:17" ht="14.25" customHeight="1">
      <c r="Q3268" s="192">
        <v>0</v>
      </c>
    </row>
    <row r="3269" spans="17:17" ht="14.25" customHeight="1">
      <c r="Q3269" s="192">
        <v>0</v>
      </c>
    </row>
    <row r="3270" spans="17:17" ht="14.25" customHeight="1">
      <c r="Q3270" s="192">
        <v>0</v>
      </c>
    </row>
    <row r="3271" spans="17:17" ht="14.25" customHeight="1">
      <c r="Q3271" s="192">
        <v>0</v>
      </c>
    </row>
    <row r="3272" spans="17:17" ht="14.25" customHeight="1">
      <c r="Q3272" s="192">
        <v>0</v>
      </c>
    </row>
    <row r="3273" spans="17:17" ht="14.25" customHeight="1">
      <c r="Q3273" s="192">
        <v>0</v>
      </c>
    </row>
    <row r="3274" spans="17:17" ht="14.25" customHeight="1">
      <c r="Q3274" s="192">
        <v>0</v>
      </c>
    </row>
    <row r="3275" spans="17:17" ht="14.25" customHeight="1">
      <c r="Q3275" s="192">
        <v>0</v>
      </c>
    </row>
    <row r="3276" spans="17:17" ht="14.25" customHeight="1">
      <c r="Q3276" s="192">
        <v>0</v>
      </c>
    </row>
    <row r="3277" spans="17:17" ht="14.25" customHeight="1">
      <c r="Q3277" s="192">
        <v>0</v>
      </c>
    </row>
    <row r="3278" spans="17:17" ht="14.25" customHeight="1">
      <c r="Q3278" s="192">
        <v>0</v>
      </c>
    </row>
    <row r="3279" spans="17:17" ht="14.25" customHeight="1">
      <c r="Q3279" s="192">
        <v>0</v>
      </c>
    </row>
    <row r="3280" spans="17:17" ht="14.25" customHeight="1">
      <c r="Q3280" s="192">
        <v>0</v>
      </c>
    </row>
    <row r="3281" spans="17:17" ht="14.25" customHeight="1">
      <c r="Q3281" s="192">
        <v>0</v>
      </c>
    </row>
    <row r="3282" spans="17:17" ht="14.25" customHeight="1">
      <c r="Q3282" s="192">
        <v>0</v>
      </c>
    </row>
    <row r="3283" spans="17:17" ht="14.25" customHeight="1">
      <c r="Q3283" s="192">
        <v>0</v>
      </c>
    </row>
    <row r="3284" spans="17:17" ht="14.25" customHeight="1">
      <c r="Q3284" s="192">
        <v>0</v>
      </c>
    </row>
    <row r="3285" spans="17:17" ht="14.25" customHeight="1">
      <c r="Q3285" s="192">
        <v>0</v>
      </c>
    </row>
    <row r="3286" spans="17:17" ht="14.25" customHeight="1">
      <c r="Q3286" s="192">
        <v>0</v>
      </c>
    </row>
    <row r="3287" spans="17:17" ht="14.25" customHeight="1">
      <c r="Q3287" s="192">
        <v>0</v>
      </c>
    </row>
    <row r="3288" spans="17:17" ht="14.25" customHeight="1">
      <c r="Q3288" s="192">
        <v>0</v>
      </c>
    </row>
    <row r="3289" spans="17:17" ht="14.25" customHeight="1">
      <c r="Q3289" s="192">
        <v>0</v>
      </c>
    </row>
    <row r="3290" spans="17:17" ht="14.25" customHeight="1">
      <c r="Q3290" s="192">
        <v>0</v>
      </c>
    </row>
    <row r="3291" spans="17:17" ht="14.25" customHeight="1">
      <c r="Q3291" s="192">
        <v>0</v>
      </c>
    </row>
    <row r="3292" spans="17:17" ht="14.25" customHeight="1">
      <c r="Q3292" s="192">
        <v>0</v>
      </c>
    </row>
    <row r="3293" spans="17:17" ht="14.25" customHeight="1">
      <c r="Q3293" s="192">
        <v>0</v>
      </c>
    </row>
    <row r="3294" spans="17:17" ht="14.25" customHeight="1">
      <c r="Q3294" s="192">
        <v>0</v>
      </c>
    </row>
    <row r="3295" spans="17:17" ht="14.25" customHeight="1">
      <c r="Q3295" s="192">
        <v>0</v>
      </c>
    </row>
    <row r="3296" spans="17:17" ht="14.25" customHeight="1">
      <c r="Q3296" s="192">
        <v>0</v>
      </c>
    </row>
    <row r="3297" spans="17:17" ht="14.25" customHeight="1">
      <c r="Q3297" s="192">
        <v>0</v>
      </c>
    </row>
    <row r="3298" spans="17:17" ht="14.25" customHeight="1">
      <c r="Q3298" s="192">
        <v>0</v>
      </c>
    </row>
    <row r="3299" spans="17:17" ht="14.25" customHeight="1">
      <c r="Q3299" s="192">
        <v>0</v>
      </c>
    </row>
    <row r="3300" spans="17:17" ht="14.25" customHeight="1">
      <c r="Q3300" s="192">
        <v>0</v>
      </c>
    </row>
    <row r="3301" spans="17:17" ht="14.25" customHeight="1">
      <c r="Q3301" s="192">
        <v>0</v>
      </c>
    </row>
    <row r="3302" spans="17:17" ht="14.25" customHeight="1">
      <c r="Q3302" s="192">
        <v>0</v>
      </c>
    </row>
    <row r="3303" spans="17:17" ht="14.25" customHeight="1">
      <c r="Q3303" s="192">
        <v>0</v>
      </c>
    </row>
    <row r="3304" spans="17:17" ht="14.25" customHeight="1">
      <c r="Q3304" s="192">
        <v>0</v>
      </c>
    </row>
    <row r="3305" spans="17:17" ht="14.25" customHeight="1">
      <c r="Q3305" s="192">
        <v>0</v>
      </c>
    </row>
    <row r="3306" spans="17:17" ht="14.25" customHeight="1">
      <c r="Q3306" s="192">
        <v>0</v>
      </c>
    </row>
    <row r="3307" spans="17:17" ht="14.25" customHeight="1">
      <c r="Q3307" s="192">
        <v>0</v>
      </c>
    </row>
    <row r="3308" spans="17:17" ht="14.25" customHeight="1">
      <c r="Q3308" s="192">
        <v>0</v>
      </c>
    </row>
    <row r="3309" spans="17:17" ht="14.25" customHeight="1">
      <c r="Q3309" s="192">
        <v>0</v>
      </c>
    </row>
    <row r="3310" spans="17:17" ht="14.25" customHeight="1">
      <c r="Q3310" s="192">
        <v>0</v>
      </c>
    </row>
    <row r="3311" spans="17:17" ht="14.25" customHeight="1">
      <c r="Q3311" s="192">
        <v>0</v>
      </c>
    </row>
    <row r="3312" spans="17:17" ht="14.25" customHeight="1">
      <c r="Q3312" s="192">
        <v>0</v>
      </c>
    </row>
    <row r="3313" spans="17:17" ht="14.25" customHeight="1">
      <c r="Q3313" s="192">
        <v>0</v>
      </c>
    </row>
    <row r="3314" spans="17:17" ht="14.25" customHeight="1">
      <c r="Q3314" s="192">
        <v>0</v>
      </c>
    </row>
    <row r="3315" spans="17:17" ht="14.25" customHeight="1">
      <c r="Q3315" s="192">
        <v>0</v>
      </c>
    </row>
    <row r="3316" spans="17:17" ht="14.25" customHeight="1">
      <c r="Q3316" s="192">
        <v>0</v>
      </c>
    </row>
    <row r="3317" spans="17:17" ht="14.25" customHeight="1">
      <c r="Q3317" s="192">
        <v>0</v>
      </c>
    </row>
    <row r="3318" spans="17:17" ht="14.25" customHeight="1">
      <c r="Q3318" s="192">
        <v>0</v>
      </c>
    </row>
    <row r="3319" spans="17:17" ht="14.25" customHeight="1">
      <c r="Q3319" s="192">
        <v>0</v>
      </c>
    </row>
    <row r="3320" spans="17:17" ht="14.25" customHeight="1">
      <c r="Q3320" s="192">
        <v>0</v>
      </c>
    </row>
    <row r="3321" spans="17:17" ht="14.25" customHeight="1">
      <c r="Q3321" s="192">
        <v>0</v>
      </c>
    </row>
    <row r="3322" spans="17:17" ht="14.25" customHeight="1">
      <c r="Q3322" s="192">
        <v>0</v>
      </c>
    </row>
    <row r="3323" spans="17:17" ht="14.25" customHeight="1">
      <c r="Q3323" s="192">
        <v>0</v>
      </c>
    </row>
    <row r="3324" spans="17:17" ht="14.25" customHeight="1">
      <c r="Q3324" s="192">
        <v>0</v>
      </c>
    </row>
    <row r="3325" spans="17:17" ht="14.25" customHeight="1">
      <c r="Q3325" s="192">
        <v>0</v>
      </c>
    </row>
    <row r="3326" spans="17:17" ht="14.25" customHeight="1">
      <c r="Q3326" s="192">
        <v>0</v>
      </c>
    </row>
    <row r="3327" spans="17:17" ht="14.25" customHeight="1">
      <c r="Q3327" s="192">
        <v>0</v>
      </c>
    </row>
    <row r="3328" spans="17:17" ht="14.25" customHeight="1">
      <c r="Q3328" s="192">
        <v>0</v>
      </c>
    </row>
    <row r="3329" spans="17:17" ht="14.25" customHeight="1">
      <c r="Q3329" s="192">
        <v>0</v>
      </c>
    </row>
    <row r="3330" spans="17:17" ht="14.25" customHeight="1">
      <c r="Q3330" s="192">
        <v>0</v>
      </c>
    </row>
    <row r="3331" spans="17:17" ht="14.25" customHeight="1">
      <c r="Q3331" s="192">
        <v>0</v>
      </c>
    </row>
    <row r="3332" spans="17:17" ht="14.25" customHeight="1">
      <c r="Q3332" s="192">
        <v>0</v>
      </c>
    </row>
    <row r="3333" spans="17:17" ht="14.25" customHeight="1">
      <c r="Q3333" s="192">
        <v>0</v>
      </c>
    </row>
    <row r="3334" spans="17:17" ht="14.25" customHeight="1">
      <c r="Q3334" s="192">
        <v>0</v>
      </c>
    </row>
    <row r="3335" spans="17:17" ht="14.25" customHeight="1">
      <c r="Q3335" s="192">
        <v>0</v>
      </c>
    </row>
    <row r="3336" spans="17:17" ht="14.25" customHeight="1">
      <c r="Q3336" s="192">
        <v>0</v>
      </c>
    </row>
    <row r="3337" spans="17:17" ht="14.25" customHeight="1">
      <c r="Q3337" s="192">
        <v>0</v>
      </c>
    </row>
    <row r="3338" spans="17:17" ht="14.25" customHeight="1">
      <c r="Q3338" s="192">
        <v>0</v>
      </c>
    </row>
    <row r="3339" spans="17:17" ht="14.25" customHeight="1">
      <c r="Q3339" s="192">
        <v>0</v>
      </c>
    </row>
    <row r="3340" spans="17:17" ht="14.25" customHeight="1">
      <c r="Q3340" s="192">
        <v>0</v>
      </c>
    </row>
    <row r="3341" spans="17:17" ht="14.25" customHeight="1">
      <c r="Q3341" s="192">
        <v>0</v>
      </c>
    </row>
    <row r="3342" spans="17:17" ht="14.25" customHeight="1">
      <c r="Q3342" s="192">
        <v>0</v>
      </c>
    </row>
    <row r="3343" spans="17:17" ht="14.25" customHeight="1">
      <c r="Q3343" s="192">
        <v>0</v>
      </c>
    </row>
    <row r="3344" spans="17:17" ht="14.25" customHeight="1">
      <c r="Q3344" s="192">
        <v>0</v>
      </c>
    </row>
    <row r="3345" spans="17:17" ht="14.25" customHeight="1">
      <c r="Q3345" s="192">
        <v>0</v>
      </c>
    </row>
    <row r="3346" spans="17:17" ht="14.25" customHeight="1">
      <c r="Q3346" s="192">
        <v>0</v>
      </c>
    </row>
    <row r="3347" spans="17:17" ht="14.25" customHeight="1">
      <c r="Q3347" s="192">
        <v>0</v>
      </c>
    </row>
    <row r="3348" spans="17:17" ht="14.25" customHeight="1">
      <c r="Q3348" s="192">
        <v>0</v>
      </c>
    </row>
    <row r="3349" spans="17:17" ht="14.25" customHeight="1">
      <c r="Q3349" s="192">
        <v>0</v>
      </c>
    </row>
    <row r="3350" spans="17:17" ht="14.25" customHeight="1">
      <c r="Q3350" s="192">
        <v>0</v>
      </c>
    </row>
    <row r="3351" spans="17:17" ht="14.25" customHeight="1">
      <c r="Q3351" s="192">
        <v>0</v>
      </c>
    </row>
    <row r="3352" spans="17:17" ht="14.25" customHeight="1">
      <c r="Q3352" s="192">
        <v>0</v>
      </c>
    </row>
    <row r="3353" spans="17:17" ht="14.25" customHeight="1">
      <c r="Q3353" s="192">
        <v>0</v>
      </c>
    </row>
    <row r="3354" spans="17:17" ht="14.25" customHeight="1">
      <c r="Q3354" s="192">
        <v>0</v>
      </c>
    </row>
    <row r="3355" spans="17:17" ht="14.25" customHeight="1">
      <c r="Q3355" s="192">
        <v>0</v>
      </c>
    </row>
    <row r="3356" spans="17:17" ht="14.25" customHeight="1">
      <c r="Q3356" s="192">
        <v>0</v>
      </c>
    </row>
    <row r="3357" spans="17:17" ht="14.25" customHeight="1">
      <c r="Q3357" s="192">
        <v>0</v>
      </c>
    </row>
    <row r="3358" spans="17:17" ht="14.25" customHeight="1">
      <c r="Q3358" s="192">
        <v>0</v>
      </c>
    </row>
    <row r="3359" spans="17:17" ht="14.25" customHeight="1">
      <c r="Q3359" s="192">
        <v>0</v>
      </c>
    </row>
    <row r="3360" spans="17:17" ht="14.25" customHeight="1">
      <c r="Q3360" s="192">
        <v>0</v>
      </c>
    </row>
    <row r="3361" spans="17:17" ht="14.25" customHeight="1">
      <c r="Q3361" s="192">
        <v>0</v>
      </c>
    </row>
    <row r="3362" spans="17:17" ht="14.25" customHeight="1">
      <c r="Q3362" s="192">
        <v>0</v>
      </c>
    </row>
    <row r="3363" spans="17:17" ht="14.25" customHeight="1">
      <c r="Q3363" s="192">
        <v>0</v>
      </c>
    </row>
    <row r="3364" spans="17:17" ht="14.25" customHeight="1">
      <c r="Q3364" s="192">
        <v>0</v>
      </c>
    </row>
    <row r="3365" spans="17:17" ht="14.25" customHeight="1">
      <c r="Q3365" s="192">
        <v>0</v>
      </c>
    </row>
    <row r="3366" spans="17:17" ht="14.25" customHeight="1">
      <c r="Q3366" s="192">
        <v>0</v>
      </c>
    </row>
    <row r="3367" spans="17:17" ht="14.25" customHeight="1">
      <c r="Q3367" s="192">
        <v>0</v>
      </c>
    </row>
    <row r="3368" spans="17:17" ht="14.25" customHeight="1">
      <c r="Q3368" s="192">
        <v>0</v>
      </c>
    </row>
    <row r="3369" spans="17:17" ht="14.25" customHeight="1">
      <c r="Q3369" s="192">
        <v>0</v>
      </c>
    </row>
    <row r="3370" spans="17:17" ht="14.25" customHeight="1">
      <c r="Q3370" s="192">
        <v>0</v>
      </c>
    </row>
    <row r="3371" spans="17:17" ht="14.25" customHeight="1">
      <c r="Q3371" s="192">
        <v>0</v>
      </c>
    </row>
    <row r="3372" spans="17:17" ht="14.25" customHeight="1">
      <c r="Q3372" s="192">
        <v>0</v>
      </c>
    </row>
    <row r="3373" spans="17:17" ht="14.25" customHeight="1">
      <c r="Q3373" s="192">
        <v>0</v>
      </c>
    </row>
    <row r="3374" spans="17:17" ht="14.25" customHeight="1">
      <c r="Q3374" s="192">
        <v>0</v>
      </c>
    </row>
    <row r="3375" spans="17:17" ht="14.25" customHeight="1">
      <c r="Q3375" s="192">
        <v>0</v>
      </c>
    </row>
    <row r="3376" spans="17:17" ht="14.25" customHeight="1">
      <c r="Q3376" s="192">
        <v>0</v>
      </c>
    </row>
    <row r="3377" spans="17:17" ht="14.25" customHeight="1">
      <c r="Q3377" s="192">
        <v>0</v>
      </c>
    </row>
    <row r="3378" spans="17:17" ht="14.25" customHeight="1">
      <c r="Q3378" s="192">
        <v>0</v>
      </c>
    </row>
    <row r="3379" spans="17:17" ht="14.25" customHeight="1">
      <c r="Q3379" s="192">
        <v>0</v>
      </c>
    </row>
    <row r="3380" spans="17:17" ht="14.25" customHeight="1">
      <c r="Q3380" s="192">
        <v>0</v>
      </c>
    </row>
    <row r="3381" spans="17:17" ht="14.25" customHeight="1">
      <c r="Q3381" s="192">
        <v>0</v>
      </c>
    </row>
    <row r="3382" spans="17:17" ht="14.25" customHeight="1">
      <c r="Q3382" s="192">
        <v>0</v>
      </c>
    </row>
    <row r="3383" spans="17:17" ht="14.25" customHeight="1">
      <c r="Q3383" s="192">
        <v>0</v>
      </c>
    </row>
    <row r="3384" spans="17:17" ht="14.25" customHeight="1">
      <c r="Q3384" s="192">
        <v>0</v>
      </c>
    </row>
    <row r="3385" spans="17:17" ht="14.25" customHeight="1">
      <c r="Q3385" s="192">
        <v>0</v>
      </c>
    </row>
    <row r="3386" spans="17:17" ht="14.25" customHeight="1">
      <c r="Q3386" s="192">
        <v>0</v>
      </c>
    </row>
    <row r="3387" spans="17:17" ht="14.25" customHeight="1">
      <c r="Q3387" s="192">
        <v>0</v>
      </c>
    </row>
    <row r="3388" spans="17:17" ht="14.25" customHeight="1">
      <c r="Q3388" s="192">
        <v>0</v>
      </c>
    </row>
    <row r="3389" spans="17:17" ht="14.25" customHeight="1">
      <c r="Q3389" s="192">
        <v>0</v>
      </c>
    </row>
    <row r="3390" spans="17:17" ht="14.25" customHeight="1">
      <c r="Q3390" s="192">
        <v>0</v>
      </c>
    </row>
    <row r="3391" spans="17:17" ht="14.25" customHeight="1">
      <c r="Q3391" s="192">
        <v>0</v>
      </c>
    </row>
    <row r="3392" spans="17:17" ht="14.25" customHeight="1">
      <c r="Q3392" s="192">
        <v>0</v>
      </c>
    </row>
    <row r="3393" spans="17:17" ht="14.25" customHeight="1">
      <c r="Q3393" s="192">
        <v>0</v>
      </c>
    </row>
    <row r="3394" spans="17:17" ht="14.25" customHeight="1">
      <c r="Q3394" s="192">
        <v>0</v>
      </c>
    </row>
    <row r="3395" spans="17:17" ht="14.25" customHeight="1">
      <c r="Q3395" s="192">
        <v>0</v>
      </c>
    </row>
    <row r="3396" spans="17:17" ht="14.25" customHeight="1">
      <c r="Q3396" s="192">
        <v>0</v>
      </c>
    </row>
    <row r="3397" spans="17:17" ht="14.25" customHeight="1">
      <c r="Q3397" s="192">
        <v>0</v>
      </c>
    </row>
    <row r="3398" spans="17:17" ht="14.25" customHeight="1">
      <c r="Q3398" s="192">
        <v>0</v>
      </c>
    </row>
    <row r="3399" spans="17:17" ht="14.25" customHeight="1">
      <c r="Q3399" s="192">
        <v>0</v>
      </c>
    </row>
    <row r="3400" spans="17:17" ht="14.25" customHeight="1">
      <c r="Q3400" s="192">
        <v>0</v>
      </c>
    </row>
    <row r="3401" spans="17:17" ht="14.25" customHeight="1">
      <c r="Q3401" s="192">
        <v>0</v>
      </c>
    </row>
    <row r="3402" spans="17:17" ht="14.25" customHeight="1">
      <c r="Q3402" s="192">
        <v>0</v>
      </c>
    </row>
    <row r="3403" spans="17:17" ht="14.25" customHeight="1">
      <c r="Q3403" s="192">
        <v>0</v>
      </c>
    </row>
    <row r="3404" spans="17:17" ht="14.25" customHeight="1">
      <c r="Q3404" s="192">
        <v>0</v>
      </c>
    </row>
    <row r="3405" spans="17:17" ht="14.25" customHeight="1">
      <c r="Q3405" s="192">
        <v>0</v>
      </c>
    </row>
    <row r="3406" spans="17:17" ht="14.25" customHeight="1">
      <c r="Q3406" s="192">
        <v>0</v>
      </c>
    </row>
    <row r="3407" spans="17:17" ht="14.25" customHeight="1">
      <c r="Q3407" s="192">
        <v>0</v>
      </c>
    </row>
    <row r="3408" spans="17:17" ht="14.25" customHeight="1">
      <c r="Q3408" s="192">
        <v>0</v>
      </c>
    </row>
    <row r="3409" spans="17:17" ht="14.25" customHeight="1">
      <c r="Q3409" s="192">
        <v>0</v>
      </c>
    </row>
    <row r="3410" spans="17:17" ht="14.25" customHeight="1">
      <c r="Q3410" s="192">
        <v>0</v>
      </c>
    </row>
    <row r="3411" spans="17:17" ht="14.25" customHeight="1">
      <c r="Q3411" s="192">
        <v>0</v>
      </c>
    </row>
    <row r="3412" spans="17:17" ht="14.25" customHeight="1">
      <c r="Q3412" s="192">
        <v>0</v>
      </c>
    </row>
    <row r="3413" spans="17:17" ht="14.25" customHeight="1">
      <c r="Q3413" s="192">
        <v>0</v>
      </c>
    </row>
    <row r="3414" spans="17:17" ht="14.25" customHeight="1">
      <c r="Q3414" s="192">
        <v>0</v>
      </c>
    </row>
    <row r="3415" spans="17:17" ht="14.25" customHeight="1">
      <c r="Q3415" s="192">
        <v>0</v>
      </c>
    </row>
    <row r="3416" spans="17:17" ht="14.25" customHeight="1">
      <c r="Q3416" s="192">
        <v>0</v>
      </c>
    </row>
    <row r="3417" spans="17:17" ht="14.25" customHeight="1">
      <c r="Q3417" s="192">
        <v>0</v>
      </c>
    </row>
    <row r="3418" spans="17:17" ht="14.25" customHeight="1">
      <c r="Q3418" s="192">
        <v>0</v>
      </c>
    </row>
    <row r="3419" spans="17:17" ht="14.25" customHeight="1">
      <c r="Q3419" s="192">
        <v>0</v>
      </c>
    </row>
    <row r="3420" spans="17:17" ht="14.25" customHeight="1">
      <c r="Q3420" s="192">
        <v>0</v>
      </c>
    </row>
    <row r="3421" spans="17:17" ht="14.25" customHeight="1">
      <c r="Q3421" s="192">
        <v>0</v>
      </c>
    </row>
    <row r="3422" spans="17:17" ht="14.25" customHeight="1">
      <c r="Q3422" s="192">
        <v>0</v>
      </c>
    </row>
    <row r="3423" spans="17:17" ht="14.25" customHeight="1">
      <c r="Q3423" s="192">
        <v>0</v>
      </c>
    </row>
    <row r="3424" spans="17:17" ht="14.25" customHeight="1">
      <c r="Q3424" s="192">
        <v>0</v>
      </c>
    </row>
    <row r="3425" spans="17:17" ht="14.25" customHeight="1">
      <c r="Q3425" s="192">
        <v>0</v>
      </c>
    </row>
    <row r="3426" spans="17:17" ht="14.25" customHeight="1">
      <c r="Q3426" s="192">
        <v>0</v>
      </c>
    </row>
    <row r="3427" spans="17:17" ht="14.25" customHeight="1">
      <c r="Q3427" s="192">
        <v>0</v>
      </c>
    </row>
    <row r="3428" spans="17:17" ht="14.25" customHeight="1">
      <c r="Q3428" s="192">
        <v>0</v>
      </c>
    </row>
    <row r="3429" spans="17:17" ht="14.25" customHeight="1">
      <c r="Q3429" s="192">
        <v>0</v>
      </c>
    </row>
    <row r="3430" spans="17:17" ht="14.25" customHeight="1">
      <c r="Q3430" s="192">
        <v>0</v>
      </c>
    </row>
    <row r="3431" spans="17:17" ht="14.25" customHeight="1">
      <c r="Q3431" s="192">
        <v>0</v>
      </c>
    </row>
    <row r="3432" spans="17:17" ht="14.25" customHeight="1">
      <c r="Q3432" s="192">
        <v>0</v>
      </c>
    </row>
    <row r="3433" spans="17:17" ht="14.25" customHeight="1">
      <c r="Q3433" s="192">
        <v>0</v>
      </c>
    </row>
    <row r="3434" spans="17:17" ht="14.25" customHeight="1">
      <c r="Q3434" s="192">
        <v>0</v>
      </c>
    </row>
    <row r="3435" spans="17:17" ht="14.25" customHeight="1">
      <c r="Q3435" s="192">
        <v>0</v>
      </c>
    </row>
    <row r="3436" spans="17:17" ht="14.25" customHeight="1">
      <c r="Q3436" s="192">
        <v>0</v>
      </c>
    </row>
    <row r="3437" spans="17:17" ht="14.25" customHeight="1">
      <c r="Q3437" s="192">
        <v>0</v>
      </c>
    </row>
    <row r="3438" spans="17:17" ht="14.25" customHeight="1">
      <c r="Q3438" s="192">
        <v>0</v>
      </c>
    </row>
    <row r="3439" spans="17:17" ht="14.25" customHeight="1">
      <c r="Q3439" s="192">
        <v>0</v>
      </c>
    </row>
    <row r="3440" spans="17:17" ht="14.25" customHeight="1">
      <c r="Q3440" s="192">
        <v>0</v>
      </c>
    </row>
    <row r="3441" spans="17:17" ht="14.25" customHeight="1">
      <c r="Q3441" s="192">
        <v>0</v>
      </c>
    </row>
    <row r="3442" spans="17:17" ht="14.25" customHeight="1">
      <c r="Q3442" s="192">
        <v>0</v>
      </c>
    </row>
    <row r="3443" spans="17:17" ht="14.25" customHeight="1">
      <c r="Q3443" s="192">
        <v>0</v>
      </c>
    </row>
    <row r="3444" spans="17:17" ht="14.25" customHeight="1">
      <c r="Q3444" s="192">
        <v>0</v>
      </c>
    </row>
    <row r="3445" spans="17:17" ht="14.25" customHeight="1">
      <c r="Q3445" s="192">
        <v>0</v>
      </c>
    </row>
    <row r="3446" spans="17:17" ht="14.25" customHeight="1">
      <c r="Q3446" s="192">
        <v>0</v>
      </c>
    </row>
    <row r="3447" spans="17:17" ht="14.25" customHeight="1">
      <c r="Q3447" s="192">
        <v>0</v>
      </c>
    </row>
    <row r="3448" spans="17:17" ht="14.25" customHeight="1">
      <c r="Q3448" s="192">
        <v>0</v>
      </c>
    </row>
    <row r="3449" spans="17:17" ht="14.25" customHeight="1">
      <c r="Q3449" s="192">
        <v>0</v>
      </c>
    </row>
    <row r="3450" spans="17:17" ht="14.25" customHeight="1">
      <c r="Q3450" s="192">
        <v>0</v>
      </c>
    </row>
    <row r="3451" spans="17:17" ht="14.25" customHeight="1">
      <c r="Q3451" s="192">
        <v>0</v>
      </c>
    </row>
    <row r="3452" spans="17:17" ht="14.25" customHeight="1">
      <c r="Q3452" s="192">
        <v>0</v>
      </c>
    </row>
    <row r="3453" spans="17:17" ht="14.25" customHeight="1">
      <c r="Q3453" s="192">
        <v>0</v>
      </c>
    </row>
    <row r="3454" spans="17:17" ht="14.25" customHeight="1">
      <c r="Q3454" s="192">
        <v>0</v>
      </c>
    </row>
    <row r="3455" spans="17:17" ht="14.25" customHeight="1">
      <c r="Q3455" s="192">
        <v>0</v>
      </c>
    </row>
    <row r="3456" spans="17:17" ht="14.25" customHeight="1">
      <c r="Q3456" s="192">
        <v>0</v>
      </c>
    </row>
    <row r="3457" spans="17:17" ht="14.25" customHeight="1">
      <c r="Q3457" s="192">
        <v>0</v>
      </c>
    </row>
    <row r="3458" spans="17:17" ht="14.25" customHeight="1">
      <c r="Q3458" s="192">
        <v>0</v>
      </c>
    </row>
    <row r="3459" spans="17:17" ht="14.25" customHeight="1">
      <c r="Q3459" s="192">
        <v>0</v>
      </c>
    </row>
    <row r="3460" spans="17:17" ht="14.25" customHeight="1">
      <c r="Q3460" s="192">
        <v>0</v>
      </c>
    </row>
    <row r="3461" spans="17:17" ht="14.25" customHeight="1">
      <c r="Q3461" s="192">
        <v>0</v>
      </c>
    </row>
    <row r="3462" spans="17:17" ht="14.25" customHeight="1">
      <c r="Q3462" s="192">
        <v>0</v>
      </c>
    </row>
    <row r="3463" spans="17:17" ht="14.25" customHeight="1">
      <c r="Q3463" s="192">
        <v>0</v>
      </c>
    </row>
    <row r="3464" spans="17:17" ht="14.25" customHeight="1">
      <c r="Q3464" s="192">
        <v>0</v>
      </c>
    </row>
    <row r="3465" spans="17:17" ht="14.25" customHeight="1">
      <c r="Q3465" s="192">
        <v>0</v>
      </c>
    </row>
    <row r="3466" spans="17:17" ht="14.25" customHeight="1">
      <c r="Q3466" s="192">
        <v>0</v>
      </c>
    </row>
    <row r="3467" spans="17:17" ht="14.25" customHeight="1">
      <c r="Q3467" s="192">
        <v>0</v>
      </c>
    </row>
    <row r="3468" spans="17:17" ht="14.25" customHeight="1">
      <c r="Q3468" s="192">
        <v>0</v>
      </c>
    </row>
    <row r="3469" spans="17:17" ht="14.25" customHeight="1">
      <c r="Q3469" s="192">
        <v>0</v>
      </c>
    </row>
    <row r="3470" spans="17:17" ht="14.25" customHeight="1">
      <c r="Q3470" s="192">
        <v>0</v>
      </c>
    </row>
    <row r="3471" spans="17:17" ht="14.25" customHeight="1">
      <c r="Q3471" s="192">
        <v>0</v>
      </c>
    </row>
    <row r="3472" spans="17:17" ht="14.25" customHeight="1">
      <c r="Q3472" s="192">
        <v>0</v>
      </c>
    </row>
    <row r="3473" spans="17:17" ht="14.25" customHeight="1">
      <c r="Q3473" s="192">
        <v>0</v>
      </c>
    </row>
    <row r="3474" spans="17:17" ht="14.25" customHeight="1">
      <c r="Q3474" s="192">
        <v>0</v>
      </c>
    </row>
  </sheetData>
  <mergeCells count="34">
    <mergeCell ref="C7:F7"/>
    <mergeCell ref="A5:B6"/>
    <mergeCell ref="A3:L3"/>
    <mergeCell ref="A12:L12"/>
    <mergeCell ref="C20:G20"/>
    <mergeCell ref="I9:L9"/>
    <mergeCell ref="C4:L4"/>
    <mergeCell ref="I7:L7"/>
    <mergeCell ref="A4:B4"/>
    <mergeCell ref="C9:F9"/>
    <mergeCell ref="G7:H8"/>
    <mergeCell ref="A7:B8"/>
    <mergeCell ref="A9:B9"/>
    <mergeCell ref="G9:H9"/>
    <mergeCell ref="A16:L16"/>
    <mergeCell ref="C5:L6"/>
    <mergeCell ref="C8:F8"/>
    <mergeCell ref="I8:L8"/>
    <mergeCell ref="H22:J22"/>
    <mergeCell ref="G10:H10"/>
    <mergeCell ref="A14:L14"/>
    <mergeCell ref="A17:L17"/>
    <mergeCell ref="I11:L11"/>
    <mergeCell ref="A13:L13"/>
    <mergeCell ref="C10:F10"/>
    <mergeCell ref="H20:J20"/>
    <mergeCell ref="A15:L15"/>
    <mergeCell ref="A10:B10"/>
    <mergeCell ref="C11:F11"/>
    <mergeCell ref="H21:J21"/>
    <mergeCell ref="A18:L18"/>
    <mergeCell ref="I10:L10"/>
    <mergeCell ref="A11:B11"/>
    <mergeCell ref="G11:H11"/>
  </mergeCells>
  <phoneticPr fontId="3" type="noConversion"/>
  <dataValidations disablePrompts="1" count="1">
    <dataValidation type="list" allowBlank="1" showInputMessage="1" showErrorMessage="1" sqref="M3" xr:uid="{00000000-0002-0000-0B00-000000000000}">
      <formula1>$Q$3:$Q$3474</formula1>
    </dataValidation>
  </dataValidations>
  <printOptions horizontalCentered="1"/>
  <pageMargins left="0.78740157480314965" right="0.78740157480314965" top="1.417322834645669" bottom="0.23622047244094491" header="0.31496062992125978" footer="0.31496062992125978"/>
  <pageSetup paperSize="9"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돌아가기">
                <anchor moveWithCells="1" sizeWithCells="1">
                  <from>
                    <xdr:col>9</xdr:col>
                    <xdr:colOff>123825</xdr:colOff>
                    <xdr:row>0</xdr:row>
                    <xdr:rowOff>76200</xdr:rowOff>
                  </from>
                  <to>
                    <xdr:col>11</xdr:col>
                    <xdr:colOff>561975</xdr:colOff>
                    <xdr:row>0</xdr:row>
                    <xdr:rowOff>495300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R28"/>
  <sheetViews>
    <sheetView view="pageBreakPreview" topLeftCell="A13" zoomScale="85" zoomScaleNormal="100" zoomScaleSheetLayoutView="85" workbookViewId="0">
      <selection activeCell="R15" sqref="R15"/>
    </sheetView>
  </sheetViews>
  <sheetFormatPr defaultColWidth="10" defaultRowHeight="35.25" customHeight="1"/>
  <cols>
    <col min="1" max="12" width="7" style="260" customWidth="1"/>
    <col min="13" max="13" width="12" style="260" bestFit="1" customWidth="1"/>
    <col min="14" max="14" width="70.375" style="260" customWidth="1"/>
    <col min="15" max="15" width="12.5" style="260" customWidth="1"/>
    <col min="16" max="17" width="10" style="260" customWidth="1"/>
    <col min="18" max="18" width="108.625" style="260" customWidth="1"/>
    <col min="19" max="48" width="10" style="260" customWidth="1"/>
    <col min="49" max="16384" width="10" style="260"/>
  </cols>
  <sheetData>
    <row r="1" spans="1:18" ht="45" customHeight="1" thickBot="1">
      <c r="B1" s="260">
        <v>1</v>
      </c>
      <c r="N1" s="541"/>
      <c r="O1" s="542"/>
      <c r="P1" s="542"/>
      <c r="Q1" s="542"/>
    </row>
    <row r="2" spans="1:18" ht="60" customHeight="1" thickBot="1">
      <c r="A2" s="543" t="s">
        <v>704</v>
      </c>
      <c r="B2" s="353"/>
      <c r="C2" s="353"/>
      <c r="D2" s="353"/>
      <c r="E2" s="353"/>
      <c r="F2" s="353"/>
      <c r="G2" s="353"/>
      <c r="H2" s="353"/>
      <c r="I2" s="353"/>
      <c r="J2" s="353"/>
      <c r="K2" s="353"/>
      <c r="L2" s="353"/>
      <c r="N2" s="542"/>
      <c r="O2" s="542"/>
      <c r="P2" s="542"/>
      <c r="Q2" s="542"/>
      <c r="R2" s="188" t="s">
        <v>705</v>
      </c>
    </row>
    <row r="3" spans="1:18" ht="39.950000000000003" customHeight="1">
      <c r="A3" s="534" t="s">
        <v>472</v>
      </c>
      <c r="B3" s="454"/>
      <c r="C3" s="545" t="str">
        <f>VLOOKUP($B$1,공사현장대장!$A$5:$T$330,4)</f>
        <v>홍천농고 공간재구조화 증개축공사 건설폐기물처리용역</v>
      </c>
      <c r="D3" s="393"/>
      <c r="E3" s="393"/>
      <c r="F3" s="393"/>
      <c r="G3" s="393"/>
      <c r="H3" s="393"/>
      <c r="I3" s="393"/>
      <c r="J3" s="393"/>
      <c r="K3" s="393"/>
      <c r="L3" s="394"/>
      <c r="N3" s="542"/>
      <c r="O3" s="542"/>
      <c r="P3" s="542"/>
      <c r="Q3" s="542"/>
      <c r="R3" s="178" t="str">
        <f>"준공정산("&amp;C3&amp; ")"</f>
        <v>준공정산(홍천농고 공간재구조화 증개축공사 건설폐기물처리용역)</v>
      </c>
    </row>
    <row r="4" spans="1:18" ht="39.950000000000003" customHeight="1">
      <c r="A4" s="536" t="s">
        <v>647</v>
      </c>
      <c r="B4" s="366"/>
      <c r="C4" s="535" t="str">
        <f>VLOOKUP($B$1,공사현장대장!$A$5:$T$330,16)&amp;"  대표: "&amp;VLOOKUP($B$1,공사현장대장!$A$5:$T$330,17)&amp;"   ("&amp;VLOOKUP($B$1,공사현장대장!$A$5:$T$330,18)&amp;")"</f>
        <v>금강도시환경(주)  대표: 이재훈   (경기도양주시은현면은현로352-39())</v>
      </c>
      <c r="D4" s="365"/>
      <c r="E4" s="365"/>
      <c r="F4" s="365"/>
      <c r="G4" s="365"/>
      <c r="H4" s="365"/>
      <c r="I4" s="365"/>
      <c r="J4" s="365"/>
      <c r="K4" s="365"/>
      <c r="L4" s="368"/>
      <c r="N4" s="542"/>
      <c r="O4" s="542"/>
      <c r="P4" s="542"/>
      <c r="Q4" s="542"/>
      <c r="R4" s="178"/>
    </row>
    <row r="5" spans="1:18" ht="39.950000000000003" customHeight="1">
      <c r="A5" s="536" t="s">
        <v>477</v>
      </c>
      <c r="B5" s="366"/>
      <c r="C5" s="533" t="str">
        <f>TEXT(VLOOKUP($B$1,공사현장대장!$A$5:$T$330,10),"yyyy년 mm월 dd일")</f>
        <v>2024년 10월 07일</v>
      </c>
      <c r="D5" s="365"/>
      <c r="E5" s="365"/>
      <c r="F5" s="366"/>
      <c r="G5" s="532" t="s">
        <v>648</v>
      </c>
      <c r="H5" s="366"/>
      <c r="I5" s="540" t="str">
        <f>TEXT(VLOOKUP($B$1,공사현장대장!$A$5:$T$330,13),"yyyy년 mm월 dd일")</f>
        <v>2026년 05월 25일</v>
      </c>
      <c r="J5" s="365"/>
      <c r="K5" s="365"/>
      <c r="L5" s="368"/>
      <c r="N5" s="542"/>
      <c r="O5" s="542"/>
      <c r="P5" s="542"/>
      <c r="Q5" s="542"/>
      <c r="R5" s="178" t="str">
        <f>TEXT(C5,"yyyy. MM. dd.")&amp;" "&amp;K19&amp;" 대표 "&amp;J20&amp;"와 계약하여 준공된 "&amp;"「"&amp;C3&amp;"」"&amp;"에 대하여 아래와 같이 준공정산하고자 합니다. "</f>
        <v xml:space="preserve">2024. 10. 07. 금강도시환경(주) 대표 이재훈와 계약하여 준공된 「홍천농고 공간재구조화 증개축공사 건설폐기물처리용역」에 대하여 아래와 같이 준공정산하고자 합니다. </v>
      </c>
    </row>
    <row r="6" spans="1:18" ht="39.950000000000003" customHeight="1" thickBot="1">
      <c r="A6" s="536" t="s">
        <v>478</v>
      </c>
      <c r="B6" s="366"/>
      <c r="C6" s="533">
        <f>VLOOKUP($B$1,공사현장대장!$A$5:$T$330,11)</f>
        <v>45580</v>
      </c>
      <c r="D6" s="365"/>
      <c r="E6" s="365"/>
      <c r="F6" s="366"/>
      <c r="G6" s="532" t="s">
        <v>479</v>
      </c>
      <c r="H6" s="366"/>
      <c r="I6" s="540">
        <f>VLOOKUP($B$1,공사현장대장!$A$5:$T$330,14)</f>
        <v>0</v>
      </c>
      <c r="J6" s="365"/>
      <c r="K6" s="365"/>
      <c r="L6" s="368"/>
      <c r="N6" s="542"/>
      <c r="O6" s="542"/>
      <c r="P6" s="542"/>
      <c r="Q6" s="542"/>
      <c r="R6" s="178" t="str">
        <f>"  1. 공 사 명: "&amp;C3</f>
        <v xml:space="preserve">  1. 공 사 명: 홍천농고 공간재구조화 증개축공사 건설폐기물처리용역</v>
      </c>
    </row>
    <row r="7" spans="1:18" ht="39.950000000000003" hidden="1" customHeight="1" thickBot="1">
      <c r="A7" s="536"/>
      <c r="B7" s="366"/>
      <c r="C7" s="533"/>
      <c r="D7" s="365"/>
      <c r="E7" s="365"/>
      <c r="F7" s="366"/>
      <c r="G7" s="544"/>
      <c r="H7" s="366"/>
      <c r="I7" s="537"/>
      <c r="J7" s="365"/>
      <c r="K7" s="365"/>
      <c r="L7" s="368"/>
      <c r="N7" s="542"/>
      <c r="O7" s="542"/>
      <c r="P7" s="542"/>
      <c r="Q7" s="542"/>
      <c r="R7" s="178" t="str">
        <f>"  2. 공사기간: "&amp;TEXT(C6,"yyyy. MM. dd.")&amp;" ~ "&amp;TEXT(I5,"yyyy. MM. dd.")</f>
        <v xml:space="preserve">  2. 공사기간: 2024. 10. 15. ~ 2026. 05. 25.</v>
      </c>
    </row>
    <row r="8" spans="1:18" ht="39.950000000000003" customHeight="1" thickBot="1">
      <c r="A8" s="539" t="s">
        <v>13</v>
      </c>
      <c r="B8" s="366"/>
      <c r="C8" s="538" t="str">
        <f>"금"&amp;TEXT(VLOOKUP($B$1,공사현장대장!$A$5:$T$330,9),"#,###")&amp;"원"&amp;""</f>
        <v>금786,542,000원</v>
      </c>
      <c r="D8" s="365"/>
      <c r="E8" s="365"/>
      <c r="F8" s="365"/>
      <c r="G8" s="365"/>
      <c r="H8" s="365"/>
      <c r="I8" s="365"/>
      <c r="J8" s="365"/>
      <c r="K8" s="365"/>
      <c r="L8" s="368"/>
      <c r="N8" s="74" t="s">
        <v>706</v>
      </c>
      <c r="R8" s="178" t="str">
        <f>"  3. 계 약 자: "&amp;K19&amp;" 대표 "&amp;J20</f>
        <v xml:space="preserve">  3. 계 약 자: 금강도시환경(주) 대표 이재훈</v>
      </c>
    </row>
    <row r="9" spans="1:18" ht="39.950000000000003" customHeight="1" thickBot="1">
      <c r="A9" s="539" t="s">
        <v>627</v>
      </c>
      <c r="B9" s="366"/>
      <c r="C9" s="538" t="str">
        <f>"금"&amp;TEXT(N9,"#,###")&amp;"원"&amp;" "</f>
        <v xml:space="preserve">금60,185,040원 </v>
      </c>
      <c r="D9" s="365"/>
      <c r="E9" s="365"/>
      <c r="F9" s="365"/>
      <c r="G9" s="365"/>
      <c r="H9" s="365"/>
      <c r="I9" s="365"/>
      <c r="J9" s="365"/>
      <c r="K9" s="365"/>
      <c r="L9" s="368"/>
      <c r="N9" s="317">
        <v>60185040</v>
      </c>
      <c r="O9" s="318">
        <f>(VLOOKUP($B$1,공사현장대장!$A$5:$T$330,9)-N9)</f>
        <v>726356960</v>
      </c>
      <c r="P9" s="260" t="str">
        <f>IF(O9&gt;0,"감액","포기")</f>
        <v>감액</v>
      </c>
      <c r="R9" s="178" t="str">
        <f>"  4. 계약금액: "&amp;"금"&amp;TEXT(VLOOKUP($B$1,공사현장대장!$A$5:$T$330,7),"#,###")&amp;"원"&amp;"(금"&amp;TEXT(VLOOKUP($B$1,공사현장대장!$A$5:$T$330,7),"[dbnum4]")&amp;"원)"</f>
        <v xml:space="preserve">  4. 계약금액: 금원(금영원)</v>
      </c>
    </row>
    <row r="10" spans="1:18" ht="39.950000000000003" customHeight="1">
      <c r="A10" s="539" t="s">
        <v>707</v>
      </c>
      <c r="B10" s="366"/>
      <c r="C10" s="538" t="str">
        <f>"금"&amp;TEXT(O9,"#,###")&amp;"원"&amp;" ("&amp;P9&amp;")"</f>
        <v>금726,356,960원 (감액)</v>
      </c>
      <c r="D10" s="365"/>
      <c r="E10" s="365"/>
      <c r="F10" s="365"/>
      <c r="G10" s="365"/>
      <c r="H10" s="365"/>
      <c r="I10" s="365"/>
      <c r="J10" s="365"/>
      <c r="K10" s="365"/>
      <c r="L10" s="368"/>
      <c r="N10" s="73" t="s">
        <v>708</v>
      </c>
      <c r="O10" s="73"/>
      <c r="P10" s="73"/>
      <c r="Q10" s="73"/>
      <c r="R10" s="178" t="str">
        <f>"  5. 변 경 액: "&amp;"금"&amp;TEXT(N9,"#,###")&amp;"원"&amp;"(금"&amp;TEXT(N9,"[dbnum4]")&amp;"원)"</f>
        <v xml:space="preserve">  5. 변 경 액: 금60,185,040원(금육천일십팔만오천사십원)</v>
      </c>
    </row>
    <row r="11" spans="1:18" ht="15" customHeight="1">
      <c r="A11" s="38"/>
      <c r="B11" s="39"/>
      <c r="C11" s="39"/>
      <c r="D11" s="39"/>
      <c r="E11" s="39"/>
      <c r="F11" s="39"/>
      <c r="G11" s="39"/>
      <c r="H11" s="39"/>
      <c r="I11" s="39"/>
      <c r="J11" s="39"/>
      <c r="K11" s="39"/>
      <c r="L11" s="40"/>
      <c r="O11" s="261"/>
      <c r="P11" s="261"/>
      <c r="Q11" s="261"/>
      <c r="R11" s="178" t="str">
        <f>"  6. 감    액: "&amp;"금"&amp;TEXT(O9,"#,###")&amp;"원"&amp;"(금"&amp;TEXT(O9,"[dbnum4]")&amp;"원)"</f>
        <v xml:space="preserve">  6. 감    액: 금726,356,960원(금칠억이천육백삼십오만육천구백육십원)</v>
      </c>
    </row>
    <row r="12" spans="1:18" ht="15" customHeight="1">
      <c r="A12" s="41"/>
      <c r="B12" s="547" t="s">
        <v>709</v>
      </c>
      <c r="C12" s="542"/>
      <c r="D12" s="542"/>
      <c r="E12" s="542"/>
      <c r="F12" s="542"/>
      <c r="G12" s="542"/>
      <c r="H12" s="542"/>
      <c r="I12" s="542"/>
      <c r="J12" s="542"/>
      <c r="K12" s="542"/>
      <c r="L12" s="42"/>
      <c r="O12" s="261"/>
      <c r="P12" s="261"/>
      <c r="Q12" s="261"/>
      <c r="R12" s="178" t="str">
        <f>"  7. 정산사유: 붙임“준공정산 검토내용”참조"</f>
        <v xml:space="preserve">  7. 정산사유: 붙임“준공정산 검토내용”참조</v>
      </c>
    </row>
    <row r="13" spans="1:18" ht="22.5" customHeight="1">
      <c r="A13" s="41"/>
      <c r="B13" s="542"/>
      <c r="C13" s="542"/>
      <c r="D13" s="542"/>
      <c r="E13" s="542"/>
      <c r="F13" s="542"/>
      <c r="G13" s="542"/>
      <c r="H13" s="542"/>
      <c r="I13" s="542"/>
      <c r="J13" s="542"/>
      <c r="K13" s="542"/>
      <c r="L13" s="40"/>
      <c r="O13" s="261"/>
      <c r="P13" s="261"/>
      <c r="Q13" s="261"/>
      <c r="R13" s="179" t="str">
        <f>"붙임  1. 준공정산 검토내용 및 내역서 1부."</f>
        <v>붙임  1. 준공정산 검토내용 및 내역서 1부.</v>
      </c>
    </row>
    <row r="14" spans="1:18" ht="60" customHeight="1" thickBot="1">
      <c r="A14" s="41"/>
      <c r="B14" s="542"/>
      <c r="C14" s="542"/>
      <c r="D14" s="542"/>
      <c r="E14" s="542"/>
      <c r="F14" s="542"/>
      <c r="G14" s="542"/>
      <c r="H14" s="542"/>
      <c r="I14" s="542"/>
      <c r="J14" s="542"/>
      <c r="K14" s="542"/>
      <c r="L14" s="42"/>
      <c r="O14" s="261"/>
      <c r="P14" s="261"/>
      <c r="Q14" s="261"/>
      <c r="R14" s="180" t="str">
        <f>"      2. 준공정산동의서 1부.  끝."</f>
        <v xml:space="preserve">      2. 준공정산동의서 1부.  끝.</v>
      </c>
    </row>
    <row r="15" spans="1:18" ht="39.950000000000003" customHeight="1">
      <c r="A15" s="41"/>
      <c r="B15" s="542"/>
      <c r="C15" s="542"/>
      <c r="D15" s="542"/>
      <c r="E15" s="542"/>
      <c r="F15" s="542"/>
      <c r="G15" s="542"/>
      <c r="H15" s="542"/>
      <c r="I15" s="542"/>
      <c r="J15" s="542"/>
      <c r="K15" s="542"/>
      <c r="L15" s="42"/>
      <c r="O15" s="261"/>
      <c r="P15" s="261"/>
      <c r="Q15" s="261"/>
      <c r="R15" s="261" t="str">
        <f>"용역발주("&amp;C3&amp; ")"</f>
        <v>용역발주(홍천농고 공간재구조화 증개축공사 건설폐기물처리용역)</v>
      </c>
    </row>
    <row r="16" spans="1:18" ht="24.95" customHeight="1">
      <c r="A16" s="546">
        <f>VLOOKUP($B$1,공사현장대장!$A$5:$T$330,15)</f>
        <v>0</v>
      </c>
      <c r="B16" s="542"/>
      <c r="C16" s="542"/>
      <c r="D16" s="542"/>
      <c r="E16" s="542"/>
      <c r="F16" s="542"/>
      <c r="G16" s="542"/>
      <c r="H16" s="542"/>
      <c r="I16" s="542"/>
      <c r="J16" s="542"/>
      <c r="K16" s="542"/>
      <c r="L16" s="363"/>
      <c r="O16" s="261"/>
      <c r="P16" s="261"/>
      <c r="Q16" s="261"/>
      <c r="R16" s="260" t="s">
        <v>710</v>
      </c>
    </row>
    <row r="17" spans="1:18" ht="18" customHeight="1">
      <c r="A17" s="4"/>
      <c r="B17" s="5"/>
      <c r="C17" s="5"/>
      <c r="D17" s="5"/>
      <c r="E17" s="5"/>
      <c r="F17" s="5"/>
      <c r="G17" s="5"/>
      <c r="H17" s="5"/>
      <c r="I17" s="5"/>
      <c r="J17" s="5"/>
      <c r="K17" s="5"/>
      <c r="L17" s="6"/>
      <c r="O17" s="261"/>
      <c r="P17" s="261"/>
      <c r="Q17" s="261"/>
      <c r="R17" s="260" t="s">
        <v>711</v>
      </c>
    </row>
    <row r="18" spans="1:18" ht="39.950000000000003" customHeight="1">
      <c r="A18" s="41"/>
      <c r="B18" s="43"/>
      <c r="C18" s="46"/>
      <c r="D18" s="46"/>
      <c r="E18" s="46"/>
      <c r="F18" s="44"/>
      <c r="G18" s="39"/>
      <c r="H18" s="44"/>
      <c r="I18" s="44"/>
      <c r="J18" s="44"/>
      <c r="K18" s="45"/>
      <c r="L18" s="42"/>
      <c r="O18" s="261"/>
      <c r="P18" s="261"/>
      <c r="Q18" s="261"/>
      <c r="R18" s="260" t="s">
        <v>712</v>
      </c>
    </row>
    <row r="19" spans="1:18" ht="30" customHeight="1">
      <c r="A19" s="41"/>
      <c r="B19" s="46"/>
      <c r="C19" s="46"/>
      <c r="D19" s="39"/>
      <c r="E19" s="46"/>
      <c r="F19" s="44" t="s">
        <v>652</v>
      </c>
      <c r="G19" s="39"/>
      <c r="H19" s="44"/>
      <c r="I19" s="44"/>
      <c r="J19" s="44"/>
      <c r="K19" s="47" t="str">
        <f>VLOOKUP($B$1,공사현장대장!$A$5:$T$330,16)</f>
        <v>금강도시환경(주)</v>
      </c>
      <c r="L19" s="48"/>
      <c r="O19" s="261"/>
      <c r="P19" s="261"/>
      <c r="Q19" s="261"/>
      <c r="R19" s="261" t="str">
        <f>"2."&amp;""&amp;" "&amp;""&amp;C3&amp;""&amp;"을 아래와 같이 발주하고자 합니다. "</f>
        <v xml:space="preserve">2. 홍천농고 공간재구조화 증개축공사 건설폐기물처리용역을 아래와 같이 발주하고자 합니다. </v>
      </c>
    </row>
    <row r="20" spans="1:18" ht="30" customHeight="1">
      <c r="A20" s="41"/>
      <c r="B20" s="46"/>
      <c r="C20" s="46"/>
      <c r="D20" s="319"/>
      <c r="E20" s="46"/>
      <c r="F20" s="44" t="s">
        <v>653</v>
      </c>
      <c r="G20" s="39"/>
      <c r="H20" s="44"/>
      <c r="I20" s="44"/>
      <c r="J20" s="44" t="str">
        <f>VLOOKUP($B$1,공사현장대장!$A$5:$T$330,17)</f>
        <v>이재훈</v>
      </c>
      <c r="K20" s="47" t="s">
        <v>605</v>
      </c>
      <c r="L20" s="42"/>
      <c r="O20" s="261"/>
      <c r="P20" s="261"/>
      <c r="Q20" s="261"/>
      <c r="R20" s="261" t="str">
        <f>"  가. 공 사 명: "&amp;C3</f>
        <v xml:space="preserve">  가. 공 사 명: 홍천농고 공간재구조화 증개축공사 건설폐기물처리용역</v>
      </c>
    </row>
    <row r="21" spans="1:18" ht="30" customHeight="1">
      <c r="A21" s="41"/>
      <c r="B21" s="46"/>
      <c r="C21" s="46"/>
      <c r="D21" s="319"/>
      <c r="E21" s="46"/>
      <c r="F21" s="46"/>
      <c r="G21" s="39"/>
      <c r="H21" s="46"/>
      <c r="I21" s="46"/>
      <c r="J21" s="46"/>
      <c r="K21" s="46"/>
      <c r="L21" s="42"/>
      <c r="O21" s="72"/>
      <c r="P21" s="72"/>
      <c r="Q21" s="72"/>
      <c r="R21" s="261" t="str">
        <f>"  나. 사 업 량: 전기시설 점검 및 전기안전관리 11교"</f>
        <v xml:space="preserve">  나. 사 업 량: 전기시설 점검 및 전기안전관리 11교</v>
      </c>
    </row>
    <row r="22" spans="1:18" ht="25.5" customHeight="1">
      <c r="A22" s="450" t="str">
        <f>"강원특별자치도"&amp;설정탭!B6&amp;"교육지원청교육장 귀하"</f>
        <v>강원특별자치도강원특별자치도홍천교육지원청교육장 귀하</v>
      </c>
      <c r="B22" s="353"/>
      <c r="C22" s="353"/>
      <c r="D22" s="353"/>
      <c r="E22" s="353"/>
      <c r="F22" s="353"/>
      <c r="G22" s="353"/>
      <c r="H22" s="353"/>
      <c r="I22" s="353"/>
      <c r="J22" s="353"/>
      <c r="K22" s="353"/>
      <c r="L22" s="410"/>
      <c r="O22" s="72"/>
      <c r="P22" s="72"/>
      <c r="Q22" s="72"/>
      <c r="R22" s="261" t="str">
        <f>"  다. 추 정 액: "&amp;"금"&amp;TEXT(VLOOKUP($B$1,공사현장대장!$A$5:$T$330,7),"#,###")&amp;"원"&amp;"(금"&amp;TEXT(VLOOKUP($B$1,공사현장대장!$A$5:$T$330,7),"[dbnum4]")&amp;"원)"</f>
        <v xml:space="preserve">  다. 추 정 액: 금원(금영원)</v>
      </c>
    </row>
    <row r="23" spans="1:18" ht="25.5" customHeight="1">
      <c r="A23" s="75"/>
      <c r="B23" s="75"/>
      <c r="C23" s="75"/>
      <c r="D23" s="75"/>
      <c r="E23" s="75"/>
      <c r="F23" s="75"/>
      <c r="G23" s="75"/>
      <c r="H23" s="75"/>
      <c r="I23" s="75"/>
      <c r="J23" s="75"/>
      <c r="K23" s="75"/>
      <c r="L23" s="75"/>
      <c r="O23" s="72"/>
      <c r="P23" s="72"/>
      <c r="Q23" s="72"/>
      <c r="R23" s="261" t="str">
        <f>"  라. 용역기간: 2025. 1. 1. ~ 2025. 12. 31."</f>
        <v xml:space="preserve">  라. 용역기간: 2025. 1. 1. ~ 2025. 12. 31.</v>
      </c>
    </row>
    <row r="24" spans="1:18" ht="35.25" customHeight="1">
      <c r="R24" s="261" t="s">
        <v>713</v>
      </c>
    </row>
    <row r="25" spans="1:18" ht="35.25" customHeight="1">
      <c r="R25" s="261"/>
    </row>
    <row r="26" spans="1:18" ht="35.25" customHeight="1">
      <c r="R26" s="72" t="str">
        <f>"붙임  1. 용역지출품의서 1부."</f>
        <v>붙임  1. 용역지출품의서 1부.</v>
      </c>
    </row>
    <row r="27" spans="1:18" ht="35.25" customHeight="1">
      <c r="R27" s="72" t="str">
        <f>"      2. 품의내용 및 용역비 산출서 1부."</f>
        <v xml:space="preserve">      2. 품의내용 및 용역비 산출서 1부.</v>
      </c>
    </row>
    <row r="28" spans="1:18" ht="35.25" customHeight="1">
      <c r="R28" s="260" t="str">
        <f>"      3. 과업지시서 1부.  끝."</f>
        <v xml:space="preserve">      3. 과업지시서 1부.  끝.</v>
      </c>
    </row>
  </sheetData>
  <mergeCells count="27">
    <mergeCell ref="C8:L8"/>
    <mergeCell ref="C7:F7"/>
    <mergeCell ref="B12:K15"/>
    <mergeCell ref="A6:B6"/>
    <mergeCell ref="N1:Q7"/>
    <mergeCell ref="A2:L2"/>
    <mergeCell ref="A7:B7"/>
    <mergeCell ref="G7:H7"/>
    <mergeCell ref="C3:L3"/>
    <mergeCell ref="C6:F6"/>
    <mergeCell ref="I6:L6"/>
    <mergeCell ref="A22:L22"/>
    <mergeCell ref="G6:H6"/>
    <mergeCell ref="C5:F5"/>
    <mergeCell ref="A3:B3"/>
    <mergeCell ref="C4:L4"/>
    <mergeCell ref="A5:B5"/>
    <mergeCell ref="G5:H5"/>
    <mergeCell ref="I7:L7"/>
    <mergeCell ref="C10:L10"/>
    <mergeCell ref="A8:B8"/>
    <mergeCell ref="A4:B4"/>
    <mergeCell ref="C9:L9"/>
    <mergeCell ref="A10:B10"/>
    <mergeCell ref="A9:B9"/>
    <mergeCell ref="I5:L5"/>
    <mergeCell ref="A16:L16"/>
  </mergeCells>
  <phoneticPr fontId="3" type="noConversion"/>
  <printOptions horizontalCentered="1" verticalCentered="1"/>
  <pageMargins left="0.70866141732283472" right="0.70866141732283472" top="0.78740157480314965" bottom="0.78740157480314965" header="0" footer="0.3937007874015748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돌아가기">
                <anchor moveWithCells="1" sizeWithCells="1">
                  <from>
                    <xdr:col>8</xdr:col>
                    <xdr:colOff>152400</xdr:colOff>
                    <xdr:row>0</xdr:row>
                    <xdr:rowOff>38100</xdr:rowOff>
                  </from>
                  <to>
                    <xdr:col>12</xdr:col>
                    <xdr:colOff>38100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
  <sheetViews>
    <sheetView workbookViewId="0">
      <selection activeCell="H11" sqref="H11"/>
    </sheetView>
  </sheetViews>
  <sheetFormatPr defaultRowHeight="16.5"/>
  <sheetData/>
  <phoneticPr fontId="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indexed="51"/>
  </sheetPr>
  <dimension ref="A4:C8"/>
  <sheetViews>
    <sheetView topLeftCell="B1" workbookViewId="0">
      <selection activeCell="D23" sqref="D23"/>
    </sheetView>
  </sheetViews>
  <sheetFormatPr defaultColWidth="10" defaultRowHeight="13.5" customHeight="1"/>
  <cols>
    <col min="1" max="1" width="10" style="26" customWidth="1"/>
    <col min="2" max="2" width="13.25" style="26" customWidth="1"/>
    <col min="3" max="32" width="10" style="26" customWidth="1"/>
    <col min="33" max="16384" width="10" style="26"/>
  </cols>
  <sheetData>
    <row r="4" spans="1:3" ht="14.25" customHeight="1" thickBot="1"/>
    <row r="5" spans="1:3" s="30" customFormat="1" ht="30" customHeight="1" thickBot="1">
      <c r="A5" s="27" t="s">
        <v>471</v>
      </c>
      <c r="B5" s="28" t="s">
        <v>714</v>
      </c>
      <c r="C5" s="29" t="s">
        <v>670</v>
      </c>
    </row>
    <row r="6" spans="1:3" s="30" customFormat="1" ht="30" customHeight="1">
      <c r="A6" s="31" t="s">
        <v>715</v>
      </c>
      <c r="B6" s="548" t="s">
        <v>716</v>
      </c>
      <c r="C6" s="549"/>
    </row>
    <row r="7" spans="1:3" ht="30" customHeight="1">
      <c r="A7" s="32" t="s">
        <v>717</v>
      </c>
      <c r="B7" s="33" t="s">
        <v>718</v>
      </c>
      <c r="C7" s="34" t="s">
        <v>719</v>
      </c>
    </row>
    <row r="8" spans="1:3" ht="30" customHeight="1" thickBot="1">
      <c r="A8" s="35" t="s">
        <v>720</v>
      </c>
      <c r="B8" s="36" t="s">
        <v>721</v>
      </c>
      <c r="C8" s="37" t="s">
        <v>49</v>
      </c>
    </row>
  </sheetData>
  <mergeCells count="1">
    <mergeCell ref="B6:C6"/>
  </mergeCells>
  <phoneticPr fontId="3"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 지정된 범위</vt:lpstr>
      </vt:variant>
      <vt:variant>
        <vt:i4>11</vt:i4>
      </vt:variant>
    </vt:vector>
  </HeadingPairs>
  <TitlesOfParts>
    <vt:vector size="26" baseType="lpstr">
      <vt:lpstr>예산카운트</vt:lpstr>
      <vt:lpstr>공사현장대장</vt:lpstr>
      <vt:lpstr>Sheet4</vt:lpstr>
      <vt:lpstr>준공검사조서</vt:lpstr>
      <vt:lpstr>설계정산동의서</vt:lpstr>
      <vt:lpstr>Sheet1</vt:lpstr>
      <vt:lpstr>Sheet2</vt:lpstr>
      <vt:lpstr>감리용역검수조서</vt:lpstr>
      <vt:lpstr>기성검사조서</vt:lpstr>
      <vt:lpstr>설계변경 동의서</vt:lpstr>
      <vt:lpstr>물품검수조서</vt:lpstr>
      <vt:lpstr>설계용역 검수조서</vt:lpstr>
      <vt:lpstr>준공정산동의서</vt:lpstr>
      <vt:lpstr>Sheet3</vt:lpstr>
      <vt:lpstr>설정탭</vt:lpstr>
      <vt:lpstr>감리용역검수조서!Print_Area</vt:lpstr>
      <vt:lpstr>공사현장대장!Print_Area</vt:lpstr>
      <vt:lpstr>기성검사조서!Print_Area</vt:lpstr>
      <vt:lpstr>물품검수조서!Print_Area</vt:lpstr>
      <vt:lpstr>'설계변경 동의서'!Print_Area</vt:lpstr>
      <vt:lpstr>'설계용역 검수조서'!Print_Area</vt:lpstr>
      <vt:lpstr>설계정산동의서!Print_Area</vt:lpstr>
      <vt:lpstr>예산카운트!Print_Area</vt:lpstr>
      <vt:lpstr>준공검사조서!Print_Area</vt:lpstr>
      <vt:lpstr>준공정산동의서!Print_Area</vt:lpstr>
      <vt:lpstr>예산카운트!Print_Titles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c:creator>
  <cp:lastModifiedBy>KWEDU2023</cp:lastModifiedBy>
  <cp:lastPrinted>2026-06-12T04:34:12Z</cp:lastPrinted>
  <dcterms:created xsi:type="dcterms:W3CDTF">2017-02-06T08:17:58Z</dcterms:created>
  <dcterms:modified xsi:type="dcterms:W3CDTF">2026-06-22T05:20:07Z</dcterms:modified>
</cp:coreProperties>
</file>